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<sst xmlns="http://schemas.openxmlformats.org/spreadsheetml/2006/main" count="2430" uniqueCount="1823">
  <si>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</si>
  <si>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</si>
  <si>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</si>
  <si>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</si>
  <si>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</si>
  <si>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</si>
  <si>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</si>
  <si>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</si>
  <si>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</si>
  <si>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</si>
  <si>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</si>
  <si>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</si>
  <si>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</si>
  <si>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</si>
  <si>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</si>
  <si>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</si>
  <si>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</si>
  <si>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</si>
  <si>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</si>
  <si>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</si>
  <si>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</si>
  <si>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</si>
  <si>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</si>
  <si>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</si>
  <si>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</si>
  <si>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</si>
  <si>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</si>
  <si>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</si>
  <si>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</si>
  <si>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</si>
  <si>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</si>
  <si>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</si>
  <si>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</si>
  <si>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</si>
  <si>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</si>
  <si>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</si>
  <si>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A012030</t>
  </si>
  <si>
    <t>A036000</t>
  </si>
  <si>
    <t>A053060</t>
  </si>
  <si>
    <t>A011560</t>
  </si>
  <si>
    <t>A318160</t>
  </si>
  <si>
    <t>A215090</t>
  </si>
  <si>
    <t>A035610</t>
  </si>
  <si>
    <t>A036830</t>
  </si>
  <si>
    <t>A352090</t>
  </si>
  <si>
    <t>A020710</t>
  </si>
  <si>
    <t>A352480</t>
  </si>
  <si>
    <t>A264660</t>
  </si>
  <si>
    <t>A083930</t>
  </si>
  <si>
    <t>A332370</t>
  </si>
  <si>
    <t>A461300</t>
  </si>
  <si>
    <t>A052460</t>
  </si>
  <si>
    <t>A010280</t>
  </si>
  <si>
    <t>A459550</t>
  </si>
  <si>
    <t>A310200</t>
  </si>
  <si>
    <t>A069510</t>
  </si>
  <si>
    <t>A364950</t>
  </si>
  <si>
    <t>A058630</t>
  </si>
  <si>
    <t>A009780</t>
  </si>
  <si>
    <t>A148150</t>
  </si>
  <si>
    <t>A080470</t>
  </si>
  <si>
    <t>A015750</t>
  </si>
  <si>
    <t>A067280</t>
  </si>
  <si>
    <t>A054670</t>
  </si>
  <si>
    <t>A023910</t>
  </si>
  <si>
    <t>A099410</t>
  </si>
  <si>
    <t>A088130</t>
  </si>
  <si>
    <t>A079960</t>
  </si>
  <si>
    <t>A104460</t>
  </si>
  <si>
    <t>A113810</t>
  </si>
  <si>
    <t>A067730</t>
  </si>
  <si>
    <t>A042500</t>
  </si>
  <si>
    <t>A215200</t>
  </si>
  <si>
    <t>A035890</t>
  </si>
  <si>
    <t>A005830</t>
  </si>
  <si>
    <t>A059210</t>
  </si>
  <si>
    <t>A206640</t>
  </si>
  <si>
    <t>A043150</t>
  </si>
  <si>
    <t>A267790</t>
  </si>
  <si>
    <t>A046310</t>
  </si>
  <si>
    <t>A019010</t>
  </si>
  <si>
    <t>A177350</t>
  </si>
  <si>
    <t>A466410</t>
  </si>
  <si>
    <t>A265560</t>
  </si>
  <si>
    <t>A053980</t>
  </si>
  <si>
    <t>A020180</t>
  </si>
  <si>
    <t>A342870</t>
  </si>
  <si>
    <t>A039420</t>
  </si>
  <si>
    <t>A036030</t>
  </si>
  <si>
    <t>A064820</t>
  </si>
  <si>
    <t>A123410</t>
  </si>
  <si>
    <t>A139670</t>
  </si>
  <si>
    <t>A336680</t>
  </si>
  <si>
    <t>A051360</t>
  </si>
  <si>
    <t>A417790</t>
  </si>
  <si>
    <t>A464280</t>
  </si>
  <si>
    <t>A290560</t>
  </si>
  <si>
    <t>A037030</t>
  </si>
  <si>
    <t>A013030</t>
  </si>
  <si>
    <t>A025770</t>
  </si>
  <si>
    <t>A023760</t>
  </si>
  <si>
    <t>A054040</t>
  </si>
  <si>
    <t>A214180</t>
  </si>
  <si>
    <t>A090850</t>
  </si>
  <si>
    <t>A290270</t>
  </si>
  <si>
    <t>A200670</t>
  </si>
  <si>
    <t>A243070</t>
  </si>
  <si>
    <t>A010240</t>
  </si>
  <si>
    <t>A025880</t>
  </si>
  <si>
    <t>A198080</t>
  </si>
  <si>
    <t>A066360</t>
  </si>
  <si>
    <t>A049520</t>
  </si>
  <si>
    <t>A041190</t>
  </si>
  <si>
    <t>A215360</t>
  </si>
  <si>
    <t>A046940</t>
  </si>
  <si>
    <t>A307280</t>
  </si>
  <si>
    <t>A101160</t>
  </si>
  <si>
    <t>A142210</t>
  </si>
  <si>
    <t>A264450</t>
  </si>
  <si>
    <t>A024800</t>
  </si>
  <si>
    <t>A054930</t>
  </si>
  <si>
    <t>A465480</t>
  </si>
  <si>
    <t>A007370</t>
  </si>
  <si>
    <t>A100030</t>
  </si>
  <si>
    <t>A051370</t>
  </si>
  <si>
    <t>A071200</t>
  </si>
  <si>
    <t>A178780</t>
  </si>
  <si>
    <t>A019540</t>
  </si>
  <si>
    <t>A950140</t>
  </si>
  <si>
    <t>A038010</t>
  </si>
  <si>
    <t>A337930</t>
  </si>
  <si>
    <t>A036890</t>
  </si>
  <si>
    <t>A005710</t>
  </si>
  <si>
    <t>A037440</t>
  </si>
  <si>
    <t>A032190</t>
  </si>
  <si>
    <t>A071320</t>
  </si>
  <si>
    <t>A009970</t>
  </si>
  <si>
    <t>A012280</t>
  </si>
  <si>
    <t>A017370</t>
  </si>
  <si>
    <t>A016880</t>
  </si>
  <si>
    <t>A194370</t>
  </si>
  <si>
    <t>A085670</t>
  </si>
  <si>
    <t>A185750</t>
  </si>
  <si>
    <t>A007980</t>
  </si>
  <si>
    <t>A003780</t>
  </si>
  <si>
    <t>A097520</t>
  </si>
  <si>
    <t>A033250</t>
  </si>
  <si>
    <t>A001620</t>
  </si>
  <si>
    <t>A192400</t>
  </si>
  <si>
    <t>A003090</t>
  </si>
  <si>
    <t>A003080</t>
  </si>
  <si>
    <t>A014580</t>
  </si>
  <si>
    <t>A019180</t>
  </si>
  <si>
    <t>A090080</t>
  </si>
  <si>
    <t>A111770</t>
  </si>
  <si>
    <t>A031820</t>
  </si>
  <si>
    <t>A071050</t>
  </si>
  <si>
    <t>A268280</t>
  </si>
  <si>
    <t>A023590</t>
  </si>
  <si>
    <t>A004140</t>
  </si>
  <si>
    <t>A018500</t>
  </si>
  <si>
    <t>A030720</t>
  </si>
  <si>
    <t>A111380</t>
  </si>
  <si>
    <t>A009900</t>
  </si>
  <si>
    <t>A317450</t>
  </si>
  <si>
    <t>A000270</t>
  </si>
  <si>
    <t>A073240</t>
  </si>
  <si>
    <t>A004920</t>
  </si>
  <si>
    <t>A003650</t>
  </si>
  <si>
    <t>A035150</t>
  </si>
  <si>
    <t>A005180</t>
  </si>
  <si>
    <t>A009770</t>
  </si>
  <si>
    <t>A007860</t>
  </si>
  <si>
    <t>A200880</t>
  </si>
  <si>
    <t>A136490</t>
  </si>
  <si>
    <t>A031440</t>
  </si>
  <si>
    <t>A010770</t>
  </si>
  <si>
    <t>A284740</t>
  </si>
  <si>
    <t>A025540</t>
  </si>
  <si>
    <t>A234080</t>
  </si>
  <si>
    <t>A051500</t>
  </si>
  <si>
    <t>A015760</t>
  </si>
  <si>
    <t>A297890</t>
  </si>
  <si>
    <t>A036640</t>
  </si>
  <si>
    <t>A418470</t>
  </si>
  <si>
    <t>A122450</t>
  </si>
  <si>
    <t>A067160</t>
  </si>
  <si>
    <t>A041930</t>
  </si>
  <si>
    <t>A175330</t>
  </si>
  <si>
    <t>A265520</t>
  </si>
  <si>
    <t>A053270</t>
  </si>
  <si>
    <t>A066620</t>
  </si>
  <si>
    <t>A035460</t>
  </si>
  <si>
    <t>A130580</t>
  </si>
  <si>
    <t>A036800</t>
  </si>
  <si>
    <t>A212560</t>
  </si>
  <si>
    <t>A007340</t>
  </si>
  <si>
    <t>A194700</t>
  </si>
  <si>
    <t>A096760</t>
  </si>
  <si>
    <t>A015230</t>
  </si>
  <si>
    <t>A008260</t>
  </si>
  <si>
    <t>A013520</t>
  </si>
  <si>
    <t>A005440</t>
  </si>
  <si>
    <t>A011760</t>
  </si>
  <si>
    <t>A009180</t>
  </si>
  <si>
    <t>A227840</t>
  </si>
  <si>
    <t>A378850</t>
  </si>
  <si>
    <t>A003350</t>
  </si>
  <si>
    <t>A003480</t>
  </si>
  <si>
    <t>A010690</t>
  </si>
  <si>
    <t>A058860</t>
  </si>
  <si>
    <t>A002380</t>
  </si>
  <si>
    <t>A192080</t>
  </si>
  <si>
    <t>A134380</t>
  </si>
  <si>
    <t>A439260</t>
  </si>
  <si>
    <t>A009240</t>
  </si>
  <si>
    <t>A114840</t>
  </si>
  <si>
    <t>A045340</t>
  </si>
  <si>
    <t>A383220</t>
  </si>
  <si>
    <t>A448710</t>
  </si>
  <si>
    <t>A339950</t>
  </si>
  <si>
    <t>A173130</t>
  </si>
  <si>
    <t>A032620</t>
  </si>
  <si>
    <t>A054950</t>
  </si>
  <si>
    <t>A472850</t>
  </si>
  <si>
    <t>A179290</t>
  </si>
  <si>
    <t>A211050</t>
  </si>
  <si>
    <t>A462870</t>
  </si>
  <si>
    <t>A187420</t>
  </si>
  <si>
    <t>A018290</t>
  </si>
  <si>
    <t>A0013V0</t>
  </si>
  <si>
    <t>A137400</t>
  </si>
  <si>
    <t>A092460</t>
  </si>
  <si>
    <t>A001060</t>
  </si>
  <si>
    <t>A340570</t>
  </si>
  <si>
    <t>A009450</t>
  </si>
  <si>
    <t>A445180</t>
  </si>
  <si>
    <t>A030000</t>
  </si>
  <si>
    <t>A096240</t>
  </si>
  <si>
    <t>A138040</t>
  </si>
  <si>
    <t>A092730</t>
  </si>
  <si>
    <t>A190510</t>
  </si>
  <si>
    <t>A093520</t>
  </si>
  <si>
    <t>A049720</t>
  </si>
  <si>
    <t>A489460</t>
  </si>
  <si>
    <t>A478560</t>
  </si>
  <si>
    <t>A484590</t>
  </si>
  <si>
    <t>A037460</t>
  </si>
  <si>
    <t>A094280</t>
  </si>
  <si>
    <t>A236200</t>
  </si>
  <si>
    <t>A039490</t>
  </si>
  <si>
    <t>A041510</t>
  </si>
  <si>
    <t>A453860</t>
  </si>
  <si>
    <t>A481070</t>
  </si>
  <si>
    <t>A259630</t>
  </si>
  <si>
    <t>A005850</t>
  </si>
  <si>
    <t>A353810</t>
  </si>
  <si>
    <t>A033100</t>
  </si>
  <si>
    <t>A119850</t>
  </si>
  <si>
    <t>A408920</t>
  </si>
  <si>
    <t>DB</t>
  </si>
  <si>
    <t>예림당</t>
  </si>
  <si>
    <t>세동</t>
  </si>
  <si>
    <t>세보엠이씨</t>
  </si>
  <si>
    <t>셀바이오휴먼텍</t>
  </si>
  <si>
    <t>솔디펜스</t>
  </si>
  <si>
    <t>솔본</t>
  </si>
  <si>
    <t>솔브레인홀딩스</t>
  </si>
  <si>
    <t>스톰테크</t>
  </si>
  <si>
    <t>시공테크</t>
  </si>
  <si>
    <t>씨앤씨인터내셔널</t>
  </si>
  <si>
    <t>씨앤지하이테크</t>
  </si>
  <si>
    <t>아바코</t>
  </si>
  <si>
    <t>아이디피</t>
  </si>
  <si>
    <t>아이스크림미디어</t>
  </si>
  <si>
    <t>아이크래프트</t>
  </si>
  <si>
    <t>아이티센엔텍</t>
  </si>
  <si>
    <t>알트</t>
  </si>
  <si>
    <t>애니플러스</t>
  </si>
  <si>
    <t>에스텍</t>
  </si>
  <si>
    <t>에이아이코리아</t>
  </si>
  <si>
    <t>엠게임</t>
  </si>
  <si>
    <t>엠에스씨</t>
  </si>
  <si>
    <t>세경하이테크</t>
  </si>
  <si>
    <t>성창오토텍</t>
  </si>
  <si>
    <t>성우하이텍</t>
  </si>
  <si>
    <t>멀티캠퍼스</t>
  </si>
  <si>
    <t>대한뉴팜</t>
  </si>
  <si>
    <t>대한약품</t>
  </si>
  <si>
    <t>동방선기</t>
  </si>
  <si>
    <t>동아엘텍</t>
  </si>
  <si>
    <t>동양이엔피</t>
  </si>
  <si>
    <t>디와이피엔에프</t>
  </si>
  <si>
    <t>디젠스</t>
  </si>
  <si>
    <t>로지시스</t>
  </si>
  <si>
    <t>링네트</t>
  </si>
  <si>
    <t>메가스터디교육</t>
  </si>
  <si>
    <t>서희건설</t>
  </si>
  <si>
    <t>DB손해보험</t>
  </si>
  <si>
    <t>메타바이오메드</t>
  </si>
  <si>
    <t>바디텍메드</t>
  </si>
  <si>
    <t>바텍</t>
  </si>
  <si>
    <t>배럴</t>
  </si>
  <si>
    <t>백금T&amp;A</t>
  </si>
  <si>
    <t>베뉴지</t>
  </si>
  <si>
    <t>베셀</t>
  </si>
  <si>
    <t>사이냅소프트</t>
  </si>
  <si>
    <t>영화테크</t>
  </si>
  <si>
    <t>오상자이엘</t>
  </si>
  <si>
    <t>대신정보통신</t>
  </si>
  <si>
    <t>오아</t>
  </si>
  <si>
    <t>케이엘넷</t>
  </si>
  <si>
    <t>케이티알파</t>
  </si>
  <si>
    <t>케이프</t>
  </si>
  <si>
    <t>코리아에프티</t>
  </si>
  <si>
    <t>키네마스터</t>
  </si>
  <si>
    <t>탑런토탈솔루션</t>
  </si>
  <si>
    <t>토비스</t>
  </si>
  <si>
    <t>트루엔</t>
  </si>
  <si>
    <t>티디에스팜</t>
  </si>
  <si>
    <t>파라택시스이더리움</t>
  </si>
  <si>
    <t>파워넷</t>
  </si>
  <si>
    <t>하이록코리아</t>
  </si>
  <si>
    <t>한국정보통신</t>
  </si>
  <si>
    <t>한국캐피탈</t>
  </si>
  <si>
    <t>한국컴퓨터</t>
  </si>
  <si>
    <t>헥토이노베이션</t>
  </si>
  <si>
    <t>현대이지웰</t>
  </si>
  <si>
    <t>휴네시온</t>
  </si>
  <si>
    <t>휴메딕스</t>
  </si>
  <si>
    <t>휴온스</t>
  </si>
  <si>
    <t>흥국</t>
  </si>
  <si>
    <t>케이씨피드</t>
  </si>
  <si>
    <t>캐프</t>
  </si>
  <si>
    <t>체리부로</t>
  </si>
  <si>
    <t>유아이엘</t>
  </si>
  <si>
    <t>우리기술투자</t>
  </si>
  <si>
    <t>우리산업</t>
  </si>
  <si>
    <t>우원개발</t>
  </si>
  <si>
    <t>원바이오젠</t>
  </si>
  <si>
    <t>월덱스</t>
  </si>
  <si>
    <t>유니트론텍</t>
  </si>
  <si>
    <t>유비쿼스</t>
  </si>
  <si>
    <t>유성티엔에스</t>
  </si>
  <si>
    <t>유신</t>
  </si>
  <si>
    <t>인스피언</t>
  </si>
  <si>
    <t>진양제약</t>
  </si>
  <si>
    <t>인지소프트</t>
  </si>
  <si>
    <t>인터플렉스</t>
  </si>
  <si>
    <t>인피니트헬스케어</t>
  </si>
  <si>
    <t>일월지엠엘</t>
  </si>
  <si>
    <t>일지테크</t>
  </si>
  <si>
    <t>잉글우드랩</t>
  </si>
  <si>
    <t>제일테크노스</t>
  </si>
  <si>
    <t>젝시믹스</t>
  </si>
  <si>
    <t>진성티이씨</t>
  </si>
  <si>
    <t>대원산업</t>
  </si>
  <si>
    <t>희림</t>
  </si>
  <si>
    <t>다우데이타</t>
  </si>
  <si>
    <t>지역난방공사</t>
  </si>
  <si>
    <t>영원무역홀딩스</t>
  </si>
  <si>
    <t>영화금속</t>
  </si>
  <si>
    <t>우신시스템</t>
  </si>
  <si>
    <t>웅진</t>
  </si>
  <si>
    <t>제이에스코퍼레이션</t>
  </si>
  <si>
    <t>뉴프렉스</t>
  </si>
  <si>
    <t>종근당</t>
  </si>
  <si>
    <t>TP</t>
  </si>
  <si>
    <t>진양산업</t>
  </si>
  <si>
    <t>엠씨넥스</t>
  </si>
  <si>
    <t>체시스</t>
  </si>
  <si>
    <t>케이비아이동국실업</t>
  </si>
  <si>
    <t>쿠쿠홀딩스</t>
  </si>
  <si>
    <t>대웅</t>
  </si>
  <si>
    <t>SB성보</t>
  </si>
  <si>
    <t>태경비케이</t>
  </si>
  <si>
    <t>티에이치엔</t>
  </si>
  <si>
    <t>평화산업</t>
  </si>
  <si>
    <t>영원무역</t>
  </si>
  <si>
    <t>아이티센씨티에스</t>
  </si>
  <si>
    <t>한국금융지주</t>
  </si>
  <si>
    <t>미원에스씨</t>
  </si>
  <si>
    <t>다우기술</t>
  </si>
  <si>
    <t>동방</t>
  </si>
  <si>
    <t>동원금속</t>
  </si>
  <si>
    <t>동원수산</t>
  </si>
  <si>
    <t>동인기연</t>
  </si>
  <si>
    <t>명신산업</t>
  </si>
  <si>
    <t>명인제약</t>
  </si>
  <si>
    <t>기아</t>
  </si>
  <si>
    <t>금호타이어</t>
  </si>
  <si>
    <t>씨아이테크</t>
  </si>
  <si>
    <t>미창석유</t>
  </si>
  <si>
    <t>백산</t>
  </si>
  <si>
    <t>빙그레</t>
  </si>
  <si>
    <t>삼정펄프</t>
  </si>
  <si>
    <t>서연</t>
  </si>
  <si>
    <t>서연이화</t>
  </si>
  <si>
    <t>선진</t>
  </si>
  <si>
    <t>신세계푸드</t>
  </si>
  <si>
    <t>평화홀딩스</t>
  </si>
  <si>
    <t>쿠쿠홈시스</t>
  </si>
  <si>
    <t>한국단자</t>
  </si>
  <si>
    <t>JW생명과학</t>
  </si>
  <si>
    <t>CJ프레시웨이</t>
  </si>
  <si>
    <t>한국전력</t>
  </si>
  <si>
    <t>HB솔루션</t>
  </si>
  <si>
    <t>HRS</t>
  </si>
  <si>
    <t>KT밀리의서재</t>
  </si>
  <si>
    <t>KX</t>
  </si>
  <si>
    <t>SOOP</t>
  </si>
  <si>
    <t>SY동아</t>
  </si>
  <si>
    <t>JB금융지주</t>
  </si>
  <si>
    <t>AP시스템</t>
  </si>
  <si>
    <t>구영테크</t>
  </si>
  <si>
    <t>국보디자인</t>
  </si>
  <si>
    <t>기산텔레콤</t>
  </si>
  <si>
    <t>나이스디앤비</t>
  </si>
  <si>
    <t>나이스정보통신</t>
  </si>
  <si>
    <t>네오오토</t>
  </si>
  <si>
    <t>DN오토모티브</t>
  </si>
  <si>
    <t>노바렉스</t>
  </si>
  <si>
    <t>JW홀딩스</t>
  </si>
  <si>
    <t>대창단조</t>
  </si>
  <si>
    <t>NI스틸</t>
  </si>
  <si>
    <t>화승코퍼레이션</t>
  </si>
  <si>
    <t>현대지에프홀딩스</t>
  </si>
  <si>
    <t>현대코퍼레이션</t>
  </si>
  <si>
    <t>한솔로지스틱스</t>
  </si>
  <si>
    <t>현대코퍼레이션홀딩스</t>
  </si>
  <si>
    <t>화승알앤에이</t>
  </si>
  <si>
    <t>한국화장품제조</t>
  </si>
  <si>
    <t>한진중공업홀딩스</t>
  </si>
  <si>
    <t>화신</t>
  </si>
  <si>
    <t>KTis</t>
  </si>
  <si>
    <t>KCC</t>
  </si>
  <si>
    <t>더블유게임즈</t>
  </si>
  <si>
    <t>미원화학</t>
  </si>
  <si>
    <t>대한조선</t>
  </si>
  <si>
    <t>한샘</t>
  </si>
  <si>
    <t>아이패밀리에스씨</t>
  </si>
  <si>
    <t>토탈소프트</t>
  </si>
  <si>
    <t>F&amp;F</t>
  </si>
  <si>
    <t>코츠테크놀로지</t>
  </si>
  <si>
    <t>아이비김영</t>
  </si>
  <si>
    <t>오파스넷</t>
  </si>
  <si>
    <t>GC메디아이</t>
  </si>
  <si>
    <t>제이브이엠</t>
  </si>
  <si>
    <t>폰드그룹</t>
  </si>
  <si>
    <t>엠아이텍</t>
  </si>
  <si>
    <t>인카금융서비스</t>
  </si>
  <si>
    <t>시프트업</t>
  </si>
  <si>
    <t>HLB제넥스</t>
  </si>
  <si>
    <t>브이티</t>
  </si>
  <si>
    <t>삼진식품</t>
  </si>
  <si>
    <t>피엔티</t>
  </si>
  <si>
    <t>한라IMS</t>
  </si>
  <si>
    <t>JW중외제약</t>
  </si>
  <si>
    <t>티앤엘</t>
  </si>
  <si>
    <t>경동나비엔</t>
  </si>
  <si>
    <t>퓨릿</t>
  </si>
  <si>
    <t>제일기획</t>
  </si>
  <si>
    <t>크레버스</t>
  </si>
  <si>
    <t>메리츠금융지주</t>
  </si>
  <si>
    <t>네오팜</t>
  </si>
  <si>
    <t>나무가</t>
  </si>
  <si>
    <t>매커스</t>
  </si>
  <si>
    <t>고려신용정보</t>
  </si>
  <si>
    <t>바이오비쥬</t>
  </si>
  <si>
    <t>블랙야크아이앤씨</t>
  </si>
  <si>
    <t>삼양컴텍</t>
  </si>
  <si>
    <t>삼지전자</t>
  </si>
  <si>
    <t>효성ITX</t>
  </si>
  <si>
    <t>슈프리마</t>
  </si>
  <si>
    <t>키움증권</t>
  </si>
  <si>
    <t>에스엠</t>
  </si>
  <si>
    <t>에이에스텍</t>
  </si>
  <si>
    <t>에이유브랜즈</t>
  </si>
  <si>
    <t>엠플러스</t>
  </si>
  <si>
    <t>에스엘</t>
  </si>
  <si>
    <t>이지바이오</t>
  </si>
  <si>
    <t>제룡전기</t>
  </si>
  <si>
    <t>지엔씨에너지</t>
  </si>
  <si>
    <t>메쎄이상</t>
  </si>
  <si>
    <t>[101.0, 459.0, 244.0, nan]</t>
  </si>
  <si>
    <t>[391.0, -379.0, 5479.0, nan]</t>
  </si>
  <si>
    <t>[555.0, -65.0, 333.0, nan]</t>
  </si>
  <si>
    <t>[3525.0, 2666.0, 3377.0, 4249.0]</t>
  </si>
  <si>
    <t>[-198.0, 473.0, 939.0, nan]</t>
  </si>
  <si>
    <t>[-672.0, 496.0, 135.0, nan]</t>
  </si>
  <si>
    <t>[1354.0, 1241.0, 763.0, nan]</t>
  </si>
  <si>
    <t>[4342.0, 2796.0, 23248.0, nan]</t>
  </si>
  <si>
    <t>[468.0, 534.0, 380.0, nan]</t>
  </si>
  <si>
    <t>[415.0, 1520.0, 1521.0, nan]</t>
  </si>
  <si>
    <t>[3137.0, 3240.0, 1328.0, 1343.0]</t>
  </si>
  <si>
    <t>[1389.0, 708.0, 2009.0, 1708.0]</t>
  </si>
  <si>
    <t>[276.0, 1589.0, 1939.0, nan]</t>
  </si>
  <si>
    <t>[451.0, 864.0, 776.0, 859.0]</t>
  </si>
  <si>
    <t>[2851.0, 2712.0, 3723.0, nan]</t>
  </si>
  <si>
    <t>[312.0, -63.0, 695.0, nan]</t>
  </si>
  <si>
    <t>[419.0, 895.0, 1768.0, 2871.0]</t>
  </si>
  <si>
    <t>[596.0, 655.0, 203.0, nan]</t>
  </si>
  <si>
    <t>[197.0, 343.0, 231.0, nan]</t>
  </si>
  <si>
    <t>[1985.0, 4241.0, 3815.0, nan]</t>
  </si>
  <si>
    <t>[579.0, 1549.0, -94.0, nan]</t>
  </si>
  <si>
    <t>[1119.0, 802.0, 820.0, nan]</t>
  </si>
  <si>
    <t>[1049.0, 1237.0, 1307.0, nan]</t>
  </si>
  <si>
    <t>[248.0, 415.0, 980.0, 427.0]</t>
  </si>
  <si>
    <t>[753.0, 748.0, 1163.0, nan]</t>
  </si>
  <si>
    <t>[2124.0, 1751.0, 2110.0, nan]</t>
  </si>
  <si>
    <t>[5316.0, 5242.0, 4417.0, nan]</t>
  </si>
  <si>
    <t>[874.0, 1078.0, 1063.0, nan]</t>
  </si>
  <si>
    <t>[4738.0, 5627.0, 4607.0, nan]</t>
  </si>
  <si>
    <t>[354.0, 433.0, 568.0, nan]</t>
  </si>
  <si>
    <t>[-307.0, -1462.0, 2811.0, nan]</t>
  </si>
  <si>
    <t>[5975.0, 8849.0, 6293.0, nan]</t>
  </si>
  <si>
    <t>[532.0, 1697.0, 2378.0, nan]</t>
  </si>
  <si>
    <t>[91.0, 138.0, 23.0, nan]</t>
  </si>
  <si>
    <t>[53.0, 249.0, 342.0, nan]</t>
  </si>
  <si>
    <t>[574.0, 577.0, 489.0, nan]</t>
  </si>
  <si>
    <t>[8006.0, 3991.0, 7903.0, 8992.0]</t>
  </si>
  <si>
    <t>[615.0, 698.0, 530.0, nan]</t>
  </si>
  <si>
    <t>[24556.0, 26152.0, 25263.0, 23285.0]</t>
  </si>
  <si>
    <t>[422.0, 939.0, 391.0, 585.0]</t>
  </si>
  <si>
    <t>[1105.0, 1161.0, 1012.0, nan]</t>
  </si>
  <si>
    <t>[3483.0, 3712.0, 2701.0, 3277.0]</t>
  </si>
  <si>
    <t>[763.0, 541.0, 469.0, nan]</t>
  </si>
  <si>
    <t>[817.0, 807.0, 258.0, nan]</t>
  </si>
  <si>
    <t>[285.0, -262.0, 1945.0, nan]</t>
  </si>
  <si>
    <t>[-2896.0, -619.0, 900.0, nan]</t>
  </si>
  <si>
    <t>[1555.0, 1449.0, 1132.0, nan]</t>
  </si>
  <si>
    <t>[570.0, 1312.0, 1783.0, nan]</t>
  </si>
  <si>
    <t>[1257.0, 335.0, 546.0, nan]</t>
  </si>
  <si>
    <t>[-1.0, 170.0, 149.0, nan]</t>
  </si>
  <si>
    <t>[641.0, 1030.0, -606.0, nan]</t>
  </si>
  <si>
    <t>[315.0, 355.0, 385.0, nan]</t>
  </si>
  <si>
    <t>[332.0, 401.0, 890.0, nan]</t>
  </si>
  <si>
    <t>[787.0, 508.0, 1922.0, nan]</t>
  </si>
  <si>
    <t>[1097.0, 1261.0, 1577.0, nan]</t>
  </si>
  <si>
    <t>[186.0, 310.0, 241.0, nan]</t>
  </si>
  <si>
    <t>[781.0, 569.0, 169.0, nan]</t>
  </si>
  <si>
    <t>[710.0, 3565.0, 2691.0, nan]</t>
  </si>
  <si>
    <t>[1088.0, 1306.0, 1104.0, nan]</t>
  </si>
  <si>
    <t>[938.0, 715.0, 773.0, nan]</t>
  </si>
  <si>
    <t>[-1.0, 129.0, 176.0, nan]</t>
  </si>
  <si>
    <t>[-10.0, 1361.0, 603.0, 913.0]</t>
  </si>
  <si>
    <t>[3655.0, 3718.0, 4141.0, 4320.0]</t>
  </si>
  <si>
    <t>[804.0, 1164.0, 978.0, nan]</t>
  </si>
  <si>
    <t>[210.0, 257.0, 319.0, nan]</t>
  </si>
  <si>
    <t>[1350.0, 846.0, 1279.0, nan]</t>
  </si>
  <si>
    <t>[1720.0, 2105.0, 2329.0, 3075.0]</t>
  </si>
  <si>
    <t>[-22.0, 502.0, 1011.0, nan]</t>
  </si>
  <si>
    <t>[701.0, 415.0, 588.0, nan]</t>
  </si>
  <si>
    <t>[2210.0, 3496.0, 4611.0, nan]</t>
  </si>
  <si>
    <t>[4213.0, 2459.0, 3561.0, nan]</t>
  </si>
  <si>
    <t>[1070.0, 856.0, 992.0, nan]</t>
  </si>
  <si>
    <t>[397.0, 409.0, 618.0, nan]</t>
  </si>
  <si>
    <t>[153.0, 886.0, 904.0, nan]</t>
  </si>
  <si>
    <t>[291.0, -190.0, 496.0, nan]</t>
  </si>
  <si>
    <t>[352.0, 923.0, 696.0, nan]</t>
  </si>
  <si>
    <t>[1452.0, 1759.0, 1316.0, nan]</t>
  </si>
  <si>
    <t>[1939.0, 1438.0, 1536.0, nan]</t>
  </si>
  <si>
    <t>[82.0, 41.0, 2654.0, nan]</t>
  </si>
  <si>
    <t>[752.0, 770.0, 907.0, nan]</t>
  </si>
  <si>
    <t>[3261.0, 3939.0, 2482.0, nan]</t>
  </si>
  <si>
    <t>[970.0, 1086.0, 636.0, 2496.0]</t>
  </si>
  <si>
    <t>[1685.0, 1392.0, 1618.0, nan]</t>
  </si>
  <si>
    <t>[1509.0, 1537.0, 1480.0, nan]</t>
  </si>
  <si>
    <t>[6698.0, 8141.0, 3507.0, nan]</t>
  </si>
  <si>
    <t>[668.0, 507.0, 264.0, nan]</t>
  </si>
  <si>
    <t>[1027.0, 2347.0, 1577.0, nan]</t>
  </si>
  <si>
    <t>[1629.0, 798.0, 6513.0, nan]</t>
  </si>
  <si>
    <t>[1171.0, 2363.0, 1410.0, 922.0]</t>
  </si>
  <si>
    <t>[675.0, 1549.0, 1082.0, nan]</t>
  </si>
  <si>
    <t>[-532.0, 431.0, 284.0, nan]</t>
  </si>
  <si>
    <t>[2390.0, 1666.0, 3380.0, nan]</t>
  </si>
  <si>
    <t>[1044.0, 988.0, 1249.0, nan]</t>
  </si>
  <si>
    <t>[2876.0, 2296.0, 1104.0, nan]</t>
  </si>
  <si>
    <t>[384.0, 706.0, 395.0, nan]</t>
  </si>
  <si>
    <t>[1264.0, 932.0, 1461.0, 1659.0]</t>
  </si>
  <si>
    <t>[1784.0, 3624.0, 3836.0, nan]</t>
  </si>
  <si>
    <t>[444.0, 928.0, 561.0, 496.0]</t>
  </si>
  <si>
    <t>[1660.0, 4290.0, 5713.0, nan]</t>
  </si>
  <si>
    <t>[17222.0, 18151.0, 29268.0, 20089.0]</t>
  </si>
  <si>
    <t>[27262.0, 24492.0, 27133.0, nan]</t>
  </si>
  <si>
    <t>[141.0, 167.0, 235.0, nan]</t>
  </si>
  <si>
    <t>[406.0, 1851.0, 819.0, 1005.0]</t>
  </si>
  <si>
    <t>[-132.0, 38.0, 1511.0, nan]</t>
  </si>
  <si>
    <t>[4116.0, 3561.0, 2638.0, 3536.0]</t>
  </si>
  <si>
    <t>[278.0, 658.0, 360.0, nan]</t>
  </si>
  <si>
    <t>[15397.0, 7902.0, 5615.0, 4564.0]</t>
  </si>
  <si>
    <t>[119.0, 433.0, 747.0, nan]</t>
  </si>
  <si>
    <t>[654.0, 773.0, 534.0, nan]</t>
  </si>
  <si>
    <t>[1553.0, 3538.0, 2877.0, 2583.0]</t>
  </si>
  <si>
    <t>[515.0, 949.0, 985.0, nan]</t>
  </si>
  <si>
    <t>[342.0, 1147.0, 1417.0, nan]</t>
  </si>
  <si>
    <t>[3659.0, 3861.0, 4094.0, nan]</t>
  </si>
  <si>
    <t>[2626.0, 996.0, 3011.0, nan]</t>
  </si>
  <si>
    <t>[64.0, -172.0, 1721.0, nan]</t>
  </si>
  <si>
    <t>[871.0, 991.0, 866.0, nan]</t>
  </si>
  <si>
    <t>[1579.0, 1769.0, 3815.0, nan]</t>
  </si>
  <si>
    <t>[66.0, 70.0, 286.0, nan]</t>
  </si>
  <si>
    <t>[11644.0, 9637.0, 11109.0, 13181.0]</t>
  </si>
  <si>
    <t>[327.0, 1542.0, 4364.0, nan]</t>
  </si>
  <si>
    <t>[11480.0, 16883.0, 32808.0, 43853.0]</t>
  </si>
  <si>
    <t>[3681.0, 10913.0, 12261.0, nan]</t>
  </si>
  <si>
    <t>[5037.0, 7931.0, 11260.0, nan]</t>
  </si>
  <si>
    <t>[309.0, 427.0, 359.0, nan]</t>
  </si>
  <si>
    <t>[389.0, 391.0, 453.0, nan]</t>
  </si>
  <si>
    <t>[-3786.0, 1098.0, 1664.0, nan]</t>
  </si>
  <si>
    <t>[3960.0, 2836.0, 1880.0, 3585.0]</t>
  </si>
  <si>
    <t>[2909.0, 2460.0, 1302.0, 1798.0]</t>
  </si>
  <si>
    <t>[6653.0, 6131.0, 6718.0, nan]</t>
  </si>
  <si>
    <t>[21770.0, 24413.0, 19111.0, 21310.0]</t>
  </si>
  <si>
    <t>[549.0, 1131.0, 1209.0, 1370.0]</t>
  </si>
  <si>
    <t>[-164.0, -2.0, 290.0, nan]</t>
  </si>
  <si>
    <t>[27388.0, 30250.0, 39586.0, nan]</t>
  </si>
  <si>
    <t>[1798.0, 2757.0, 1590.0, 2365.0]</t>
  </si>
  <si>
    <t>[8752.0, 10479.0, 5757.0, 8606.0]</t>
  </si>
  <si>
    <t>[5241.0, 15182.0, 12556.0, nan]</t>
  </si>
  <si>
    <t>[4783.0, 5706.0, 2380.0, nan]</t>
  </si>
  <si>
    <t>[5837.0, 5450.0, 2220.0, nan]</t>
  </si>
  <si>
    <t>[585.0, 230.0, 5002.0, nan]</t>
  </si>
  <si>
    <t>[2749.0, 2892.0, 19939.0, nan]</t>
  </si>
  <si>
    <t>[560.0, 107.0, 2375.0, nan]</t>
  </si>
  <si>
    <t>[4990.0, 5662.0, 5327.0, nan]</t>
  </si>
  <si>
    <t>[7000.0, 13654.0, 10383.0, 12348.0]</t>
  </si>
  <si>
    <t>[1777.0, 2778.0, 1807.0, 1730.0]</t>
  </si>
  <si>
    <t>[4589.0, 2184.0, 4221.0, 5119.0]</t>
  </si>
  <si>
    <t>[-7512.0, 5439.0, 13311.0, 8903.0]</t>
  </si>
  <si>
    <t>[1082.0, -284.0, 362.0, nan]</t>
  </si>
  <si>
    <t>[740.0, 924.0, 827.0, nan]</t>
  </si>
  <si>
    <t>[2060.0, 1358.0, 1847.0, nan]</t>
  </si>
  <si>
    <t>[385.0, 1822.0, 442.0, 739.0]</t>
  </si>
  <si>
    <t>[6489.0, 8805.0, 8860.0, 8343.0]</t>
  </si>
  <si>
    <t>[905.0, 923.0, 1743.0, nan]</t>
  </si>
  <si>
    <t>[2975.0, 3469.0, 3688.0, 3933.0]</t>
  </si>
  <si>
    <t>[3929.0, 3389.0, 1565.0, nan]</t>
  </si>
  <si>
    <t>[680.0, 665.0, 823.0, nan]</t>
  </si>
  <si>
    <t>[3685.0, 5430.0, 5293.0, nan]</t>
  </si>
  <si>
    <t>[223.0, 481.0, 290.0, nan]</t>
  </si>
  <si>
    <t>[674.0, 1185.0, 839.0, 909.0]</t>
  </si>
  <si>
    <t>[3028.0, 3830.0, 4287.0, 5020.0]</t>
  </si>
  <si>
    <t>[1009.0, 1500.0, 1260.0, nan]</t>
  </si>
  <si>
    <t>[5499.0, 5383.0, 4809.0, 4985.0]</t>
  </si>
  <si>
    <t>[1175.0, 1227.0, 1888.0, nan]</t>
  </si>
  <si>
    <t>[257.0, 847.0, 791.0, nan]</t>
  </si>
  <si>
    <t>[1188.0, 1175.0, 1007.0, nan]</t>
  </si>
  <si>
    <t>[1756.0, 899.0, 663.0, nan]</t>
  </si>
  <si>
    <t>[69.0, 533.0, 1559.0, nan]</t>
  </si>
  <si>
    <t>[11200.0, 4483.0, 2643.0, 1987.0]</t>
  </si>
  <si>
    <t>[6326.0, 9152.0, 6561.0, 7761.0]</t>
  </si>
  <si>
    <t>[672.0, 310.0, 563.0, 781.0]</t>
  </si>
  <si>
    <t>[3205.0, 4688.0, 4028.0, nan]</t>
  </si>
  <si>
    <t>[1275.0, 1707.0, 960.0, nan]</t>
  </si>
  <si>
    <t>[321.0, 1021.0, 1208.0, nan]</t>
  </si>
  <si>
    <t>[256.0, 1915.0, 2001.0, nan]</t>
  </si>
  <si>
    <t>[2213.0, 1534.0, 1910.0, 2520.0]</t>
  </si>
  <si>
    <t>[400.0, 341.0, 1045.0, nan]</t>
  </si>
  <si>
    <t>[23931.0, 38691.0, 173128.0, 117491.0]</t>
  </si>
  <si>
    <t>[6915.0, 8708.0, 6106.0, 9166.0]</t>
  </si>
  <si>
    <t>[992.0, 1225.0, 1124.0, nan]</t>
  </si>
  <si>
    <t>[3640.0, 5656.0, 7314.0, 8010.0]</t>
  </si>
  <si>
    <t>[-2641.0, 6422.0, 1967.0, 1109.0]</t>
  </si>
  <si>
    <t>[1166.0, 1644.0, 1261.0, 1409.0]</t>
  </si>
  <si>
    <t>[442.0, 713.0, 997.0, nan]</t>
  </si>
  <si>
    <t>[11096.0, 9408.0, 10404.0, 12759.0]</t>
  </si>
  <si>
    <t>[1568.0, 1593.0, 1402.0, nan]</t>
  </si>
  <si>
    <t>[173.0, 282.0, 461.0, 485.0]</t>
  </si>
  <si>
    <t>[801.0, 732.0, 971.0, nan]</t>
  </si>
  <si>
    <t>[-33.0, -30.0, 708.0, nan]</t>
  </si>
  <si>
    <t>[2171.0, 2386.0, 2345.0, 2807.0]</t>
  </si>
  <si>
    <t>[4.0, 437.0, 600.0, nan]</t>
  </si>
  <si>
    <t>[398.0, 565.0, 628.0, nan]</t>
  </si>
  <si>
    <t>[574.0, 1207.0, 1410.0, 1744.0]</t>
  </si>
  <si>
    <t>[2132.0, 2718.0, 3261.0, 2305.0]</t>
  </si>
  <si>
    <t>[-126.0, -772.0, 775.0, nan]</t>
  </si>
  <si>
    <t>[776.0, 2739.0, 1713.0, 1397.0]</t>
  </si>
  <si>
    <t>[-69.0, 194.0, 740.0, nan]</t>
  </si>
  <si>
    <t>[2809.0, 5519.0, 2890.0, nan]</t>
  </si>
  <si>
    <t>[4130.0, 802.0, 1490.0, nan]</t>
  </si>
  <si>
    <t>[1478.0, 2606.0, 2470.0, nan]</t>
  </si>
  <si>
    <t>[3376.0, 5710.0, 4684.0, 6385.0]</t>
  </si>
  <si>
    <t>[5707.0, 8535.0, 6157.0, 11851.0]</t>
  </si>
  <si>
    <t>[837.0, 705.0, 893.0, nan]</t>
  </si>
  <si>
    <t>[1628.0, 1804.0, 1804.0, 1952.0]</t>
  </si>
  <si>
    <t>[1309.0, 672.0, 593.0, nan]</t>
  </si>
  <si>
    <t>[10468.0, 11897.0, 12698.0, 14331.0]</t>
  </si>
  <si>
    <t>[1448.0, 1439.0, 1736.0, 1726.0]</t>
  </si>
  <si>
    <t>[1450.0, 1607.0, 1700.0, nan]</t>
  </si>
  <si>
    <t>[1252.0, 1240.0, 1505.0, 2120.0]</t>
  </si>
  <si>
    <t>[823.0, 926.0, 927.0, nan]</t>
  </si>
  <si>
    <t>[307.0, 629.0, 298.0, 425.0]</t>
  </si>
  <si>
    <t>[270.0, 293.0, -222.0, nan]</t>
  </si>
  <si>
    <t>[288.0, 515.0, 640.0, nan]</t>
  </si>
  <si>
    <t>[1939.0, 3771.0, 4636.0, nan]</t>
  </si>
  <si>
    <t>[1173.0, 947.0, 1243.0, nan]</t>
  </si>
  <si>
    <t>[3191.0, 4516.0, 4474.0, 5570.0]</t>
  </si>
  <si>
    <t>[15021.0, 29304.0, 40504.0, 59876.0]</t>
  </si>
  <si>
    <t>[3664.0, 778.0, 15126.0, 5998.0]</t>
  </si>
  <si>
    <t>[1545.0, 1677.0, 380.0, nan]</t>
  </si>
  <si>
    <t>[1034.0, 807.0, 615.0, nan]</t>
  </si>
  <si>
    <t>[1629.0, 894.0, 1689.0, 1774.0]</t>
  </si>
  <si>
    <t>[7223.0, 7930.0, 6692.0, 8293.0]</t>
  </si>
  <si>
    <t>[455.0, 573.0, 834.0, 1251.0]</t>
  </si>
  <si>
    <t>[3510.0, 4976.0, 3655.0, nan]</t>
  </si>
  <si>
    <t>[692.0, 2340.0, 2428.0, nan]</t>
  </si>
  <si>
    <t>[123.0, 313.0, 359.0, nan]</t>
  </si>
  <si>
    <t>[354.5, -46.8, nan]</t>
  </si>
  <si>
    <t>[-196.9, -1545.6, nan]</t>
  </si>
  <si>
    <t>[-111.7, -612.3, nan]</t>
  </si>
  <si>
    <t>[-24.4, 26.7, 25.8]</t>
  </si>
  <si>
    <t>[-338.9, 98.5, nan]</t>
  </si>
  <si>
    <t>[-173.8, -72.8, nan]</t>
  </si>
  <si>
    <t>[-8.3, -38.5, nan]</t>
  </si>
  <si>
    <t>[-35.6, 731.5, nan]</t>
  </si>
  <si>
    <t>[14.1, -28.8, nan]</t>
  </si>
  <si>
    <t>[266.3, 0.1, nan]</t>
  </si>
  <si>
    <t>[3.3, -59.0, 1.1]</t>
  </si>
  <si>
    <t>[-49.0, 183.8, -15.0]</t>
  </si>
  <si>
    <t>[475.7, 22.0, nan]</t>
  </si>
  <si>
    <t>[91.6, -10.2, 10.7]</t>
  </si>
  <si>
    <t>[-4.9, 37.3, nan]</t>
  </si>
  <si>
    <t>[-120.2, -1203.2, nan]</t>
  </si>
  <si>
    <t>[113.6, 97.5, 62.4]</t>
  </si>
  <si>
    <t>[9.9, -69.0, nan]</t>
  </si>
  <si>
    <t>[74.1, -32.7, nan]</t>
  </si>
  <si>
    <t>[113.7, -10.0, nan]</t>
  </si>
  <si>
    <t>[167.5, -106.1, nan]</t>
  </si>
  <si>
    <t>[-28.3, 2.2, nan]</t>
  </si>
  <si>
    <t>[17.9, 5.7, nan]</t>
  </si>
  <si>
    <t>[67.3, 136.1, -56.4]</t>
  </si>
  <si>
    <t>[-0.7, 55.5, nan]</t>
  </si>
  <si>
    <t>[-17.6, 20.5, nan]</t>
  </si>
  <si>
    <t>[-1.4, -15.7, nan]</t>
  </si>
  <si>
    <t>[23.3, -1.4, nan]</t>
  </si>
  <si>
    <t>[18.8, -18.1, nan]</t>
  </si>
  <si>
    <t>[22.3, 31.2, nan]</t>
  </si>
  <si>
    <t>[376.2, -292.3, nan]</t>
  </si>
  <si>
    <t>[48.1, -28.9, nan]</t>
  </si>
  <si>
    <t>[219.0, 40.1, nan]</t>
  </si>
  <si>
    <t>[51.6, -83.3, nan]</t>
  </si>
  <si>
    <t>[369.8, 37.3, nan]</t>
  </si>
  <si>
    <t>[0.5, -15.3, nan]</t>
  </si>
  <si>
    <t>[-50.1, 98.0, 13.8]</t>
  </si>
  <si>
    <t>[13.5, -24.1, nan]</t>
  </si>
  <si>
    <t>[6.5, -3.4, -7.8]</t>
  </si>
  <si>
    <t>[122.5, -58.4, 49.6]</t>
  </si>
  <si>
    <t>[5.1, -12.8, nan]</t>
  </si>
  <si>
    <t>[6.6, -27.2, 21.3]</t>
  </si>
  <si>
    <t>[-29.1, -13.3, nan]</t>
  </si>
  <si>
    <t>[-1.2, -68.0, nan]</t>
  </si>
  <si>
    <t>[-191.9, -842.4, nan]</t>
  </si>
  <si>
    <t>[-78.6, -245.4, nan]</t>
  </si>
  <si>
    <t>[-6.8, -21.9, nan]</t>
  </si>
  <si>
    <t>[130.2, 35.9, nan]</t>
  </si>
  <si>
    <t>[-73.3, 63.0, nan]</t>
  </si>
  <si>
    <t>[-17100.0, -12.4, nan]</t>
  </si>
  <si>
    <t>[60.7, -158.8, nan]</t>
  </si>
  <si>
    <t>[12.7, 8.5, nan]</t>
  </si>
  <si>
    <t>[20.8, 121.9, nan]</t>
  </si>
  <si>
    <t>[-35.5, 278.3, nan]</t>
  </si>
  <si>
    <t>[14.9, 25.1, nan]</t>
  </si>
  <si>
    <t>[66.7, -22.3, nan]</t>
  </si>
  <si>
    <t>[-27.1, -70.3, nan]</t>
  </si>
  <si>
    <t>[402.1, -24.5, nan]</t>
  </si>
  <si>
    <t>[20.0, -15.5, nan]</t>
  </si>
  <si>
    <t>[-23.8, 8.1, nan]</t>
  </si>
  <si>
    <t>[-13000.0, 36.4, nan]</t>
  </si>
  <si>
    <t>[-13710.0, -55.7, 51.4]</t>
  </si>
  <si>
    <t>[1.7, 11.4, 4.3]</t>
  </si>
  <si>
    <t>[44.8, -16.0, nan]</t>
  </si>
  <si>
    <t>[22.4, 24.1, nan]</t>
  </si>
  <si>
    <t>[-37.3, 51.2, nan]</t>
  </si>
  <si>
    <t>[22.4, 10.6, 32.0]</t>
  </si>
  <si>
    <t>[-2381.8, 101.4, nan]</t>
  </si>
  <si>
    <t>[-40.8, 41.7, nan]</t>
  </si>
  <si>
    <t>[58.2, 31.9, nan]</t>
  </si>
  <si>
    <t>[-41.6, 44.8, nan]</t>
  </si>
  <si>
    <t>[-20.0, 15.9, nan]</t>
  </si>
  <si>
    <t>[3.0, 51.1, nan]</t>
  </si>
  <si>
    <t>[479.1, 2.0, nan]</t>
  </si>
  <si>
    <t>[-165.3, -361.1, nan]</t>
  </si>
  <si>
    <t>[162.2, -24.6, nan]</t>
  </si>
  <si>
    <t>[21.1, -25.2, nan]</t>
  </si>
  <si>
    <t>[-25.8, 6.8, nan]</t>
  </si>
  <si>
    <t>[-50.0, 6373.2, nan]</t>
  </si>
  <si>
    <t>[2.4, 17.8, nan]</t>
  </si>
  <si>
    <t>[20.8, -37.0, nan]</t>
  </si>
  <si>
    <t>[12.0, -41.4, 292.5]</t>
  </si>
  <si>
    <t>[-17.4, 16.2, nan]</t>
  </si>
  <si>
    <t>[1.9, -3.7, nan]</t>
  </si>
  <si>
    <t>[21.5, -56.9, nan]</t>
  </si>
  <si>
    <t>[-24.1, -47.9, nan]</t>
  </si>
  <si>
    <t>[128.5, -32.8, nan]</t>
  </si>
  <si>
    <t>[-51.0, 716.2, nan]</t>
  </si>
  <si>
    <t>[101.8, -40.3, -34.6]</t>
  </si>
  <si>
    <t>[129.5, -30.1, nan]</t>
  </si>
  <si>
    <t>[-181.0, -34.1, nan]</t>
  </si>
  <si>
    <t>[-30.3, 102.9, nan]</t>
  </si>
  <si>
    <t>[-5.4, 26.4, nan]</t>
  </si>
  <si>
    <t>[-20.2, -51.9, nan]</t>
  </si>
  <si>
    <t>[83.9, -44.1, nan]</t>
  </si>
  <si>
    <t>[-26.3, 56.8, 13.6]</t>
  </si>
  <si>
    <t>[103.1, 5.8, nan]</t>
  </si>
  <si>
    <t>[109.0, -39.5, -11.6]</t>
  </si>
  <si>
    <t>[158.4, 33.2, nan]</t>
  </si>
  <si>
    <t>[5.4, 61.2, -31.4]</t>
  </si>
  <si>
    <t>[-10.2, 10.8, nan]</t>
  </si>
  <si>
    <t>[18.4, 40.7, nan]</t>
  </si>
  <si>
    <t>[355.9, -55.8, 22.7]</t>
  </si>
  <si>
    <t>[-128.8, 3876.3, nan]</t>
  </si>
  <si>
    <t>[-13.5, -25.9, 34.0]</t>
  </si>
  <si>
    <t>[136.7, -45.3, nan]</t>
  </si>
  <si>
    <t>[-48.7, -28.9, -18.7]</t>
  </si>
  <si>
    <t>[263.9, 72.5, nan]</t>
  </si>
  <si>
    <t>[18.2, -30.9, nan]</t>
  </si>
  <si>
    <t>[127.8, -18.7, -10.2]</t>
  </si>
  <si>
    <t>[84.3, 3.8, nan]</t>
  </si>
  <si>
    <t>[235.4, 23.5, nan]</t>
  </si>
  <si>
    <t>[5.5, 6.0, nan]</t>
  </si>
  <si>
    <t>[-62.1, 202.3, nan]</t>
  </si>
  <si>
    <t>[-368.8, -1100.6, nan]</t>
  </si>
  <si>
    <t>[13.8, -12.6, nan]</t>
  </si>
  <si>
    <t>[12.0, 115.7, nan]</t>
  </si>
  <si>
    <t>[6.1, 308.6, nan]</t>
  </si>
  <si>
    <t>[-17.2, 15.3, 18.7]</t>
  </si>
  <si>
    <t>[371.6, 183.0, nan]</t>
  </si>
  <si>
    <t>[47.1, 94.3, 33.7]</t>
  </si>
  <si>
    <t>[196.5, 12.4, nan]</t>
  </si>
  <si>
    <t>[57.5, 42.0, nan]</t>
  </si>
  <si>
    <t>[38.2, -15.9, nan]</t>
  </si>
  <si>
    <t>[0.5, 15.9, nan]</t>
  </si>
  <si>
    <t>[-129.0, 51.5, nan]</t>
  </si>
  <si>
    <t>[-28.4, -33.7, 90.7]</t>
  </si>
  <si>
    <t>[-15.4, -47.1, 38.1]</t>
  </si>
  <si>
    <t>[-7.8, 9.6, nan]</t>
  </si>
  <si>
    <t>[12.1, -21.7, 11.5]</t>
  </si>
  <si>
    <t>[106.0, 6.9, 13.3]</t>
  </si>
  <si>
    <t>[-98.8, -14600.0, nan]</t>
  </si>
  <si>
    <t>[10.4, 30.9, nan]</t>
  </si>
  <si>
    <t>[53.3, -42.3, 48.7]</t>
  </si>
  <si>
    <t>[19.7, -45.1, 49.5]</t>
  </si>
  <si>
    <t>[189.7, -17.3, nan]</t>
  </si>
  <si>
    <t>[19.3, -58.3, nan]</t>
  </si>
  <si>
    <t>[-6.6, -59.3, nan]</t>
  </si>
  <si>
    <t>[-60.7, 2074.8, nan]</t>
  </si>
  <si>
    <t>[5.2, 589.5, nan]</t>
  </si>
  <si>
    <t>[-80.9, 2119.6, nan]</t>
  </si>
  <si>
    <t>[13.5, -5.9, nan]</t>
  </si>
  <si>
    <t>[95.1, -24.0, 18.9]</t>
  </si>
  <si>
    <t>[56.3, -35.0, -4.3]</t>
  </si>
  <si>
    <t>[-52.4, 93.3, 21.3]</t>
  </si>
  <si>
    <t>[-172.4, 144.7, -33.1]</t>
  </si>
  <si>
    <t>[-126.2, -227.5, nan]</t>
  </si>
  <si>
    <t>[24.9, -10.5, nan]</t>
  </si>
  <si>
    <t>[-34.1, 36.0, nan]</t>
  </si>
  <si>
    <t>[373.2, -75.7, 67.2]</t>
  </si>
  <si>
    <t>[35.7, 0.6, -5.8]</t>
  </si>
  <si>
    <t>[2.0, 88.8, nan]</t>
  </si>
  <si>
    <t>[16.6, 6.3, 6.6]</t>
  </si>
  <si>
    <t>[-13.7, -53.8, nan]</t>
  </si>
  <si>
    <t>[-2.2, 23.8, nan]</t>
  </si>
  <si>
    <t>[47.4, -2.5, nan]</t>
  </si>
  <si>
    <t>[115.7, -39.7, nan]</t>
  </si>
  <si>
    <t>[75.8, -29.2, 8.3]</t>
  </si>
  <si>
    <t>[26.5, 11.9, 17.1]</t>
  </si>
  <si>
    <t>[48.7, -16.0, nan]</t>
  </si>
  <si>
    <t>[-2.1, -10.7, 3.7]</t>
  </si>
  <si>
    <t>[4.4, 53.9, nan]</t>
  </si>
  <si>
    <t>[229.6, -6.6, nan]</t>
  </si>
  <si>
    <t>[-1.1, -14.3, nan]</t>
  </si>
  <si>
    <t>[-48.8, -26.3, nan]</t>
  </si>
  <si>
    <t>[672.5, 192.5, nan]</t>
  </si>
  <si>
    <t>[-60.0, -41.0, -24.8]</t>
  </si>
  <si>
    <t>[44.7, -28.3, 18.3]</t>
  </si>
  <si>
    <t>[-53.9, 81.6, 38.7]</t>
  </si>
  <si>
    <t>[46.3, -14.1, nan]</t>
  </si>
  <si>
    <t>[33.9, -43.8, nan]</t>
  </si>
  <si>
    <t>[218.1, 18.3, nan]</t>
  </si>
  <si>
    <t>[648.0, 4.5, nan]</t>
  </si>
  <si>
    <t>[-30.7, 24.5, 31.9]</t>
  </si>
  <si>
    <t>[-14.7, 206.5, nan]</t>
  </si>
  <si>
    <t>[61.7, 347.5, -32.1]</t>
  </si>
  <si>
    <t>[25.9, -29.9, 50.1]</t>
  </si>
  <si>
    <t>[23.5, -8.2, nan]</t>
  </si>
  <si>
    <t>[55.4, 29.3, 9.5]</t>
  </si>
  <si>
    <t>[-343.2, -69.4, -43.6]</t>
  </si>
  <si>
    <t>[41.0, -23.3, 11.7]</t>
  </si>
  <si>
    <t>[61.3, 39.8, nan]</t>
  </si>
  <si>
    <t>[-15.2, 10.6, 22.6]</t>
  </si>
  <si>
    <t>[1.6, -12.0, nan]</t>
  </si>
  <si>
    <t>[63.0, 63.5, 5.2]</t>
  </si>
  <si>
    <t>[-8.6, 32.7, nan]</t>
  </si>
  <si>
    <t>[-9.1, -2460.0, nan]</t>
  </si>
  <si>
    <t>[9.9, -1.7, 19.7]</t>
  </si>
  <si>
    <t>[10825.0, 37.3, nan]</t>
  </si>
  <si>
    <t>[42.0, 11.2, nan]</t>
  </si>
  <si>
    <t>[110.3, 16.8, 23.7]</t>
  </si>
  <si>
    <t>[27.5, 20.0, -29.3]</t>
  </si>
  <si>
    <t>[512.7, -200.4, nan]</t>
  </si>
  <si>
    <t>[253.0, -37.5, -18.4]</t>
  </si>
  <si>
    <t>[-381.2, 281.4, nan]</t>
  </si>
  <si>
    <t>[96.5, -47.6, nan]</t>
  </si>
  <si>
    <t>[-80.6, 85.8, nan]</t>
  </si>
  <si>
    <t>[76.3, -5.2, nan]</t>
  </si>
  <si>
    <t>[69.1, -18.0, 36.3]</t>
  </si>
  <si>
    <t>[49.6, -27.9, 92.5]</t>
  </si>
  <si>
    <t>[-15.8, 26.7, nan]</t>
  </si>
  <si>
    <t>[10.8, 0.0, 8.2]</t>
  </si>
  <si>
    <t>[-48.7, -11.8, nan]</t>
  </si>
  <si>
    <t>[13.7, 6.7, 12.9]</t>
  </si>
  <si>
    <t>[-0.6, 20.6, -0.6]</t>
  </si>
  <si>
    <t>[10.8, 5.8, nan]</t>
  </si>
  <si>
    <t>[-1.0, 21.4, 40.9]</t>
  </si>
  <si>
    <t>[12.5, 0.1, nan]</t>
  </si>
  <si>
    <t>[104.9, -52.6, 42.6]</t>
  </si>
  <si>
    <t>[8.5, -175.8, nan]</t>
  </si>
  <si>
    <t>[78.8, 24.3, nan]</t>
  </si>
  <si>
    <t>[94.5, 22.9, nan]</t>
  </si>
  <si>
    <t>[-19.3, 31.3, nan]</t>
  </si>
  <si>
    <t>[41.5, -0.9, 24.5]</t>
  </si>
  <si>
    <t>[95.1, 38.2, 47.8]</t>
  </si>
  <si>
    <t>[-78.8, 1844.2, -60.3]</t>
  </si>
  <si>
    <t>[8.5, -77.3, nan]</t>
  </si>
  <si>
    <t>[-22.0, -23.8, nan]</t>
  </si>
  <si>
    <t>[-45.1, 88.9, 5.0]</t>
  </si>
  <si>
    <t>[9.8, -15.6, 23.9]</t>
  </si>
  <si>
    <t>[25.9, 45.5, 50.0]</t>
  </si>
  <si>
    <t>[41.8, -26.5, nan]</t>
  </si>
  <si>
    <t>[238.2, 3.8, nan]</t>
  </si>
  <si>
    <t>[154.5, 14.7, nan]</t>
  </si>
  <si>
    <t>[-73.7, 254.9, 355.3, -46.7, 39.7]</t>
  </si>
  <si>
    <t>[-9.1, -39.9, nan, nan, nan]</t>
  </si>
  <si>
    <t>[nan, -21.7, nan, nan, 40.6]</t>
  </si>
  <si>
    <t>[102.8, 57.1, -24.4, 26.7, 46.4]</t>
  </si>
  <si>
    <t>[-2.5, nan, nan, 98.7, 37.2]</t>
  </si>
  <si>
    <t>[nan, nan, nan, -72.8, nan]</t>
  </si>
  <si>
    <t>[nan, nan, -8.4, -38.5, nan]</t>
  </si>
  <si>
    <t>[104.1, 41.8, -35.6, 731.5, 95.7]</t>
  </si>
  <si>
    <t>[9.7, -2.4, 14.2, -28.9, 13.3]</t>
  </si>
  <si>
    <t>[144.3, 20.1, 266.5, 0.1, nan]</t>
  </si>
  <si>
    <t>[nan, 90.9, 3.3, -59.0, -8.0]</t>
  </si>
  <si>
    <t>[238.4, -29.3, -49.0, 183.7, -78.4]</t>
  </si>
  <si>
    <t>[44.4, -76.5, 475.4, 22.0, nan]</t>
  </si>
  <si>
    <t>[142.7, -42.1, 91.6, -10.2, 60.8]</t>
  </si>
  <si>
    <t>[96.1, 35.0, -4.9, 37.3, nan]</t>
  </si>
  <si>
    <t>[-76.0, 802.9, nan, nan, nan]</t>
  </si>
  <si>
    <t>[nan, -55.4, 113.8, 97.5, 846.8]</t>
  </si>
  <si>
    <t>[nan, nan, 9.9, -69.1, nan]</t>
  </si>
  <si>
    <t>[-85.1, 89.0, 74.2, -32.6, -63.8]</t>
  </si>
  <si>
    <t>[nan, 127.1, 113.6, -10.0, -26.4]</t>
  </si>
  <si>
    <t>[71.1, -2.3, 167.6, nan, nan]</t>
  </si>
  <si>
    <t>[5.6, -3.5, -28.4, 2.3, -18.8]</t>
  </si>
  <si>
    <t>[17.8, 1.9, 17.9, 5.7, 4.1]</t>
  </si>
  <si>
    <t>[-27.5, -46.8, 67.5, 136.4, -66.0]</t>
  </si>
  <si>
    <t>[-39.2, 134.6, -0.8, 55.6, -5.6]</t>
  </si>
  <si>
    <t>[-13.4, 336.5, -17.6, 20.5, -19.8]</t>
  </si>
  <si>
    <t>[48.5, 4.1, -1.4, -15.7, -68.0]</t>
  </si>
  <si>
    <t>[55.0, -48.4, 23.3, -1.4, 16.3]</t>
  </si>
  <si>
    <t>[10.1, 13.9, 18.8, -18.1, -8.7]</t>
  </si>
  <si>
    <t>[20.9, 274.6, 22.4, 31.0, 379.8]</t>
  </si>
  <si>
    <t>[-64.9, nan, nan, nan, nan]</t>
  </si>
  <si>
    <t>[29.6, 104.6, 48.1, -28.9, -12.1]</t>
  </si>
  <si>
    <t>[nan, nan, 218.8, 40.2, -61.1]</t>
  </si>
  <si>
    <t>[nan, nan, 51.5, -83.5, -3.5]</t>
  </si>
  <si>
    <t>[-90.2, 152.5, 367.7, 36.9, 7.8]</t>
  </si>
  <si>
    <t>[16.0, 27.2, 0.5, -15.2, 34.2]</t>
  </si>
  <si>
    <t>[27.6, -8.3, -50.1, 98.0, 13.4]</t>
  </si>
  <si>
    <t>[-32.4, 44.2, 13.4, -24.0, 11.4]</t>
  </si>
  <si>
    <t>[13.3, 21.8, 15.6, 19.0, 17.7]</t>
  </si>
  <si>
    <t>[-72.4, 283.6, 122.2, -58.3, -32.3]</t>
  </si>
  <si>
    <t>[-45.6, 7.4, 5.1, -12.8, 35.2]</t>
  </si>
  <si>
    <t>[50.1, -32.7, 6.6, -27.2, 17.4]</t>
  </si>
  <si>
    <t>[nan, nan, -29.1, -13.3, nan]</t>
  </si>
  <si>
    <t>[-18.3, 182.3, -1.2, -68.1, -49.4]</t>
  </si>
  <si>
    <t>[nan, nan, nan, nan, 510.8]</t>
  </si>
  <si>
    <t>[nan, nan, nan, nan, nan]</t>
  </si>
  <si>
    <t>[nan, 40.8, -6.8, -21.9, 22.0]</t>
  </si>
  <si>
    <t>[89.0, 26.4, 130.0, 35.9, 168.6]</t>
  </si>
  <si>
    <t>[84.6, 182.9, -73.4, 63.1, -31.0]</t>
  </si>
  <si>
    <t>[21.3, nan, nan, -12.3, 140.1]</t>
  </si>
  <si>
    <t>[nan, nan, 60.6, nan, -60.6]</t>
  </si>
  <si>
    <t>[15.4, 10.8, 12.7, 8.4, -11.0]</t>
  </si>
  <si>
    <t>[nan, 140.2, 20.9, 121.8, 5.6]</t>
  </si>
  <si>
    <t>[-99.2, 10564.4, -35.5, 278.4, 1957.2]</t>
  </si>
  <si>
    <t>[67.6, 226.7, 15.0, 25.0, -17.2]</t>
  </si>
  <si>
    <t>[nan, nan, 66.9, -22.4, 44.5]</t>
  </si>
  <si>
    <t>[nan, 526.6, -27.1, -70.3, nan]</t>
  </si>
  <si>
    <t>[nan, nan, 401.9, -24.5, 89.6]</t>
  </si>
  <si>
    <t>[-10.4, 20.1, 20.0, -15.5, -29.4]</t>
  </si>
  <si>
    <t>[67.5, 35.7, -23.8, 8.1, 212.9]</t>
  </si>
  <si>
    <t>[78.1, nan, nan, 35.7, nan]</t>
  </si>
  <si>
    <t>[-31.1, nan, nan, -55.7, -90.6]</t>
  </si>
  <si>
    <t>[73.9, 46.9, 1.7, 11.4, 37.3]</t>
  </si>
  <si>
    <t>[102.6, 37.8, 44.8, -16.0, 0.8]</t>
  </si>
  <si>
    <t>[]</t>
  </si>
  <si>
    <t>[10.4, 29.4, -37.4, 51.2, 333.9]</t>
  </si>
  <si>
    <t>[38.8, -22.6, 22.4, 10.6, -8.4]</t>
  </si>
  <si>
    <t>[-1.5, nan, nan, 101.3, -20.8]</t>
  </si>
  <si>
    <t>[nan, nan, -40.9, 41.9, nan]</t>
  </si>
  <si>
    <t>[109.9, 4.5, 58.2, 31.9, -3.2]</t>
  </si>
  <si>
    <t>[-27.0, 124.1, -41.6, 44.8, -97.2]</t>
  </si>
  <si>
    <t>[-27.9, 54.2, -20.0, 15.9, 64.0]</t>
  </si>
  <si>
    <t>[4.3, 57.9, 3.1, 51.2, 9.4]</t>
  </si>
  <si>
    <t>[nan, nan, 477.3, 2.0, 12.8]</t>
  </si>
  <si>
    <t>[nan, 57.5, nan, nan, nan]</t>
  </si>
  <si>
    <t>[nan, 64.5, 162.5, -24.5, -6.9]</t>
  </si>
  <si>
    <t>[nan, nan, -25.8, 6.9, 154.4]</t>
  </si>
  <si>
    <t>[216.7, -60.5, -50.1, 6416.7, 93.4]</t>
  </si>
  <si>
    <t>[nan, 71.0, 2.4, 17.9, 40.0]</t>
  </si>
  <si>
    <t>[24.1, 29.7, 20.8, -37.0, 47.4]</t>
  </si>
  <si>
    <t>[78.2, 3.1, 12.0, -41.5, 153.4]</t>
  </si>
  <si>
    <t>[-25.4, 20.5, -17.4, 16.2, 118.9]</t>
  </si>
  <si>
    <t>[38.5, -7.1, 1.8, -3.7, -32.5]</t>
  </si>
  <si>
    <t>[51.4, 9.7, 21.5, -56.9, -85.3]</t>
  </si>
  <si>
    <t>[nan, 81.5, -24.2, -39.3, -7.3]</t>
  </si>
  <si>
    <t>[29.1, 0.1, 128.6, -32.8, -8.0]</t>
  </si>
  <si>
    <t>[-60.7, 43.3, -51.0, 715.8, 513.5]</t>
  </si>
  <si>
    <t>[nan, 78.5, 101.8, -40.3, 22.3]</t>
  </si>
  <si>
    <t>[-99.4, 12411.0, 129.6, -30.1, nan]</t>
  </si>
  <si>
    <t>[nan, nan, nan, -34.3, -7.6]</t>
  </si>
  <si>
    <t>[nan, nan, -30.3, 102.9, 103.0]</t>
  </si>
  <si>
    <t>[-51.6, 185.5, -5.4, 26.4, 117.7]</t>
  </si>
  <si>
    <t>[1346.0, 139.5, -20.2, -51.9, 154.4]</t>
  </si>
  <si>
    <t>[28.3, 12.7, 83.8, -44.0, 1.9]</t>
  </si>
  <si>
    <t>[166.0, -37.5, -26.2, 56.8, 114.8]</t>
  </si>
  <si>
    <t>[15.0, -5.1, 103.2, 5.9, -23.9]</t>
  </si>
  <si>
    <t>[15.7, -13.7, 109.1, -39.5, -66.3]</t>
  </si>
  <si>
    <t>[38.6, -68.8, 158.5, 33.2, 82.4]</t>
  </si>
  <si>
    <t>[nan, nan, 5.4, 61.3, -7.4]</t>
  </si>
  <si>
    <t>[99.7, -15.7, -10.2, 10.8, 40.4]</t>
  </si>
  <si>
    <t>[nan, 1505.4, 18.3, 41.0, 33.1]</t>
  </si>
  <si>
    <t>[nan, 168.4, 356.2, -55.7, -74.7]</t>
  </si>
  <si>
    <t>[-64.4, nan, nan, 3832.3, -90.8]</t>
  </si>
  <si>
    <t>[33.8, 69.9, -13.5, -25.9, -3.0]</t>
  </si>
  <si>
    <t>[498.0, -53.3, 136.5, -45.3, 98.4]</t>
  </si>
  <si>
    <t>[89.5, 162.5, -48.7, -28.9, 8.8]</t>
  </si>
  <si>
    <t>[nan, -77.0, 265.3, 72.5, 44.1]</t>
  </si>
  <si>
    <t>[-1.0, 38.5, 18.2, -30.9, -9.4]</t>
  </si>
  <si>
    <t>[-42.1, 21.5, 127.8, -18.7, -24.8]</t>
  </si>
  <si>
    <t>[nan, nan, nan, 3.7, -8.7]</t>
  </si>
  <si>
    <t>[nan, 48.2, 235.7, 23.6, nan]</t>
  </si>
  <si>
    <t>[-9.8, 11.5, 5.5, 6.0, 18.1]</t>
  </si>
  <si>
    <t>[30.3, 48.9, -62.1, 202.4, 34.8]</t>
  </si>
  <si>
    <t>[195.1, -68.2, nan, nan, -12.2]</t>
  </si>
  <si>
    <t>[151.4, 2.4, 13.8, -12.6, 53.5]</t>
  </si>
  <si>
    <t>[nan, nan, 12.0, 115.6, 312.0]</t>
  </si>
  <si>
    <t>[2865.6, -40.3, 5.5, 309.8, 488.3]</t>
  </si>
  <si>
    <t>[126.3, -23.5, -17.2, 15.3, 68.9]</t>
  </si>
  <si>
    <t>[663.4, -83.8, 372.2, 183.0, nan]</t>
  </si>
  <si>
    <t>[-0.7, -1.4, -2.9, -2.4, -1.9]</t>
  </si>
  <si>
    <t>[-18.9, -71.0, 196.5, 12.3, 31.2]</t>
  </si>
  <si>
    <t>[-0.9, -39.4, 57.5, 42.0, 106.2]</t>
  </si>
  <si>
    <t>[nan, 1713.8, 38.3, -16.0, -63.5]</t>
  </si>
  <si>
    <t>[nan, -19.8, 0.6, 15.8, 223.8]</t>
  </si>
  <si>
    <t>[-17.2, nan, nan, 51.5, 78.6]</t>
  </si>
  <si>
    <t>[92.9, -30.1, -28.4, -33.7, 353.3]</t>
  </si>
  <si>
    <t>[89.1, 78.1, -15.4, -47.1, 30.0]</t>
  </si>
  <si>
    <t>[-3.9, 29.7, -7.8, 9.6, -6.4]</t>
  </si>
  <si>
    <t>[13.6, 63.1, 12.1, -21.7, -22.0]</t>
  </si>
  <si>
    <t>[nan, nan, 105.9, 6.9, -1.5]</t>
  </si>
  <si>
    <t>[nan, nan, nan, nan, 2255.2]</t>
  </si>
  <si>
    <t>[-32.2, 128.1, 10.5, 30.9, 443.6]</t>
  </si>
  <si>
    <t>[136.3, -3.9, 53.3, -42.3, 2.0]</t>
  </si>
  <si>
    <t>[nan, 235.7, 19.7, -45.1, -1.7]</t>
  </si>
  <si>
    <t>[nan, nan, 189.7, -17.3, nan]</t>
  </si>
  <si>
    <t>[178.1, 70.6, 19.3, -58.3, 121.6]</t>
  </si>
  <si>
    <t>[111.8, 183.4, -6.6, -59.3, 188.2]</t>
  </si>
  <si>
    <t>[-27.5, -40.0, -60.7, 2073.0, -14.2]</t>
  </si>
  <si>
    <t>[nan, nan, 5.2, 589.5, -23.3]</t>
  </si>
  <si>
    <t>[nan, nan, -80.9, 2125.4, 219.6]</t>
  </si>
  <si>
    <t>[0.7, -2.4, 13.5, -5.9, 14.2]</t>
  </si>
  <si>
    <t>[-22.6, 49.7, 95.1, -24.0, 34.0]</t>
  </si>
  <si>
    <t>[15.9, 88.1, 56.3, -35.0, 9.5]</t>
  </si>
  <si>
    <t>[84.2, 11.0, -52.4, 93.3, 95.8]</t>
  </si>
  <si>
    <t>[nan, nan, nan, 144.7, 7.1]</t>
  </si>
  <si>
    <t>[421.1, 65.9, nan, nan, 360.6]</t>
  </si>
  <si>
    <t>[-51.8, 20.7, 24.8, -10.5, -6.8]</t>
  </si>
  <si>
    <t>[nan, 1.3, -34.1, 36.0, 19.2]</t>
  </si>
  <si>
    <t>[-47.8, -14.7, 373.2, -75.7, nan]</t>
  </si>
  <si>
    <t>[-15.9, 24.9, 35.7, 0.6, -2.9]</t>
  </si>
  <si>
    <t>[17.2, -7.0, 2.0, 88.9, -69.8]</t>
  </si>
  <si>
    <t>[3.5, 4.0, 4.1, 4.1, 4.1]</t>
  </si>
  <si>
    <t>[43.9, -27.0, -13.7, -53.8, 247.5]</t>
  </si>
  <si>
    <t>[27.0, 351.6, -2.3, 23.9, 42.9]</t>
  </si>
  <si>
    <t>[6.8, 32.4, 47.4, -2.5, 78.1]</t>
  </si>
  <si>
    <t>[nan, 7.5, 115.3, -39.6, 490.6]</t>
  </si>
  <si>
    <t>[3.1, -24.2, 75.9, -29.2, 139.2]</t>
  </si>
  <si>
    <t>[2.5, -25.7, 26.5, 12.0, 70.3]</t>
  </si>
  <si>
    <t>[19.5, 51.9, 48.6, -16.0, 17.5]</t>
  </si>
  <si>
    <t>[123.8, 51.9, -2.1, -10.7, 14.0]</t>
  </si>
  <si>
    <t>[-26.8, 3.8, 1.1, 56.5, 106.5]</t>
  </si>
  <si>
    <t>[nan, -14.1, 229.1, -6.6, 103.9]</t>
  </si>
  <si>
    <t>[37.8, -7.5, -1.1, -14.3, 19.2]</t>
  </si>
  <si>
    <t>[121.2, 2.9, -48.8, -26.2, -2.0]</t>
  </si>
  <si>
    <t>[nan, 24.2, 669.7, 192.4, -14.4]</t>
  </si>
  <si>
    <t>[35.3, 1760.9, -60.0, -41.1, -47.4]</t>
  </si>
  <si>
    <t>[108.3, 6.3, 44.7, -28.3, -53.6]</t>
  </si>
  <si>
    <t>[3.2, -23.8, -53.9, 81.5, -15.9]</t>
  </si>
  <si>
    <t>[169.2, -13.2, 46.3, -14.1, -6.3]</t>
  </si>
  <si>
    <t>[52.7, 90.9, 33.9, -43.8, 115.5]</t>
  </si>
  <si>
    <t>[nan, 80.5, 217.8, 18.3, 43.8]</t>
  </si>
  <si>
    <t>[nan, -48.5, 647.3, 4.5, 26.1]</t>
  </si>
  <si>
    <t>[204.4, 4.1, -30.7, 24.5, -2.8]</t>
  </si>
  <si>
    <t>[-36.2, -12.5, -14.8, 206.6, 4.8]</t>
  </si>
  <si>
    <t>[nan, 528.0, 61.7, 347.5, 392.5]</t>
  </si>
  <si>
    <t>[nan, nan, 25.9, -29.9, 67.4]</t>
  </si>
  <si>
    <t>[43.3, 34.2, 23.5, -8.2, 45.9]</t>
  </si>
  <si>
    <t>[nan, nan, 55.4, 29.3, 1.3]</t>
  </si>
  <si>
    <t>[nan, nan, nan, -69.4, -72.6]</t>
  </si>
  <si>
    <t>[71.1, 157.4, 41.0, -23.3, -52.8]</t>
  </si>
  <si>
    <t>[-12.4, 43.0, 61.5, 39.8, 92.3]</t>
  </si>
  <si>
    <t>[95.7, -3.8, -15.2, 10.6, 138.0]</t>
  </si>
  <si>
    <t>[11.0, 194.2, 1.6, -12.0, -11.2]</t>
  </si>
  <si>
    <t>[-94.9, 2881.9, 63.1, 63.6, 489.4]</t>
  </si>
  <si>
    <t>[-2.6, 72.3, -8.7, 32.7, 286.3]</t>
  </si>
  <si>
    <t>[-73.1, nan, nan, nan, -97.0]</t>
  </si>
  <si>
    <t>[76.0, 66.6, 9.9, -1.7, -2.4]</t>
  </si>
  <si>
    <t>[nan, nan, 10487.9, 37.1, 34.9]</t>
  </si>
  <si>
    <t>[54.7, -34.2, 42.1, 11.1, -16.9]</t>
  </si>
  <si>
    <t>[12.5, 40.0, 110.2, 16.8, 48.3]</t>
  </si>
  <si>
    <t>[nan, nan, 27.5, 20.0, 39.4]</t>
  </si>
  <si>
    <t>[-25.2, 139.9, 253.2, -37.5, -16.2]</t>
  </si>
  <si>
    <t>[-93.6, nan, nan, 281.6, 7.7]</t>
  </si>
  <si>
    <t>[12.5, 6.2, 96.5, -47.6, 105.9]</t>
  </si>
  <si>
    <t>[99.4, 788.2, -80.6, 85.8, 17.7]</t>
  </si>
  <si>
    <t>[nan, 15.4, 76.3, -5.2, 57.3]</t>
  </si>
  <si>
    <t>[7.8, 29.9, 69.1, -18.0, 3.7]</t>
  </si>
  <si>
    <t>[-36.9, 55.2, 49.5, -27.9, 52.2]</t>
  </si>
  <si>
    <t>[55.1, -0.2, -15.7, 26.6, 46.7]</t>
  </si>
  <si>
    <t>[17.1, -3.3, 10.8, 0.0, -0.3]</t>
  </si>
  <si>
    <t>[-78.6, 188.8, -48.6, -11.8, -1.0]</t>
  </si>
  <si>
    <t>[4.0, 4.2, -1.2, 1.6, 3.6]</t>
  </si>
  <si>
    <t>[7.9, 30.4, -2.2, 21.9, 20.8]</t>
  </si>
  <si>
    <t>[82.2, -31.6, 10.8, 5.8, -47.4]</t>
  </si>
  <si>
    <t>[-11.3, -8.5, -1.0, 21.4, 9.0]</t>
  </si>
  <si>
    <t>[7.5, 11.1, 12.5, 0.2, -3.1]</t>
  </si>
  <si>
    <t>[455.7, 363.7, 104.9, -52.6, 35.6]</t>
  </si>
  <si>
    <t>[nan, 55.8, 8.6, nan, nan]</t>
  </si>
  <si>
    <t>[nan, nan, 78.8, 24.2, -52.4]</t>
  </si>
  <si>
    <t>[57.3, -34.2, 94.5, 23.0, 1113.7]</t>
  </si>
  <si>
    <t>[3.7, -2.3, -19.3, 31.3, -21.6]</t>
  </si>
  <si>
    <t>[-21.1, 28.5, 41.5, -0.9, 25.5]</t>
  </si>
  <si>
    <t>[11.5, 9.3, 16.0, 18.1, 27.9]</t>
  </si>
  <si>
    <t>[-40.7, 9.0, -78.8, 1843.8, -86.8]</t>
  </si>
  <si>
    <t>[255.3, 160.7, 8.5, -77.3, nan]</t>
  </si>
  <si>
    <t>[nan, 127.5, -22.0, -23.8, 254.6]</t>
  </si>
  <si>
    <t>[nan, nan, -45.1, 88.9, 233.1]</t>
  </si>
  <si>
    <t>[64.4, 119.6, 9.8, -15.6, 32.3]</t>
  </si>
  <si>
    <t>[-16.0, 70.2, 26.1, 45.4, 107.5]</t>
  </si>
  <si>
    <t>[963.5, 351.8, 41.8, -26.5, -45.3]</t>
  </si>
  <si>
    <t>[519.8, -58.4, 237.9, 3.8, -5.6]</t>
  </si>
  <si>
    <t>[70.1, -24.7, 154.2, 14.4, 63.3]</t>
  </si>
  <si>
    <t>[3949.0, 3935.0, 4492.0, nan]</t>
  </si>
  <si>
    <t>[1308.0, 1221.0, 2558.0, nan]</t>
  </si>
  <si>
    <t>[374.0, 351.0, 403.0, nan]</t>
  </si>
  <si>
    <t>[2172.0, 2417.0, 2712.0, 3081.0]</t>
  </si>
  <si>
    <t>[446.0, 464.0, 567.0, nan]</t>
  </si>
  <si>
    <t>[231.0, 410.0, 522.0, nan]</t>
  </si>
  <si>
    <t>[1635.0, 1934.0, 2126.0, nan]</t>
  </si>
  <si>
    <t>[12373.0, 13050.0, 17354.0, nan]</t>
  </si>
  <si>
    <t>[819.0, 897.0, 938.0, nan]</t>
  </si>
  <si>
    <t>[1320.0, 1575.0, 1856.0, nan]</t>
  </si>
  <si>
    <t>[1726.0, 2058.0, 3544.0, nan]</t>
  </si>
  <si>
    <t>[1110.0, 1207.0, 1432.0, nan]</t>
  </si>
  <si>
    <t>[1842.0, 1987.0, 2218.0, nan]</t>
  </si>
  <si>
    <t>[542.0, 623.0, 690.0, 792.0]</t>
  </si>
  <si>
    <t>[836.0, 1833.0, 2044.0, nan]</t>
  </si>
  <si>
    <t>[377.0, 358.0, 465.0, nan]</t>
  </si>
  <si>
    <t>[637.0, 761.0, 994.0, 1367.0]</t>
  </si>
  <si>
    <t>[23.0, 291.0, 483.0, nan]</t>
  </si>
  <si>
    <t>[929.0, 1128.0, 1196.0, nan]</t>
  </si>
  <si>
    <t>[1558.0, 2035.0, 2350.0, nan]</t>
  </si>
  <si>
    <t>[314.0, 442.0, 570.0, nan]</t>
  </si>
  <si>
    <t>[1139.0, 1242.0, 1369.0, nan]</t>
  </si>
  <si>
    <t>[1504.0, 1696.0, 1892.0, nan]</t>
  </si>
  <si>
    <t>[1790.0, 2051.0, 2358.0, 2510.0]</t>
  </si>
  <si>
    <t>[481.0, 530.0, 604.0, nan]</t>
  </si>
  <si>
    <t>[13282.0, 15127.0, 16964.0, nan]</t>
  </si>
  <si>
    <t>[1936.0, 2163.0, 2305.0, nan]</t>
  </si>
  <si>
    <t>[1094.0, 1254.0, 1399.0, nan]</t>
  </si>
  <si>
    <t>[2480.0, 2760.0, 3002.0, nan]</t>
  </si>
  <si>
    <t>[351.0, 418.0, 498.0, nan]</t>
  </si>
  <si>
    <t>[1549.0, 1228.0, 1701.0, nan]</t>
  </si>
  <si>
    <t>[3262.0, 3966.0, 4409.0, nan]</t>
  </si>
  <si>
    <t>[1119.0, 1282.0, 1498.0, nan]</t>
  </si>
  <si>
    <t>[177.0, 222.0, 239.0, nan]</t>
  </si>
  <si>
    <t>[170.0, 187.0, 210.0, nan]</t>
  </si>
  <si>
    <t>[961.0, 1068.0, 1190.0, nan]</t>
  </si>
  <si>
    <t>[4774.0, 4488.0, 4971.0, 5592.0]</t>
  </si>
  <si>
    <t>[8438.0, 9747.0, 10836.0, nan]</t>
  </si>
  <si>
    <t>[102365.0, 92966.0, 108808.0, 110240.0]</t>
  </si>
  <si>
    <t>[700.0, 933.0, 1243.0, 1371.0]</t>
  </si>
  <si>
    <t>[1862.0, 2103.0, 2313.0, nan]</t>
  </si>
  <si>
    <t>[3986.0, 4534.0, 4957.0, 5386.0]</t>
  </si>
  <si>
    <t>[397.0, 440.0, 470.0, nan]</t>
  </si>
  <si>
    <t>[615.0, 713.0, 731.0, nan]</t>
  </si>
  <si>
    <t>[3142.0, 2996.0, 3906.0, nan]</t>
  </si>
  <si>
    <t>[265.0, 215.0, 413.0, nan]</t>
  </si>
  <si>
    <t>[334.0, 640.0, 697.0, nan]</t>
  </si>
  <si>
    <t>[627.0, 744.0, 926.0, nan]</t>
  </si>
  <si>
    <t>[958.0, 1041.0, 1091.0, nan]</t>
  </si>
  <si>
    <t>[286.0, 344.0, 389.0, nan]</t>
  </si>
  <si>
    <t>[162.0, 255.0, 429.0, nan]</t>
  </si>
  <si>
    <t>[550.0, 592.0, 660.0, nan]</t>
  </si>
  <si>
    <t>[2443.0, 2613.0, 3031.0, nan]</t>
  </si>
  <si>
    <t>[2082.0, 2124.0, 3014.0, nan]</t>
  </si>
  <si>
    <t>[1723.0, 2145.0, 2605.0, nan]</t>
  </si>
  <si>
    <t>[167.0, 219.0, 254.0, nan]</t>
  </si>
  <si>
    <t>[921.0, 1815.0, 1823.0, nan]</t>
  </si>
  <si>
    <t>[1914.0, 2402.0, 2800.0, nan]</t>
  </si>
  <si>
    <t>[895.0, 991.0, 1094.0, nan]</t>
  </si>
  <si>
    <t>[229.0, 385.0, 428.0, nan]</t>
  </si>
  <si>
    <t>[191.0, 225.0, 263.0, nan]</t>
  </si>
  <si>
    <t>[937.0, 1257.0, 1522.0, 1794.0]</t>
  </si>
  <si>
    <t>[4035.0, 4317.0, 4544.0, 4940.0]</t>
  </si>
  <si>
    <t>[2712.0, 3064.0, 3358.0, nan]</t>
  </si>
  <si>
    <t>[6120.0, 6737.0, 7541.0, nan]</t>
  </si>
  <si>
    <t>[1423.0, 1507.0, 1645.0, nan]</t>
  </si>
  <si>
    <t>[1744.0, 2072.0, 2223.0, 2510.0]</t>
  </si>
  <si>
    <t>[875.0, 973.0, 1093.0, nan]</t>
  </si>
  <si>
    <t>[419.0, 451.0, 504.0, nan]</t>
  </si>
  <si>
    <t>[1981.0, 2285.0, 2996.0, nan]</t>
  </si>
  <si>
    <t>[3254.0, 3460.0, 3739.0, nan]</t>
  </si>
  <si>
    <t>[993.0, 1092.0, 1183.0, nan]</t>
  </si>
  <si>
    <t>[656.0, 712.0, 801.0, nan]</t>
  </si>
  <si>
    <t>[930.0, 1159.0, 1316.0, nan]</t>
  </si>
  <si>
    <t>[835.0, 756.0, 1007.0, nan]</t>
  </si>
  <si>
    <t>[1593.0, 1984.0, 2014.0, nan]</t>
  </si>
  <si>
    <t>[5211.0, 6662.0, 7764.0, nan]</t>
  </si>
  <si>
    <t>[984.0, 1092.0, 1208.0, nan]</t>
  </si>
  <si>
    <t>[1033.0, 1041.0, 1567.0, nan]</t>
  </si>
  <si>
    <t>[322.0, 372.0, 427.0, nan]</t>
  </si>
  <si>
    <t>[2395.0, 3075.0, 3466.0, nan]</t>
  </si>
  <si>
    <t>[1077.0, 1261.0, 1394.0, 1879.0]</t>
  </si>
  <si>
    <t>[1651.0, 1766.0, 1958.0, nan]</t>
  </si>
  <si>
    <t>[4215.0, 4754.0, 5305.0, nan]</t>
  </si>
  <si>
    <t>[1270.0, 1477.0, 1551.0, nan]</t>
  </si>
  <si>
    <t>[189.0, 527.0, 560.0, nan]</t>
  </si>
  <si>
    <t>[888.0, 1199.0, 1599.0, nan]</t>
  </si>
  <si>
    <t>[533.0, 524.0, 695.0, nan]</t>
  </si>
  <si>
    <t>[2205.0, 2818.0, 3104.0, 3319.0]</t>
  </si>
  <si>
    <t>[1314.0, 1685.0, 1917.0, nan]</t>
  </si>
  <si>
    <t>[134.0, 334.0, 419.0, nan]</t>
  </si>
  <si>
    <t>[1227.0, 1503.0, 1918.0, nan]</t>
  </si>
  <si>
    <t>[1149.0, 1439.0, 1646.0, nan]</t>
  </si>
  <si>
    <t>[1132.0, 1318.0, 1414.0, nan]</t>
  </si>
  <si>
    <t>[886.0, 1109.0, 1162.0, nan]</t>
  </si>
  <si>
    <t>[2321.0, 2623.0, 2975.0, 3235.0]</t>
  </si>
  <si>
    <t>[4458.0, 5124.0, 5845.0, nan]</t>
  </si>
  <si>
    <t>[705.0, 820.0, 875.0, 923.0]</t>
  </si>
  <si>
    <t>[11797.0, 13555.0, 16104.0, nan]</t>
  </si>
  <si>
    <t>[20885.0, 22671.0, 23014.0, 23397.0]</t>
  </si>
  <si>
    <t>[23555.0, 27149.0, 30152.0, nan]</t>
  </si>
  <si>
    <t>[675.0, 730.0, 815.0, nan]</t>
  </si>
  <si>
    <t>[964.0, 1282.0, 1666.0, 2099.0]</t>
  </si>
  <si>
    <t>[650.0, 714.0, 1779.0, nan]</t>
  </si>
  <si>
    <t>[3581.0, 4743.0, 5274.0, 6126.0]</t>
  </si>
  <si>
    <t>[731.0, 1015.0, 1084.0, nan]</t>
  </si>
  <si>
    <t>[8157.0, 8940.0, 10038.0, nan]</t>
  </si>
  <si>
    <t>[2073.0, 2413.0, 2846.0, nan]</t>
  </si>
  <si>
    <t>[570.0, 644.0, 671.0, nan]</t>
  </si>
  <si>
    <t>[3236.0, 3722.0, 3855.0, 4121.0]</t>
  </si>
  <si>
    <t>[332.0, 386.0, 454.0, nan]</t>
  </si>
  <si>
    <t>[1921.0, 2216.0, 2633.0, nan]</t>
  </si>
  <si>
    <t>[10777.0, 11964.0, 13217.0, nan]</t>
  </si>
  <si>
    <t>[9348.0, 9965.0, 11766.0, nan]</t>
  </si>
  <si>
    <t>[1328.0, 1258.0, 1536.0, nan]</t>
  </si>
  <si>
    <t>[1972.0, 2152.0, 2355.0, nan]</t>
  </si>
  <si>
    <t>[1115.0, 1480.0, 2247.0, nan]</t>
  </si>
  <si>
    <t>[434.0, 461.0, 621.0, nan]</t>
  </si>
  <si>
    <t>[32467.0, 36867.0, 40923.0, 45983.0]</t>
  </si>
  <si>
    <t>[1573.0, 1790.0, 2290.0, nan]</t>
  </si>
  <si>
    <t>[83737.0, 96508.0, 120103.0, 138744.0]</t>
  </si>
  <si>
    <t>[3731.0, 4063.0, 4485.0, nan]</t>
  </si>
  <si>
    <t>[25189.0, 28873.0, 34464.0, nan]</t>
  </si>
  <si>
    <t>[1419.0, 1568.0, 1757.0, nan]</t>
  </si>
  <si>
    <t>[897.0, 1065.0, 1330.0, nan]</t>
  </si>
  <si>
    <t>[427.0, 488.0, 564.0, nan]</t>
  </si>
  <si>
    <t>[1318.0, 1486.0, 1522.0, 1687.0]</t>
  </si>
  <si>
    <t>[5352.0, 6975.0, 7559.0, 8795.0]</t>
  </si>
  <si>
    <t>[4723.0, 5318.0, 7944.0, nan]</t>
  </si>
  <si>
    <t>[465524.0, 558312.0, 611879.0, 670599.0]</t>
  </si>
  <si>
    <t>[12644.0, 17206.0, 20294.0, 24333.0]</t>
  </si>
  <si>
    <t>[549.0, 548.0, 732.0, nan]</t>
  </si>
  <si>
    <t>[3649.0, 4125.0, 4794.0, nan]</t>
  </si>
  <si>
    <t>[2061.0, 2481.0, 2586.0, nan]</t>
  </si>
  <si>
    <t>[6416.0, 7218.0, 7438.0, 7927.0]</t>
  </si>
  <si>
    <t>[2233.0, 2583.0, 2870.0, nan]</t>
  </si>
  <si>
    <t>[6430.0, 8182.0, 8780.0, nan]</t>
  </si>
  <si>
    <t>[8816.0, 10998.0, 11714.0, nan]</t>
  </si>
  <si>
    <t>[4301.0, 4493.0, 5631.0, nan]</t>
  </si>
  <si>
    <t>[2899.0, 2935.0, 3579.0, nan]</t>
  </si>
  <si>
    <t>[1042.0, 954.0, 1274.0, nan]</t>
  </si>
  <si>
    <t>[8069.0, 9584.0, 10846.0, nan]</t>
  </si>
  <si>
    <t>[9319.0, 10761.0, 11615.0, 12540.0]</t>
  </si>
  <si>
    <t>[1594.0, 2004.0, 2206.0, 2327.0]</t>
  </si>
  <si>
    <t>[2896.0, 4154.0, 4552.0, 5032.0]</t>
  </si>
  <si>
    <t>[358450.0, 399152.0, 481699.0, 528257.0]</t>
  </si>
  <si>
    <t>[2298.0, 2209.0, 2462.0, nan]</t>
  </si>
  <si>
    <t>[1145.0, 1226.0, 1296.0, nan]</t>
  </si>
  <si>
    <t>[577.0, 704.0, 869.0, nan]</t>
  </si>
  <si>
    <t>[2588.0, 3510.0, 3795.0, 4028.0]</t>
  </si>
  <si>
    <t>[2912.0, 3789.0, 4670.0, 5386.0]</t>
  </si>
  <si>
    <t>[1525.0, 1652.0, 1868.0, nan]</t>
  </si>
  <si>
    <t>[50028.0, 55806.0, 59146.0, 62977.0]</t>
  </si>
  <si>
    <t>[3214.0, 3365.0, 3676.0, nan]</t>
  </si>
  <si>
    <t>[1066.0, 1305.0, 1540.0, nan]</t>
  </si>
  <si>
    <t>[2105.0, 2798.0, 3239.0, nan]</t>
  </si>
  <si>
    <t>[388.0, 467.0, 546.0, nan]</t>
  </si>
  <si>
    <t>[907.0, 1055.0, 1156.0, 1261.0]</t>
  </si>
  <si>
    <t>[3299.0, 3528.0, 3960.0, 4455.0]</t>
  </si>
  <si>
    <t>[1078.0, 1241.0, 1376.0, nan]</t>
  </si>
  <si>
    <t>[11393.0, 17416.0, 20073.0, 22766.0]</t>
  </si>
  <si>
    <t>[2002.0, 2193.0, 2531.0, nan]</t>
  </si>
  <si>
    <t>[1240.0, 2295.0, 2670.0, nan]</t>
  </si>
  <si>
    <t>[2666.0, 2995.0, 3229.0, nan]</t>
  </si>
  <si>
    <t>[2342.0, 2545.0, 2703.0, nan]</t>
  </si>
  <si>
    <t>[1606.0, 2121.0, 2833.0, nan]</t>
  </si>
  <si>
    <t>[27025.0, 33698.0, 40001.0, 42700.0]</t>
  </si>
  <si>
    <t>[5774.0, 6520.0, 6927.0, 7918.0]</t>
  </si>
  <si>
    <t>[1181.0, 1299.0, 1436.0, nan]</t>
  </si>
  <si>
    <t>[2642.0, 2966.0, 3201.0, nan]</t>
  </si>
  <si>
    <t>[1125.0, 1505.0, 1669.0, nan]</t>
  </si>
  <si>
    <t>[526.0, 742.0, 1047.0, nan]</t>
  </si>
  <si>
    <t>[3404.0, 3889.0, 4447.0, nan]</t>
  </si>
  <si>
    <t>[4451.0, 5175.0, 5714.0, 6520.0]</t>
  </si>
  <si>
    <t>[2041.0, 2081.0, 2385.0, nan]</t>
  </si>
  <si>
    <t>[51774.0, 52660.0, 78245.0, 82161.0]</t>
  </si>
  <si>
    <t>[8716.0, 11314.0, 11859.0, 13542.0]</t>
  </si>
  <si>
    <t>[1445.0, 1624.0, 1736.0, nan]</t>
  </si>
  <si>
    <t>[1715.0, 4534.0, 10924.0, 13644.0]</t>
  </si>
  <si>
    <t>[3428.0, 3507.0, 3998.0, 4161.0]</t>
  </si>
  <si>
    <t>[690.0, 916.0, 1045.0, nan]</t>
  </si>
  <si>
    <t>[219.0, 274.0, 366.0, nan]</t>
  </si>
  <si>
    <t>[12905.0, 15622.0, 18787.0, 22661.0]</t>
  </si>
  <si>
    <t>[366.0, 458.0, 538.0, nan]</t>
  </si>
  <si>
    <t>[448.0, 549.0, 738.0, 826.0]</t>
  </si>
  <si>
    <t>[460.0, 539.0, 647.0, nan]</t>
  </si>
  <si>
    <t>[1051.0, 992.0, 1415.0, nan]</t>
  </si>
  <si>
    <t>[1795.0, 2023.0, 2339.0, 2540.0]</t>
  </si>
  <si>
    <t>[1872.0, 2121.0, 2344.0, nan]</t>
  </si>
  <si>
    <t>[929.0, 1088.0, 1259.0, nan]</t>
  </si>
  <si>
    <t>[967.0, 1483.0, 2163.0, nan]</t>
  </si>
  <si>
    <t>[1811.0, 7644.0, 9212.0, 10593.0]</t>
  </si>
  <si>
    <t>[220.0, 238.0, 409.0, nan]</t>
  </si>
  <si>
    <t>[1172.0, 2325.0, 2424.0, 3010.0]</t>
  </si>
  <si>
    <t>[15.0, 47.0, 419.0, nan]</t>
  </si>
  <si>
    <t>[4557.0, 6150.0, 6929.0, nan]</t>
  </si>
  <si>
    <t>[1623.0, 1717.0, 1987.0, nan]</t>
  </si>
  <si>
    <t>[2654.0, 3295.0, 3694.0, nan]</t>
  </si>
  <si>
    <t>[1296.0, 1714.0, 2012.0, 2454.0]</t>
  </si>
  <si>
    <t>[5846.0, 6954.0, 7705.0, 9318.0]</t>
  </si>
  <si>
    <t>[833.0, 933.0, 1075.0, nan]</t>
  </si>
  <si>
    <t>[12866.0, 14580.0, 15723.0, 16153.0]</t>
  </si>
  <si>
    <t>[439.0, 403.0, 470.0, nan]</t>
  </si>
  <si>
    <t>[95819.0, 100944.0, 103226.0, 109195.0]</t>
  </si>
  <si>
    <t>[1600.0, 1769.0, 1954.0, nan]</t>
  </si>
  <si>
    <t>[1471.0, 1669.0, 1717.0, nan]</t>
  </si>
  <si>
    <t>[1024.0, 1132.0, 1257.0, 1420.0]</t>
  </si>
  <si>
    <t>[456.0, 529.0, 630.0, 680.0]</t>
  </si>
  <si>
    <t>[115.0, 309.0, 620.0, 378.0]</t>
  </si>
  <si>
    <t>[119.0, 228.0, 383.0, nan]</t>
  </si>
  <si>
    <t>[371.0, 534.0, 1565.0, nan]</t>
  </si>
  <si>
    <t>[3477.0, 4113.0, 4844.0, nan]</t>
  </si>
  <si>
    <t>[702.0, 706.0, 751.0, nan]</t>
  </si>
  <si>
    <t>[2041.0, 2367.0, 2711.0, nan]</t>
  </si>
  <si>
    <t>[48607.0, 55877.0, 67044.0, 78100.0]</t>
  </si>
  <si>
    <t>[7225.0, 6648.0, 10026.0, 10988.0]</t>
  </si>
  <si>
    <t>[468.0, 565.0, 589.0, nan]</t>
  </si>
  <si>
    <t>[204.0, 321.0, 685.0, nan]</t>
  </si>
  <si>
    <t>[741.0, 846.0, 1020.0, 1218.0]</t>
  </si>
  <si>
    <t>[19284.0, 22998.0, 25525.0, 27966.0]</t>
  </si>
  <si>
    <t>[628.0, 840.0, 1072.0, 1295.0]</t>
  </si>
  <si>
    <t>[1248.0, 1967.0, 2393.0, nan]</t>
  </si>
  <si>
    <t>[1206.0, 1589.0, 2188.0, nan]</t>
  </si>
  <si>
    <t>[592.0, 696.0, 795.0, nan]</t>
  </si>
  <si>
    <t>[5.96, 23.42, 11.67, nan]</t>
  </si>
  <si>
    <t>[7.08, -6.9, 66.78, nan]</t>
  </si>
  <si>
    <t>[29.75, -3.18, 15.6, nan]</t>
  </si>
  <si>
    <t>[18.53, 12.23, 13.86, 14.95]</t>
  </si>
  <si>
    <t>[-4.84, 9.63, 16.91, nan]</t>
  </si>
  <si>
    <t>[-47.42, 34.3, 6.66, nan]</t>
  </si>
  <si>
    <t>[25.77, 19.02, 10.28, nan]</t>
  </si>
  <si>
    <t>[7.63, 4.61, 32.06, nan]</t>
  </si>
  <si>
    <t>[16.64, 16.74, 11.13, nan]</t>
  </si>
  <si>
    <t>[6.49, 21.05, 17.77, nan]</t>
  </si>
  <si>
    <t>[20.48, 17.15, 5.1, 5.16]</t>
  </si>
  <si>
    <t>[12.56, 5.94, 14.81, 11.6]</t>
  </si>
  <si>
    <t>[2.41, 12.48, 13.62, nan]</t>
  </si>
  <si>
    <t>[11.42, 19.69, 15.7, 15.39]</t>
  </si>
  <si>
    <t>[44.11, 23.29, 25.36, nan]</t>
  </si>
  <si>
    <t>[12.86, -2.52, 24.65, nan]</t>
  </si>
  <si>
    <t>[9.0, 16.68, 26.23, 31.68]</t>
  </si>
  <si>
    <t>[0, 77.87, 13.12, nan, -8.79]</t>
  </si>
  <si>
    <t>[10.65, 15.2, 10.39, nan]</t>
  </si>
  <si>
    <t>[14.67, 25.76, 18.98, nan]</t>
  </si>
  <si>
    <t>[15.88, 32.48, -1.53, nan]</t>
  </si>
  <si>
    <t>[21.13, 13.16, 12.28, nan]</t>
  </si>
  <si>
    <t>[13.03, 13.61, 12.83, nan]</t>
  </si>
  <si>
    <t>[7.76, 10.71, 22.13, 8.67]</t>
  </si>
  <si>
    <t>[11.96, 10.8, 14.99, nan]</t>
  </si>
  <si>
    <t>[13.63, 9.86, 10.52, nan]</t>
  </si>
  <si>
    <t>[17.37, 15.16, 11.72, nan]</t>
  </si>
  <si>
    <t>[11.81, 13.18, 11.5, nan]</t>
  </si>
  <si>
    <t>[12.01, 12.89, 9.6, nan]</t>
  </si>
  <si>
    <t>[14.67, 15.71, 17.34, nan]</t>
  </si>
  <si>
    <t>[-3.98, -21.43, 33.57, nan]</t>
  </si>
  <si>
    <t>[15.53, 19.25, 11.81, nan]</t>
  </si>
  <si>
    <t>[5.21, 15.14, 18.26, nan]</t>
  </si>
  <si>
    <t>[17.45, 22.53, 3.22, nan]</t>
  </si>
  <si>
    <t>[3.03, 13.5, 16.63, nan]</t>
  </si>
  <si>
    <t>[14.25, 12.67, 9.65, nan]</t>
  </si>
  <si>
    <t>[21.07, 9.97, 18.03, 17.65]</t>
  </si>
  <si>
    <t>[17.85, 17.64, 11.84, nan]</t>
  </si>
  <si>
    <t>[15.63, 18.96, 17.72, 14.12]</t>
  </si>
  <si>
    <t>[15.43, 27.42, 10.1, 12.24]</t>
  </si>
  <si>
    <t>[14.84, 13.75, 10.71, nan]</t>
  </si>
  <si>
    <t>[13.83, 12.94, 8.46, 9.41]</t>
  </si>
  <si>
    <t>[19.47, 11.95, 9.48, nan]</t>
  </si>
  <si>
    <t>[24.22, 19.95, 5.86, nan]</t>
  </si>
  <si>
    <t>[4.45, -4.11, 27.16, nan]</t>
  </si>
  <si>
    <t>[-83.47, -43.79, 56.26, nan]</t>
  </si>
  <si>
    <t>[20.41, 12.3, 8.53, nan]</t>
  </si>
  <si>
    <t>[10.2, 20.47, 22.82, nan]</t>
  </si>
  <si>
    <t>[28.45, 6.36, 9.73, nan]</t>
  </si>
  <si>
    <t>[-0.17, 20.78, 15.66, nan]</t>
  </si>
  <si>
    <t>[20.39, 33.08, -9.73, nan]</t>
  </si>
  <si>
    <t>[14.53, 15.01, 14.85, nan]</t>
  </si>
  <si>
    <t>[6.92, 7.78, 15.47, nan]</t>
  </si>
  <si>
    <t>[12.11, 7.46, 23.12, nan]</t>
  </si>
  <si>
    <t>[19.34, 18.15, 18.48, nan]</t>
  </si>
  <si>
    <t>[20.02, 22.78, 14.44, nan]</t>
  </si>
  <si>
    <t>[27.95, 14.54, 3.64, nan]</t>
  </si>
  <si>
    <t>[6.26, 26.76, 16.58, nan]</t>
  </si>
  <si>
    <t>[15.59, 15.23, 11.61, nan]</t>
  </si>
  <si>
    <t>[22.73, 12.1, 10.52, nan]</t>
  </si>
  <si>
    <t>[-0.12, 12.08, 13.71, nan]</t>
  </si>
  <si>
    <t>[-0.21, 26.23, 10.93, 14.05]</t>
  </si>
  <si>
    <t>[12.13, 11.38, 11.35, 10.72]</t>
  </si>
  <si>
    <t>[11.67, 15.09, 11.4, nan]</t>
  </si>
  <si>
    <t>[12.39, 12.62, 14.08, nan]</t>
  </si>
  <si>
    <t>[16.12, 9.28, 13.04, nan]</t>
  </si>
  <si>
    <t>[14.5, 14.63, 14.22, 16.88]</t>
  </si>
  <si>
    <t>[-0.59, 12.91, 23.24, nan]</t>
  </si>
  <si>
    <t>[17.44, 9.16, 11.83, nan]</t>
  </si>
  <si>
    <t>[14.72, 18.41, 19.61, nan]</t>
  </si>
  <si>
    <t>[16.61, 8.77, 11.85, nan]</t>
  </si>
  <si>
    <t>[13.77, 10.12, 10.73, nan]</t>
  </si>
  <si>
    <t>[10.51, 9.99, 13.67, nan]</t>
  </si>
  <si>
    <t>[3.58, 18.27, 15.73, nan]</t>
  </si>
  <si>
    <t>[18.33, -11.43, 27.0, nan]</t>
  </si>
  <si>
    <t>[7.37, 16.63, 11.23, nan]</t>
  </si>
  <si>
    <t>[26.51, 24.89, 15.33, nan]</t>
  </si>
  <si>
    <t>[19.49, 12.65, 12.2, nan]</t>
  </si>
  <si>
    <t>[1.42, 0.71, 36.78, nan]</t>
  </si>
  <si>
    <t>[18.61, 16.39, 16.55, nan]</t>
  </si>
  <si>
    <t>[25.3, 23.78, 12.53, nan]</t>
  </si>
  <si>
    <t>[18.64, 17.88, 9.58, 31.72]</t>
  </si>
  <si>
    <t>[16.81, 12.45, 12.92, nan]</t>
  </si>
  <si>
    <t>[14.47, 12.7, 10.9, nan]</t>
  </si>
  <si>
    <t>[16.98, 17.78, 6.95, nan]</t>
  </si>
  <si>
    <t>[30.83, 11.76, 4.92, nan]</t>
  </si>
  <si>
    <t>[14.84, 28.47, 15.93, nan]</t>
  </si>
  <si>
    <t>[10.44, 4.96, 35.1, nan]</t>
  </si>
  <si>
    <t>[13.06, 21.95, 11.11, 6.69]</t>
  </si>
  <si>
    <t>[13.36, 25.21, 14.66, nan]</t>
  </si>
  <si>
    <t>[-66.79, 31.96, 14.03, nan]</t>
  </si>
  <si>
    <t>[29.93, 16.49, 26.7, nan]</t>
  </si>
  <si>
    <t>[19.95, 15.17, 16.09, nan]</t>
  </si>
  <si>
    <t>[26.24, 16.87, 7.27, nan]</t>
  </si>
  <si>
    <t>[13.46, 20.72, 10.37, nan]</t>
  </si>
  <si>
    <t>[12.86, 8.48, 11.66, 11.77]</t>
  </si>
  <si>
    <t>[8.28, 15.16, 14.01, nan]</t>
  </si>
  <si>
    <t>[9.08, 16.94, 9.22, 7.68]</t>
  </si>
  <si>
    <t>[5.49, 12.96, 14.76, nan]</t>
  </si>
  <si>
    <t>[10.63, 9.65, 14.84, 10.02]</t>
  </si>
  <si>
    <t>[16.88, 13.17, 12.83, nan]</t>
  </si>
  <si>
    <t>[11.57, 12.32, 15.74, nan]</t>
  </si>
  <si>
    <t>[7.97, 30.18, 10.18, 9.78]</t>
  </si>
  <si>
    <t>[-14.77, 4.5, 96.89, nan]</t>
  </si>
  <si>
    <t>[35.78, 23.41, 15.29, 18.0]</t>
  </si>
  <si>
    <t>[9.79, 18.43, 8.38, nan]</t>
  </si>
  <si>
    <t>[29.56, 12.76, 8.17, 6.28]</t>
  </si>
  <si>
    <t>[2.96, 9.88, 14.54, nan]</t>
  </si>
  <si>
    <t>[15.7, 16.55, 10.57, nan]</t>
  </si>
  <si>
    <t>[8.83, 18.28, 13.61, 11.27]</t>
  </si>
  <si>
    <t>[10.27, 16.9, 15.0, nan]</t>
  </si>
  <si>
    <t>[4.12, 12.34, 13.01, nan]</t>
  </si>
  <si>
    <t>[12.72, 12.08, 11.56, nan]</t>
  </si>
  <si>
    <t>[17.31, 5.99, 16.11, nan]</t>
  </si>
  <si>
    <t>[0.95, -2.66, 24.66, nan]</t>
  </si>
  <si>
    <t>[12.81, 13.26, 10.6, nan]</t>
  </si>
  <si>
    <t>[28.65, 24.54, 36.85, nan]</t>
  </si>
  <si>
    <t>[8.57, 8.57, 29.03, nan]</t>
  </si>
  <si>
    <t>[17.03, 12.32, 12.66, 13.44]</t>
  </si>
  <si>
    <t>[2.55, 11.1, 25.89, nan]</t>
  </si>
  <si>
    <t>[8.81, 11.54, 18.66, 20.87]</t>
  </si>
  <si>
    <t>[4.95, 14.0, 14.34, nan]</t>
  </si>
  <si>
    <t>[9.35, 13.16, 15.95, nan]</t>
  </si>
  <si>
    <t>[10.97, 13.73, 10.36, nan]</t>
  </si>
  <si>
    <t>[24.04, 18.63, 17.68, nan]</t>
  </si>
  <si>
    <t>[-33.44, 11.17, 14.73, nan]</t>
  </si>
  <si>
    <t>[22.27, 12.39, 7.66, 13.69]</t>
  </si>
  <si>
    <t>[33.22, 20.95, 9.4, 11.54]</t>
  </si>
  <si>
    <t>[16.63, 13.68, 12.28, nan]</t>
  </si>
  <si>
    <t>[20.44, 19.09, 12.92, 12.97]</t>
  </si>
  <si>
    <t>[13.2, 21.77, 18.53, 17.64]</t>
  </si>
  <si>
    <t>[-15.1, -0.17, 22.84, nan]</t>
  </si>
  <si>
    <t>[13.89, 13.54, 15.44, nan]</t>
  </si>
  <si>
    <t>[21.47, 26.75, 13.22, 18.41]</t>
  </si>
  <si>
    <t>[14.16, 15.14, 7.58, 10.46]</t>
  </si>
  <si>
    <t>[6.01, 15.76, 11.51, nan]</t>
  </si>
  <si>
    <t>[19.08, 18.34, 6.59, nan]</t>
  </si>
  <si>
    <t>[19.68, 14.87, 5.28, nan]</t>
  </si>
  <si>
    <t>[3.26, 1.24, 23.5, nan]</t>
  </si>
  <si>
    <t>[3.66, 3.84, 23.71, nan]</t>
  </si>
  <si>
    <t>[8.0, 1.56, 31.18, nan]</t>
  </si>
  <si>
    <t>[14.85, 14.39, 11.7, nan]</t>
  </si>
  <si>
    <t>[8.09, 14.16, 9.47, 10.34]</t>
  </si>
  <si>
    <t>[18.78, 24.45, 13.59, 12.09]</t>
  </si>
  <si>
    <t>[18.24, 7.36, 11.51, 12.68]</t>
  </si>
  <si>
    <t>[-12.63, 9.22, 19.4, 11.32]</t>
  </si>
  <si>
    <t>[40.57, -9.21, 11.34, nan]</t>
  </si>
  <si>
    <t>[10.96, 12.74, 10.72, nan]</t>
  </si>
  <si>
    <t>[44.55, 17.95, 20.03, nan]</t>
  </si>
  <si>
    <t>[6.85, 27.09, 5.45, 8.46]</t>
  </si>
  <si>
    <t>[28.02, 30.21, 24.08, 19.07]</t>
  </si>
  <si>
    <t>[9.76, 9.18, 15.64, nan]</t>
  </si>
  <si>
    <t>[12.23, 12.8, 12.36, 12.14]</t>
  </si>
  <si>
    <t>[20.3, 15.74, 6.76, nan]</t>
  </si>
  <si>
    <t>[19.63, 15.37, 15.87, nan]</t>
  </si>
  <si>
    <t>[15.51, 16.61, 13.15, nan]</t>
  </si>
  <si>
    <t>[8.76, 16.39, 8.36, nan]</t>
  </si>
  <si>
    <t>[11.89, 18.61, 11.69, 11.59]</t>
  </si>
  <si>
    <t>[9.43, 11.22, 11.45, 11.93]</t>
  </si>
  <si>
    <t>[11.65, 15.28, 11.38, nan]</t>
  </si>
  <si>
    <t>[27.29, 19.78, 15.02, 13.62]</t>
  </si>
  <si>
    <t>[11.56, 10.97, 14.99, nan]</t>
  </si>
  <si>
    <t>[16.48, 35.43, 23.57, nan]</t>
  </si>
  <si>
    <t>[13.47, 11.86, 9.25, nan]</t>
  </si>
  <si>
    <t>[23.77, 10.53, 7.23, nan]</t>
  </si>
  <si>
    <t>[2.12, 14.32, 31.5, nan]</t>
  </si>
  <si>
    <t>[49.81, 23.02, 11.18, 7.49]</t>
  </si>
  <si>
    <t>[16.57, 19.7, 12.91, 13.83]</t>
  </si>
  <si>
    <t>[16.82, 7.0, 11.59, 15.33]</t>
  </si>
  <si>
    <t>[11.96, 15.22, 11.89, nan]</t>
  </si>
  <si>
    <t>[23.6, 24.66, 11.49, nan]</t>
  </si>
  <si>
    <t>[14.58, 36.48, 30.6, nan]</t>
  </si>
  <si>
    <t>[2.22, 15.5, 14.18, nan]</t>
  </si>
  <si>
    <t>[19.27, 11.13, 12.25, 14.39]</t>
  </si>
  <si>
    <t>[6.94, 5.76, 16.29, nan]</t>
  </si>
  <si>
    <t>[4.13, 6.58, 23.51, 12.73]</t>
  </si>
  <si>
    <t>[18.62, 18.69, 11.33, 15.29]</t>
  </si>
  <si>
    <t>[15.74, 17.55, 14.72, nan]</t>
  </si>
  <si>
    <t>[25.0, 55.26, 32.19, 24.94]</t>
  </si>
  <si>
    <t>[-15.77, 43.59, 12.33, 6.4]</t>
  </si>
  <si>
    <t>[33.55, 35.26, 22.28, 23.36]</t>
  </si>
  <si>
    <t>[18.58, 24.76, 26.65, nan]</t>
  </si>
  <si>
    <t>[38.43, 25.27, 23.16, 23.58]</t>
  </si>
  <si>
    <t>[26.63, 19.84, 14.8, nan]</t>
  </si>
  <si>
    <t>[18.92, 25.42, 32.19, 27.87]</t>
  </si>
  <si>
    <t>[25.71, 19.12, 21.36, nan]</t>
  </si>
  <si>
    <t>[-1.54, -1.55, 30.72, nan]</t>
  </si>
  <si>
    <t>[15.55, 15.11, 13.0, 13.91]</t>
  </si>
  <si>
    <t>[nan, 12.61, 15.46, nan]</t>
  </si>
  <si>
    <t>[14.5, 18.13, 17.32, nan]</t>
  </si>
  <si>
    <t>[34.68, 50.62, 39.66, 39.72]</t>
  </si>
  <si>
    <t>[99.16, 31.3, 22.71, 13.67]</t>
  </si>
  <si>
    <t>[-12.85, -82.21, 69.85, nan]</t>
  </si>
  <si>
    <t>[28.0, 56.07, 25.66, 17.96]</t>
  </si>
  <si>
    <t>[0, 33.27, 22.34, nan, 16.85]</t>
  </si>
  <si>
    <t>[20.01, 26.52, 11.37, nan]</t>
  </si>
  <si>
    <t>[55.21, 8.22, 13.76, nan]</t>
  </si>
  <si>
    <t>[14.63, 21.86, 17.6, nan]</t>
  </si>
  <si>
    <t>[23.29, 30.84, 20.44, 23.24]</t>
  </si>
  <si>
    <t>[15.09, 19.43, 12.24, 20.28]</t>
  </si>
  <si>
    <t>[19.82, 13.39, 15.1, nan]</t>
  </si>
  <si>
    <t>[14.99, 15.12, 13.7, 14.09]</t>
  </si>
  <si>
    <t>[33.62, 17.99, 15.15, nan]</t>
  </si>
  <si>
    <t>[28.11, 23.44, 22.53, 22.76]</t>
  </si>
  <si>
    <t>[15.36, 13.69, 14.95, 14.16]</t>
  </si>
  <si>
    <t>[17.32, 16.64, 14.83, nan]</t>
  </si>
  <si>
    <t>[20.67, 18.59, 19.3, 20.03]</t>
  </si>
  <si>
    <t>[27.72, 26.86, 22.89, nan]</t>
  </si>
  <si>
    <t>[34.17, 33.86, 8.94, 12.83]</t>
  </si>
  <si>
    <t>[65.11, 40.28, -18.78, nan]</t>
  </si>
  <si>
    <t>[0, 36.45, 21.6, nan, nan]</t>
  </si>
  <si>
    <t>[9.62, 16.21, 16.89, nan]</t>
  </si>
  <si>
    <t>[21.45, 16.71, 21.21, nan]</t>
  </si>
  <si>
    <t>[11.9, 14.74, 12.75, 14.38]</t>
  </si>
  <si>
    <t>[9.27, 15.98, 18.12, 21.92]</t>
  </si>
  <si>
    <t>[12.3, 2.64, 41.65, 13.07]</t>
  </si>
  <si>
    <t>[26.95, 18.37, 3.73, nan]</t>
  </si>
  <si>
    <t>[92.91, 38.45, 16.83, nan]</t>
  </si>
  <si>
    <t>[30.64, 13.84, 22.12, 19.39]</t>
  </si>
  <si>
    <t>[18.83, 17.42, 12.81, 14.4]</t>
  </si>
  <si>
    <t>[27.57, 26.72, 29.06, 34.98]</t>
  </si>
  <si>
    <t>[57.64, 49.72, 26.93, nan]</t>
  </si>
  <si>
    <t>[9.7, 27.54, 21.15, nan]</t>
  </si>
  <si>
    <t>[10.33, 21.04, 20.79, nan]</t>
  </si>
  <si>
    <t>[17.19, 2.84, 6.03, nan]</t>
  </si>
  <si>
    <t>[4.55, nan, 0.6, nan]</t>
  </si>
  <si>
    <t>[3.38, nan, 3.85, nan]</t>
  </si>
  <si>
    <t>[2.48, 3.79, 4.1, 5.27]</t>
  </si>
  <si>
    <t>[nan, 6.66, 8.7, nan]</t>
  </si>
  <si>
    <t>[nan, 14.11, 17.3, nan]</t>
  </si>
  <si>
    <t>[2.99, 3.16, 4.78, nan]</t>
  </si>
  <si>
    <t>[10.21, 12.91, 1.6, nan]</t>
  </si>
  <si>
    <t>[10.46, 5.79, 9.58, nan]</t>
  </si>
  <si>
    <t>[10.5, 2.66, 2.73, nan]</t>
  </si>
  <si>
    <t>[19.89, 14.11, 22.32, 14.67]</t>
  </si>
  <si>
    <t>[9.06, 13.14, 7.91, 8.4]</t>
  </si>
  <si>
    <t>[55.18, 7.56, 7.04, nan]</t>
  </si>
  <si>
    <t>[7.54, 4.27, 6.55, 5.94]</t>
  </si>
  <si>
    <t>[nan, 4.33, 4.67, nan]</t>
  </si>
  <si>
    <t>[12.06, nan, 3.81, nan]</t>
  </si>
  <si>
    <t>[10.7, 3.57, 2.75, 2.28]</t>
  </si>
  <si>
    <t>[nan, nan, 18.51, nan]</t>
  </si>
  <si>
    <t>[16.79, 7.5, 14.56, nan]</t>
  </si>
  <si>
    <t>[4.49, 2.48, 3.82, nan]</t>
  </si>
  <si>
    <t>[nan, nan, nan, nan]</t>
  </si>
  <si>
    <t>[5.54, 6.45, 7.75, nan]</t>
  </si>
  <si>
    <t>[5.02, 4.46, 6.06, nan]</t>
  </si>
  <si>
    <t>[26.18, 19.9, 5.25, 8.48]</t>
  </si>
  <si>
    <t>[6.68, 4.78, 3.46, nan]</t>
  </si>
  <si>
    <t>[4.46, 2.84, 3.23, nan]</t>
  </si>
  <si>
    <t>[6.41, 5.7, 7.02, nan]</t>
  </si>
  <si>
    <t>[10.36, 6.38, 6.18, nan]</t>
  </si>
  <si>
    <t>[5.86, 4.66, 6.35, nan]</t>
  </si>
  <si>
    <t>[6.51, 7.05, 7.94, nan]</t>
  </si>
  <si>
    <t>[nan, nan, 1.36, nan]</t>
  </si>
  <si>
    <t>[3.48, 2.03, 4.06, nan]</t>
  </si>
  <si>
    <t>[43.13, 7.6, 5.86, nan]</t>
  </si>
  <si>
    <t>[12.95, 11.56, 34.61, nan]</t>
  </si>
  <si>
    <t>[67.77, 11.28, 7.8, nan]</t>
  </si>
  <si>
    <t>[5.17, 7.03, 7.75, nan]</t>
  </si>
  <si>
    <t>[7.58, 10.97, 5.33, 4.24]</t>
  </si>
  <si>
    <t>[4.39, 4.51, 6.03, nan]</t>
  </si>
  <si>
    <t>[3.41, 3.93, 5.19, 6.12]</t>
  </si>
  <si>
    <t>[10.32, 3.95, 12.71, 6.16]</t>
  </si>
  <si>
    <t>[18.56, 14.46, 12.96, nan]</t>
  </si>
  <si>
    <t>[9.55, 5.09, 7.24, 5.69]</t>
  </si>
  <si>
    <t>[10.1, 8.56, 8.08, nan]</t>
  </si>
  <si>
    <t>[3.79, 2.72, 13.69, nan]</t>
  </si>
  <si>
    <t>[7.33, nan, 1.38, nan]</t>
  </si>
  <si>
    <t>[nan, 11.38, 11.08, nan]</t>
  </si>
  <si>
    <t>[18.23, 5.02, 3.85, nan]</t>
  </si>
  <si>
    <t>[4.41, 10.03, 6.28, nan]</t>
  </si>
  <si>
    <t>[nan, 6.52, 7.86, nan]</t>
  </si>
  <si>
    <t>[8.43, 7.24, 7.47, nan]</t>
  </si>
  <si>
    <t>[18.05, 8.77, 6.11, nan]</t>
  </si>
  <si>
    <t>[5.46, 11.3, 5.18, nan]</t>
  </si>
  <si>
    <t>[3.3, 3.47, 5.22, nan]</t>
  </si>
  <si>
    <t>[25.21, 9.26, 10.79, nan]</t>
  </si>
  <si>
    <t>[nan, 8.65, 23.91, nan]</t>
  </si>
  <si>
    <t>[23.1, 5.6, 5.82, nan]</t>
  </si>
  <si>
    <t>[10.86, 7.66, 7.45, nan]</t>
  </si>
  <si>
    <t>[nan, 18.52, 12.74, nan]</t>
  </si>
  <si>
    <t>[nan, 9.08, 8.93, nan]</t>
  </si>
  <si>
    <t>[nan, 1.68, 4.45, 6.55]</t>
  </si>
  <si>
    <t>[7.29, 6.76, 7.43, 7.99]</t>
  </si>
  <si>
    <t>[11.81, 6.74, 7.84, nan]</t>
  </si>
  <si>
    <t>[2.8, 2.13, 2.52, nan]</t>
  </si>
  <si>
    <t>[3.91, 5.83, 3.94, nan]</t>
  </si>
  <si>
    <t>[8.53, 5.86, 6.92, 4.98]</t>
  </si>
  <si>
    <t>[nan, 10.34, 5.09, nan]</t>
  </si>
  <si>
    <t>[5.53, 7.82, 6.39, nan]</t>
  </si>
  <si>
    <t>[15.27, 12.09, 8.75, nan]</t>
  </si>
  <si>
    <t>[9.11, 11.14, 7.69, nan]</t>
  </si>
  <si>
    <t>[5.54, 6.21, 5.24, nan]</t>
  </si>
  <si>
    <t>[6.28, 6.42, 4.35, nan]</t>
  </si>
  <si>
    <t>[14.43, 2.7, 2.4, nan]</t>
  </si>
  <si>
    <t>[4.67, nan, 1.52, nan]</t>
  </si>
  <si>
    <t>[10.42, 3.76, 4.75, nan]</t>
  </si>
  <si>
    <t>[4.43, 3.93, 5.59, nan]</t>
  </si>
  <si>
    <t>[7.26, 6.95, 5.34, nan]</t>
  </si>
  <si>
    <t>[38.35, 59.79, 1.33, nan]</t>
  </si>
  <si>
    <t>[11.32, 7.46, 7.36, nan]</t>
  </si>
  <si>
    <t>[7.85, 4.3, 8.68, nan]</t>
  </si>
  <si>
    <t>[4.23, 4.47, 9.61, 2.69]</t>
  </si>
  <si>
    <t>[6.43, 5.75, 6.0, nan]</t>
  </si>
  <si>
    <t>[1.47, 1.22, 1.67, nan]</t>
  </si>
  <si>
    <t>[4.93, 2.87, 6.46, nan]</t>
  </si>
  <si>
    <t>[nan, 15.0, 20.04, nan]</t>
  </si>
  <si>
    <t>[6.03, 2.48, 3.19, nan]</t>
  </si>
  <si>
    <t>[10.31, 21.42, 3.07, nan]</t>
  </si>
  <si>
    <t>[9.08, 3.88, 7.5, 10.14]</t>
  </si>
  <si>
    <t>[7.78, 2.72, 5.5, nan]</t>
  </si>
  <si>
    <t>[nan, 11.01, 9.87, nan]</t>
  </si>
  <si>
    <t>[1.57, 2.16, 1.24, nan]</t>
  </si>
  <si>
    <t>[12.77, 6.9, 9.02, nan]</t>
  </si>
  <si>
    <t>[2.94, 2.48, 5.29, nan]</t>
  </si>
  <si>
    <t>[16.54, 8.77, 13.08, nan]</t>
  </si>
  <si>
    <t>[8.39, 9.41, 9.24, 8.42]</t>
  </si>
  <si>
    <t>[3.27, 1.63, 3.69, nan]</t>
  </si>
  <si>
    <t>[17.4, 5.35, 8.22, 10.09]</t>
  </si>
  <si>
    <t>[8.3, 2.37, 3.22, nan]</t>
  </si>
  <si>
    <t>[1.42, 2.28, 3.29, 3.4]</t>
  </si>
  <si>
    <t>[2.86, 3.4, 7.06, nan]</t>
  </si>
  <si>
    <t>[6.28, 5.39, 4.04, nan]</t>
  </si>
  <si>
    <t>[21.79, 3.08, 7.57, 4.35]</t>
  </si>
  <si>
    <t>[nan, 21.78, 1.55, nan]</t>
  </si>
  <si>
    <t>[2.1, 1.99, 4.86, 2.94]</t>
  </si>
  <si>
    <t>[23.46, 8.29, 13.82, nan]</t>
  </si>
  <si>
    <t>[8.12, 11.26, 14.76, 16.3]</t>
  </si>
  <si>
    <t>[18.35, 3.26, 2.52, nan]</t>
  </si>
  <si>
    <t>[10.53, 11.19, 12.61, nan]</t>
  </si>
  <si>
    <t>[19.48, 5.42, 10.03, 7.98]</t>
  </si>
  <si>
    <t>[18.81, 5.93, 5.11, nan]</t>
  </si>
  <si>
    <t>[8.71, 2.12, 1.74, nan]</t>
  </si>
  <si>
    <t>[4.48, 5.96, 7.08, nan]</t>
  </si>
  <si>
    <t>[7.86, 21.7, 7.32, nan]</t>
  </si>
  <si>
    <t>[45.92, nan, 1.63, nan]</t>
  </si>
  <si>
    <t>[7.63, 4.58, 5.31, nan]</t>
  </si>
  <si>
    <t>[2.21, 1.79, 2.08, nan]</t>
  </si>
  <si>
    <t>[20.06, 12.75, 3.29, nan]</t>
  </si>
  <si>
    <t>[3.92, 4.4, 7.36, 6.05]</t>
  </si>
  <si>
    <t>[23.39, 3.46, 1.36, nan]</t>
  </si>
  <si>
    <t>[5.34, 4.22, 4.93, 5.62]</t>
  </si>
  <si>
    <t>[37.33, 13.71, 11.44, nan]</t>
  </si>
  <si>
    <t>[3.55, 2.25, 3.45, nan]</t>
  </si>
  <si>
    <t>[6.67, 5.07, 7.12, nan]</t>
  </si>
  <si>
    <t>[2.43, 4.48, 3.52, nan]</t>
  </si>
  <si>
    <t>[nan, 4.63, 3.65, nan]</t>
  </si>
  <si>
    <t>[5.37, 6.44, 7.3, 3.64]</t>
  </si>
  <si>
    <t>[6.53, 4.19, 6.89, 4.83]</t>
  </si>
  <si>
    <t>[nan, nan, 10.26, nan]</t>
  </si>
  <si>
    <t>[4.59, 4.12, 6.37, 7.56]</t>
  </si>
  <si>
    <t>[9.81, 4.22, 4.85, 3.39]</t>
  </si>
  <si>
    <t>[nan, nan, 3.69, nan]</t>
  </si>
  <si>
    <t>[2.62, 2.96, 3.07, nan]</t>
  </si>
  <si>
    <t>[5.92, 4.77, 8.21, 4.34]</t>
  </si>
  <si>
    <t>[6.25, 7.77, 12.94, 8.04]</t>
  </si>
  <si>
    <t>[4.76, 1.69, 2.48, nan]</t>
  </si>
  <si>
    <t>[1.8, 1.18, 4.05, nan]</t>
  </si>
  <si>
    <t>[3.29, 2.16, 5.86, nan]</t>
  </si>
  <si>
    <t>[11.31, 24.5, 1.94, nan]</t>
  </si>
  <si>
    <t>[14.35, 12.45, 2.4, nan]</t>
  </si>
  <si>
    <t>[5.76, 23.66, 1.6, nan]</t>
  </si>
  <si>
    <t>[4.3, 3.65, 4.52, nan]</t>
  </si>
  <si>
    <t>[10.71, 4.9, 6.48, 6.07]</t>
  </si>
  <si>
    <t>[7.24, 3.92, 7.11, 6.38]</t>
  </si>
  <si>
    <t>[5.2, 7.99, 6.34, 4.63]</t>
  </si>
  <si>
    <t>[nan, 3.69, 3.55, 4.28]</t>
  </si>
  <si>
    <t>[4.89, nan, 5.8, nan]</t>
  </si>
  <si>
    <t>[7.27, 5.01, 6.25, nan]</t>
  </si>
  <si>
    <t>[8.37, 10.6, 7.44, nan]</t>
  </si>
  <si>
    <t>[13.27, 1.67, 8.43, 3.8]</t>
  </si>
  <si>
    <t>[13.19, 10.32, 7.65, 5.78]</t>
  </si>
  <si>
    <t>[9.1, 5.81, 3.95, nan]</t>
  </si>
  <si>
    <t>[3.83, 4.69, 6.96, 6.55]</t>
  </si>
  <si>
    <t>[5.68, 4.65, 12.38, nan]</t>
  </si>
  <si>
    <t>[4.34, 2.98, 2.5, nan]</t>
  </si>
  <si>
    <t>[3.87, 3.32, 4.42, nan]</t>
  </si>
  <si>
    <t>[11.39, 3.64, 6.6, nan]</t>
  </si>
  <si>
    <t>[9.29, 4.07, 7.64, 6.05]</t>
  </si>
  <si>
    <t>[7.12, 4.68, 5.91, 5.54]</t>
  </si>
  <si>
    <t>[6.22, 3.49, 7.02, nan]</t>
  </si>
  <si>
    <t>[2.66, 3.41, 5.07, 8.27]</t>
  </si>
  <si>
    <t>[10.33, 6.11, 7.41, nan]</t>
  </si>
  <si>
    <t>[13.56, 3.57, 4.54, nan]</t>
  </si>
  <si>
    <t>[5.14, 4.24, 6.26, nan]</t>
  </si>
  <si>
    <t>[3.42, 3.89, 5.28, nan]</t>
  </si>
  <si>
    <t>[29.3, 2.83, 1.39, nan]</t>
  </si>
  <si>
    <t>[0.32, 1.09, 3.15, 6.36]</t>
  </si>
  <si>
    <t>[2.98, 2.09, 3.28, 3.18]</t>
  </si>
  <si>
    <t>[3.65, 6.71, 4.91, 3.48]</t>
  </si>
  <si>
    <t>[3.35, 2.2, 3.02, nan]</t>
  </si>
  <si>
    <t>[3.25, 1.76, 3.41, nan]</t>
  </si>
  <si>
    <t>[14.56, 10.13, 8.1, nan]</t>
  </si>
  <si>
    <t>[12.55, 1.92, 2.33, nan]</t>
  </si>
  <si>
    <t>[6.18, 4.45, 4.35, 3.71]</t>
  </si>
  <si>
    <t>[7.54, 7.66, 2.6, nan]</t>
  </si>
  <si>
    <t>[9.55, 6.09, 2.43, 4.61]</t>
  </si>
  <si>
    <t>[5.82, 6.19, 8.78, 7.76]</t>
  </si>
  <si>
    <t>[7.18, 6.44, 8.25, nan]</t>
  </si>
  <si>
    <t>[nan, nan, 9.16, 7.49]</t>
  </si>
  <si>
    <t>[nan, 7.4, 23.47, 27.73]</t>
  </si>
  <si>
    <t>[11.28, 11.37, 10.82, 7.08]</t>
  </si>
  <si>
    <t>[10.01, 13.22, 7.13, nan]</t>
  </si>
  <si>
    <t>[8.04, 5.77, 6.58, 5.78]</t>
  </si>
  <si>
    <t>[9.46, 9.3, 11.93, nan]</t>
  </si>
  <si>
    <t>[10.75, 7.17, 4.22, 5.27]</t>
  </si>
  <si>
    <t>[14.63, 11.54, 6.84, nan]</t>
  </si>
  <si>
    <t>[nan, nan, 5.15, nan]</t>
  </si>
  <si>
    <t>[12.21, 7.99, 11.02, 7.89]</t>
  </si>
  <si>
    <t>[nan, 6.73, 9.44, nan]</t>
  </si>
  <si>
    <t>[16.99, 14.36, 10.78, nan]</t>
  </si>
  <si>
    <t>[5.52, 4.65, 9.08, 5.17]</t>
  </si>
  <si>
    <t>[nan, 23.33, 10.89, 13.25]</t>
  </si>
  <si>
    <t>[nan, nan, 3.42, nan]</t>
  </si>
  <si>
    <t>[21.04, 14.6, 10.22, 8.82]</t>
  </si>
  <si>
    <t>[nan, nan, 18.79, nan]</t>
  </si>
  <si>
    <t>[17.94, 6.86, 13.01, nan]</t>
  </si>
  <si>
    <t>[1.61, 10.16, 11.41, nan]</t>
  </si>
  <si>
    <t>[24.05, 9.21, 10.32, nan]</t>
  </si>
  <si>
    <t>[11.85, 11.72, 10.47, 8.68]</t>
  </si>
  <si>
    <t>[8.27, 10.29, 9.01, 5.71]</t>
  </si>
  <si>
    <t>[13.03, 7.5, 9.85, nan]</t>
  </si>
  <si>
    <t>[11.69, 9.4, 11.64, 9.37]</t>
  </si>
  <si>
    <t>[12.71, 21.71, 21.0, nan]</t>
  </si>
  <si>
    <t>[5.65, 8.74, 8.91, 7.49]</t>
  </si>
  <si>
    <t>[9.14, 8.23, 10.58, 9.76]</t>
  </si>
  <si>
    <t>[9.72, 8.23, 10.26, nan]</t>
  </si>
  <si>
    <t>[9.98, 6.64, 14.58, 9.81]</t>
  </si>
  <si>
    <t>[11.57, 10.92, 11.39, nan]</t>
  </si>
  <si>
    <t>[nan, nan, 45.19, 16.01]</t>
  </si>
  <si>
    <t>[nan, nan, 19.99, nan]</t>
  </si>
  <si>
    <t>[4.38, 2.29, 3.18, nan]</t>
  </si>
  <si>
    <t>[10.6, 12.9, 10.29, nan]</t>
  </si>
  <si>
    <t>[6.53, 5.39, 8.74, 7.83]</t>
  </si>
  <si>
    <t>[6.62, 3.97, 7.15, 6.08]</t>
  </si>
  <si>
    <t>[25.14, 97.15, 8.93, 12.4]</t>
  </si>
  <si>
    <t>[22.65, 11.22, 42.34, nan]</t>
  </si>
  <si>
    <t>[nan, nan, 36.27, nan]</t>
  </si>
  <si>
    <t>[7.09, 8.61, 7.0, 7.05]</t>
  </si>
  <si>
    <t>[4.94, 3.8, 6.4, 8.4]</t>
  </si>
  <si>
    <t>[7.96, 7.34, 6.97, 5.07]</t>
  </si>
  <si>
    <t>[5.71, 9.23, 9.6, nan]</t>
  </si>
  <si>
    <t>[6.15, 3.51, 12.73, nan]</t>
  </si>
  <si>
    <t>[19.38, 6.32, 8.95,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</si>
</sst>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5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260</v>
      </c>
      <c r="C2">
        <f>HYPERLINK("https://finance.naver.com/item/coinfo.nhn?code=012030", "A012030")</f>
        <v>0</v>
      </c>
      <c r="D2">
        <f>HYPERLINK("http://comp.fnguide.com/SVO2/ASP/SVD_Consensus.asp?pGB=1&amp;gicode=A012030&amp;cID=&amp;MenuYn=Y&amp;ReportGB=&amp;NewMenuID=108&amp;stkGb=701", "DB")</f>
        <v>0</v>
      </c>
      <c r="E2">
        <v>3</v>
      </c>
      <c r="F2">
        <v>1886</v>
      </c>
      <c r="G2">
        <v>0</v>
      </c>
      <c r="H2">
        <v>6.03</v>
      </c>
      <c r="I2">
        <v>3189</v>
      </c>
      <c r="J2">
        <v>2743</v>
      </c>
      <c r="K2">
        <v>2586</v>
      </c>
      <c r="L2">
        <v>-69.11</v>
      </c>
      <c r="M2">
        <v>-45.43</v>
      </c>
      <c r="N2">
        <v>-37.14</v>
      </c>
      <c r="O2">
        <v>14.63</v>
      </c>
      <c r="P2" t="b">
        <v>1</v>
      </c>
      <c r="Q2">
        <v>0</v>
      </c>
      <c r="R2">
        <v>244</v>
      </c>
      <c r="U2" t="s">
        <v>484</v>
      </c>
      <c r="V2" t="s">
        <v>708</v>
      </c>
      <c r="W2">
        <v>0</v>
      </c>
      <c r="X2">
        <v>39.7</v>
      </c>
      <c r="Y2" t="s">
        <v>932</v>
      </c>
      <c r="Z2">
        <v>25.90895013012138</v>
      </c>
      <c r="AA2">
        <v>3794</v>
      </c>
      <c r="AB2">
        <v>1193605</v>
      </c>
      <c r="AC2" t="s">
        <v>1154</v>
      </c>
      <c r="AD2">
        <v>43.82</v>
      </c>
      <c r="AE2" t="s">
        <v>1378</v>
      </c>
      <c r="AF2" t="s">
        <v>1602</v>
      </c>
      <c r="AG2">
        <v>6435</v>
      </c>
      <c r="AH2">
        <v>416</v>
      </c>
      <c r="AI2">
        <v>10143400</v>
      </c>
      <c r="AK2" t="b">
        <v>1</v>
      </c>
    </row>
    <row r="3" spans="1:37">
      <c r="A3" s="1" t="s">
        <v>37</v>
      </c>
      <c r="B3" t="s">
        <v>261</v>
      </c>
      <c r="C3">
        <f>HYPERLINK("https://finance.naver.com/item/coinfo.nhn?code=036000", "A036000")</f>
        <v>0</v>
      </c>
      <c r="D3">
        <f>HYPERLINK("http://comp.fnguide.com/SVO2/ASP/SVD_Consensus.asp?pGB=1&amp;gicode=A036000&amp;cID=&amp;MenuYn=Y&amp;ReportGB=&amp;NewMenuID=108&amp;stkGb=701", "예림당")</f>
        <v>0</v>
      </c>
      <c r="E3">
        <v>3</v>
      </c>
      <c r="F3">
        <v>3095</v>
      </c>
      <c r="G3">
        <v>0</v>
      </c>
      <c r="H3">
        <v>0.6</v>
      </c>
      <c r="I3">
        <v>35580</v>
      </c>
      <c r="J3">
        <v>22537</v>
      </c>
      <c r="K3">
        <v>17967</v>
      </c>
      <c r="L3">
        <v>-1049.59</v>
      </c>
      <c r="M3">
        <v>-628.1799999999999</v>
      </c>
      <c r="N3">
        <v>-480.51</v>
      </c>
      <c r="O3">
        <v>34.57</v>
      </c>
      <c r="P3" t="b">
        <v>1</v>
      </c>
      <c r="Q3">
        <v>0</v>
      </c>
      <c r="R3">
        <v>5479</v>
      </c>
      <c r="U3" t="s">
        <v>485</v>
      </c>
      <c r="V3" t="s">
        <v>709</v>
      </c>
      <c r="W3">
        <v>0</v>
      </c>
      <c r="Y3" t="s">
        <v>933</v>
      </c>
      <c r="Z3">
        <v>0</v>
      </c>
      <c r="AA3">
        <v>713</v>
      </c>
      <c r="AB3">
        <v>42400</v>
      </c>
      <c r="AC3" t="s">
        <v>1155</v>
      </c>
      <c r="AD3">
        <v>54.26</v>
      </c>
      <c r="AE3" t="s">
        <v>1379</v>
      </c>
      <c r="AF3" t="s">
        <v>1603</v>
      </c>
      <c r="AG3">
        <v>103</v>
      </c>
      <c r="AH3">
        <v>-14</v>
      </c>
      <c r="AK3" t="b">
        <v>1</v>
      </c>
    </row>
    <row r="4" spans="1:37">
      <c r="A4" s="1" t="s">
        <v>38</v>
      </c>
      <c r="B4" t="s">
        <v>262</v>
      </c>
      <c r="C4">
        <f>HYPERLINK("https://finance.naver.com/item/coinfo.nhn?code=053060", "A053060")</f>
        <v>0</v>
      </c>
      <c r="D4">
        <f>HYPERLINK("http://comp.fnguide.com/SVO2/ASP/SVD_Consensus.asp?pGB=1&amp;gicode=A053060&amp;cID=&amp;MenuYn=Y&amp;ReportGB=&amp;NewMenuID=108&amp;stkGb=701", "세동")</f>
        <v>0</v>
      </c>
      <c r="E4">
        <v>3</v>
      </c>
      <c r="F4">
        <v>1276</v>
      </c>
      <c r="G4">
        <v>0</v>
      </c>
      <c r="H4">
        <v>3.85</v>
      </c>
      <c r="I4">
        <v>2699</v>
      </c>
      <c r="J4">
        <v>2477</v>
      </c>
      <c r="K4">
        <v>2399</v>
      </c>
      <c r="L4">
        <v>-111.5</v>
      </c>
      <c r="M4">
        <v>-94.11</v>
      </c>
      <c r="N4">
        <v>-88.02</v>
      </c>
      <c r="O4">
        <v>12.76</v>
      </c>
      <c r="P4" t="b">
        <v>1</v>
      </c>
      <c r="Q4">
        <v>0</v>
      </c>
      <c r="R4">
        <v>333</v>
      </c>
      <c r="U4" t="s">
        <v>486</v>
      </c>
      <c r="V4" t="s">
        <v>710</v>
      </c>
      <c r="W4">
        <v>0</v>
      </c>
      <c r="X4">
        <v>40.6</v>
      </c>
      <c r="Y4" t="s">
        <v>934</v>
      </c>
      <c r="Z4">
        <v>0</v>
      </c>
      <c r="AA4">
        <v>225</v>
      </c>
      <c r="AB4">
        <v>46435</v>
      </c>
      <c r="AC4" t="s">
        <v>1156</v>
      </c>
      <c r="AD4">
        <v>28.32</v>
      </c>
      <c r="AE4" t="s">
        <v>1380</v>
      </c>
      <c r="AF4" t="s">
        <v>1604</v>
      </c>
      <c r="AG4">
        <v>1894</v>
      </c>
      <c r="AH4">
        <v>91</v>
      </c>
      <c r="AI4">
        <v>537</v>
      </c>
      <c r="AK4" t="b">
        <v>1</v>
      </c>
    </row>
    <row r="5" spans="1:37">
      <c r="A5" s="1" t="s">
        <v>39</v>
      </c>
      <c r="B5" t="s">
        <v>263</v>
      </c>
      <c r="C5">
        <f>HYPERLINK("https://finance.naver.com/item/coinfo.nhn?code=011560", "A011560")</f>
        <v>0</v>
      </c>
      <c r="D5">
        <f>HYPERLINK("http://comp.fnguide.com/SVO2/ASP/SVD_Consensus.asp?pGB=1&amp;gicode=A011560&amp;cID=&amp;MenuYn=Y&amp;ReportGB=&amp;NewMenuID=108&amp;stkGb=701", "세보엠이씨")</f>
        <v>0</v>
      </c>
      <c r="E5">
        <v>3</v>
      </c>
      <c r="F5">
        <v>22400</v>
      </c>
      <c r="G5">
        <v>0.64</v>
      </c>
      <c r="H5">
        <v>4.1</v>
      </c>
      <c r="I5">
        <v>35216</v>
      </c>
      <c r="J5">
        <v>30815</v>
      </c>
      <c r="K5">
        <v>29273</v>
      </c>
      <c r="L5">
        <v>-57.21</v>
      </c>
      <c r="M5">
        <v>-37.57</v>
      </c>
      <c r="N5">
        <v>-30.68</v>
      </c>
      <c r="O5">
        <v>14.09</v>
      </c>
      <c r="P5" t="b">
        <v>1</v>
      </c>
      <c r="Q5">
        <v>2</v>
      </c>
      <c r="R5">
        <v>3377</v>
      </c>
      <c r="S5">
        <v>4249</v>
      </c>
      <c r="T5">
        <v>25.8</v>
      </c>
      <c r="U5" t="s">
        <v>487</v>
      </c>
      <c r="V5" t="s">
        <v>711</v>
      </c>
      <c r="W5">
        <v>6.412590846106614</v>
      </c>
      <c r="X5">
        <v>46.4</v>
      </c>
      <c r="Y5" t="s">
        <v>935</v>
      </c>
      <c r="Z5">
        <v>34.90148317834026</v>
      </c>
      <c r="AA5">
        <v>2259</v>
      </c>
      <c r="AB5">
        <v>41905</v>
      </c>
      <c r="AC5" t="s">
        <v>1157</v>
      </c>
      <c r="AD5">
        <v>49.57</v>
      </c>
      <c r="AE5" t="s">
        <v>1381</v>
      </c>
      <c r="AF5" t="s">
        <v>1605</v>
      </c>
      <c r="AG5">
        <v>7158</v>
      </c>
      <c r="AH5">
        <v>404</v>
      </c>
      <c r="AI5">
        <v>24872</v>
      </c>
      <c r="AJ5">
        <v>4.33</v>
      </c>
      <c r="AK5" t="b">
        <v>1</v>
      </c>
    </row>
    <row r="6" spans="1:37">
      <c r="A6" s="1" t="s">
        <v>40</v>
      </c>
      <c r="B6" t="s">
        <v>264</v>
      </c>
      <c r="C6">
        <f>HYPERLINK("https://finance.naver.com/item/coinfo.nhn?code=318160", "A318160")</f>
        <v>0</v>
      </c>
      <c r="D6">
        <f>HYPERLINK("http://comp.fnguide.com/SVO2/ASP/SVD_Consensus.asp?pGB=1&amp;gicode=A318160&amp;cID=&amp;MenuYn=Y&amp;ReportGB=&amp;NewMenuID=108&amp;stkGb=701", "셀바이오휴먼텍")</f>
        <v>0</v>
      </c>
      <c r="E6">
        <v>3</v>
      </c>
      <c r="F6">
        <v>5390</v>
      </c>
      <c r="G6">
        <v>0</v>
      </c>
      <c r="H6">
        <v>8.699999999999999</v>
      </c>
      <c r="I6">
        <v>7385</v>
      </c>
      <c r="J6">
        <v>7089</v>
      </c>
      <c r="K6">
        <v>6986</v>
      </c>
      <c r="L6">
        <v>-37</v>
      </c>
      <c r="M6">
        <v>-31.53</v>
      </c>
      <c r="N6">
        <v>-29.61</v>
      </c>
      <c r="O6">
        <v>11.67</v>
      </c>
      <c r="P6" t="b">
        <v>0</v>
      </c>
      <c r="Q6">
        <v>0</v>
      </c>
      <c r="R6">
        <v>939</v>
      </c>
      <c r="U6" t="s">
        <v>488</v>
      </c>
      <c r="V6" t="s">
        <v>712</v>
      </c>
      <c r="W6">
        <v>0</v>
      </c>
      <c r="X6">
        <v>37.2</v>
      </c>
      <c r="Y6" t="s">
        <v>936</v>
      </c>
      <c r="Z6">
        <v>0</v>
      </c>
      <c r="AA6">
        <v>503</v>
      </c>
      <c r="AB6">
        <v>40012</v>
      </c>
      <c r="AC6" t="s">
        <v>1158</v>
      </c>
      <c r="AD6">
        <v>35.88</v>
      </c>
      <c r="AE6" t="s">
        <v>1382</v>
      </c>
      <c r="AF6" t="s">
        <v>1606</v>
      </c>
      <c r="AG6">
        <v>511</v>
      </c>
      <c r="AH6">
        <v>93</v>
      </c>
      <c r="AI6">
        <v>1036681</v>
      </c>
      <c r="AK6" t="b">
        <v>1</v>
      </c>
    </row>
    <row r="7" spans="1:37">
      <c r="A7" s="1" t="s">
        <v>41</v>
      </c>
      <c r="B7" t="s">
        <v>265</v>
      </c>
      <c r="C7">
        <f>HYPERLINK("https://finance.naver.com/item/coinfo.nhn?code=215090", "A215090")</f>
        <v>0</v>
      </c>
      <c r="D7">
        <f>HYPERLINK("http://comp.fnguide.com/SVO2/ASP/SVD_Consensus.asp?pGB=1&amp;gicode=A215090&amp;cID=&amp;MenuYn=Y&amp;ReportGB=&amp;NewMenuID=108&amp;stkGb=701", "솔디펜스")</f>
        <v>0</v>
      </c>
      <c r="E7">
        <v>3</v>
      </c>
      <c r="F7">
        <v>1688</v>
      </c>
      <c r="G7">
        <v>0</v>
      </c>
      <c r="H7">
        <v>17.3</v>
      </c>
      <c r="I7">
        <v>3131</v>
      </c>
      <c r="J7">
        <v>2682</v>
      </c>
      <c r="K7">
        <v>2525</v>
      </c>
      <c r="L7">
        <v>-85.51000000000001</v>
      </c>
      <c r="M7">
        <v>-58.91</v>
      </c>
      <c r="N7">
        <v>-49.58</v>
      </c>
      <c r="O7">
        <v>14.76</v>
      </c>
      <c r="P7" t="b">
        <v>1</v>
      </c>
      <c r="Q7">
        <v>0</v>
      </c>
      <c r="R7">
        <v>135</v>
      </c>
      <c r="U7" t="s">
        <v>489</v>
      </c>
      <c r="V7" t="s">
        <v>713</v>
      </c>
      <c r="W7">
        <v>0</v>
      </c>
      <c r="Y7" t="s">
        <v>937</v>
      </c>
      <c r="Z7">
        <v>0</v>
      </c>
      <c r="AA7">
        <v>391</v>
      </c>
      <c r="AB7">
        <v>133334</v>
      </c>
      <c r="AC7" t="s">
        <v>1159</v>
      </c>
      <c r="AD7">
        <v>31.02</v>
      </c>
      <c r="AE7" t="s">
        <v>1383</v>
      </c>
      <c r="AF7" t="s">
        <v>1607</v>
      </c>
      <c r="AG7">
        <v>268</v>
      </c>
      <c r="AH7">
        <v>13</v>
      </c>
      <c r="AI7">
        <v>347742</v>
      </c>
      <c r="AK7" t="b">
        <v>1</v>
      </c>
    </row>
    <row r="8" spans="1:37">
      <c r="A8" s="1" t="s">
        <v>42</v>
      </c>
      <c r="B8" t="s">
        <v>266</v>
      </c>
      <c r="C8">
        <f>HYPERLINK("https://finance.naver.com/item/coinfo.nhn?code=035610", "A035610")</f>
        <v>0</v>
      </c>
      <c r="D8">
        <f>HYPERLINK("http://comp.fnguide.com/SVO2/ASP/SVD_Consensus.asp?pGB=1&amp;gicode=A035610&amp;cID=&amp;MenuYn=Y&amp;ReportGB=&amp;NewMenuID=108&amp;stkGb=701", "솔본")</f>
        <v>0</v>
      </c>
      <c r="E8">
        <v>3</v>
      </c>
      <c r="F8">
        <v>3350</v>
      </c>
      <c r="G8">
        <v>0</v>
      </c>
      <c r="H8">
        <v>4.78</v>
      </c>
      <c r="I8">
        <v>11366</v>
      </c>
      <c r="J8">
        <v>9452</v>
      </c>
      <c r="K8">
        <v>8781</v>
      </c>
      <c r="L8">
        <v>-239.29</v>
      </c>
      <c r="M8">
        <v>-182.15</v>
      </c>
      <c r="N8">
        <v>-162.13</v>
      </c>
      <c r="O8">
        <v>15.78</v>
      </c>
      <c r="P8" t="b">
        <v>0</v>
      </c>
      <c r="Q8">
        <v>0</v>
      </c>
      <c r="R8">
        <v>763</v>
      </c>
      <c r="U8" t="s">
        <v>490</v>
      </c>
      <c r="V8" t="s">
        <v>714</v>
      </c>
      <c r="W8">
        <v>0</v>
      </c>
      <c r="Y8" t="s">
        <v>938</v>
      </c>
      <c r="Z8">
        <v>0</v>
      </c>
      <c r="AA8">
        <v>916</v>
      </c>
      <c r="AB8">
        <v>50804</v>
      </c>
      <c r="AC8" t="s">
        <v>1160</v>
      </c>
      <c r="AD8">
        <v>62.68</v>
      </c>
      <c r="AE8" t="s">
        <v>1384</v>
      </c>
      <c r="AF8" t="s">
        <v>1608</v>
      </c>
      <c r="AG8">
        <v>1207</v>
      </c>
      <c r="AH8">
        <v>246</v>
      </c>
      <c r="AK8" t="b">
        <v>1</v>
      </c>
    </row>
    <row r="9" spans="1:37">
      <c r="A9" s="1" t="s">
        <v>43</v>
      </c>
      <c r="B9" t="s">
        <v>267</v>
      </c>
      <c r="C9">
        <f>HYPERLINK("https://finance.naver.com/item/coinfo.nhn?code=036830", "A036830")</f>
        <v>0</v>
      </c>
      <c r="D9">
        <f>HYPERLINK("http://comp.fnguide.com/SVO2/ASP/SVD_Consensus.asp?pGB=1&amp;gicode=A036830&amp;cID=&amp;MenuYn=Y&amp;ReportGB=&amp;NewMenuID=108&amp;stkGb=701", "솔브레인홀딩스")</f>
        <v>0</v>
      </c>
      <c r="E9">
        <v>3</v>
      </c>
      <c r="F9">
        <v>44600</v>
      </c>
      <c r="G9">
        <v>0</v>
      </c>
      <c r="H9">
        <v>1.6</v>
      </c>
      <c r="I9">
        <v>148188</v>
      </c>
      <c r="J9">
        <v>114450</v>
      </c>
      <c r="K9">
        <v>102626</v>
      </c>
      <c r="L9">
        <v>-232.26</v>
      </c>
      <c r="M9">
        <v>-156.61</v>
      </c>
      <c r="N9">
        <v>-130.1</v>
      </c>
      <c r="O9">
        <v>18.84</v>
      </c>
      <c r="P9" t="b">
        <v>0</v>
      </c>
      <c r="Q9">
        <v>0</v>
      </c>
      <c r="R9">
        <v>23248</v>
      </c>
      <c r="U9" t="s">
        <v>491</v>
      </c>
      <c r="V9" t="s">
        <v>715</v>
      </c>
      <c r="W9">
        <v>0</v>
      </c>
      <c r="X9">
        <v>95.7</v>
      </c>
      <c r="Y9" t="s">
        <v>939</v>
      </c>
      <c r="Z9">
        <v>97.86621055024895</v>
      </c>
      <c r="AA9">
        <v>9145</v>
      </c>
      <c r="AB9">
        <v>74078</v>
      </c>
      <c r="AC9" t="s">
        <v>1161</v>
      </c>
      <c r="AD9">
        <v>77.27</v>
      </c>
      <c r="AE9" t="s">
        <v>1385</v>
      </c>
      <c r="AF9" t="s">
        <v>1609</v>
      </c>
      <c r="AG9">
        <v>5566</v>
      </c>
      <c r="AH9">
        <v>-34</v>
      </c>
      <c r="AI9">
        <v>58000</v>
      </c>
      <c r="AJ9">
        <v>1.34</v>
      </c>
      <c r="AK9" t="b">
        <v>1</v>
      </c>
    </row>
    <row r="10" spans="1:37">
      <c r="A10" s="1" t="s">
        <v>44</v>
      </c>
      <c r="B10" t="s">
        <v>268</v>
      </c>
      <c r="C10">
        <f>HYPERLINK("https://finance.naver.com/item/coinfo.nhn?code=352090", "A352090")</f>
        <v>0</v>
      </c>
      <c r="D10">
        <f>HYPERLINK("http://comp.fnguide.com/SVO2/ASP/SVD_Consensus.asp?pGB=1&amp;gicode=A352090&amp;cID=&amp;MenuYn=Y&amp;ReportGB=&amp;NewMenuID=108&amp;stkGb=701", "스톰테크")</f>
        <v>0</v>
      </c>
      <c r="E10">
        <v>3</v>
      </c>
      <c r="F10">
        <v>3570</v>
      </c>
      <c r="G10">
        <v>0</v>
      </c>
      <c r="H10">
        <v>9.58</v>
      </c>
      <c r="I10">
        <v>4502</v>
      </c>
      <c r="J10">
        <v>3963</v>
      </c>
      <c r="K10">
        <v>3774</v>
      </c>
      <c r="L10">
        <v>-26.12</v>
      </c>
      <c r="M10">
        <v>-11.01</v>
      </c>
      <c r="N10">
        <v>-5.72</v>
      </c>
      <c r="O10">
        <v>13.92</v>
      </c>
      <c r="P10" t="b">
        <v>1</v>
      </c>
      <c r="Q10">
        <v>0</v>
      </c>
      <c r="R10">
        <v>380</v>
      </c>
      <c r="U10" t="s">
        <v>492</v>
      </c>
      <c r="V10" t="s">
        <v>716</v>
      </c>
      <c r="W10">
        <v>0</v>
      </c>
      <c r="X10">
        <v>13.3</v>
      </c>
      <c r="Y10" t="s">
        <v>940</v>
      </c>
      <c r="Z10">
        <v>-0.3024669876266928</v>
      </c>
      <c r="AA10">
        <v>959</v>
      </c>
      <c r="AB10">
        <v>49120</v>
      </c>
      <c r="AC10" t="s">
        <v>1162</v>
      </c>
      <c r="AD10">
        <v>70.97</v>
      </c>
      <c r="AE10" t="s">
        <v>1386</v>
      </c>
      <c r="AF10" t="s">
        <v>1610</v>
      </c>
      <c r="AG10">
        <v>697</v>
      </c>
      <c r="AH10">
        <v>119</v>
      </c>
      <c r="AJ10">
        <v>12.36</v>
      </c>
      <c r="AK10" t="b">
        <v>1</v>
      </c>
    </row>
    <row r="11" spans="1:37">
      <c r="A11" s="1" t="s">
        <v>45</v>
      </c>
      <c r="B11" t="s">
        <v>269</v>
      </c>
      <c r="C11">
        <f>HYPERLINK("https://finance.naver.com/item/coinfo.nhn?code=020710", "A020710")</f>
        <v>0</v>
      </c>
      <c r="D11">
        <f>HYPERLINK("http://comp.fnguide.com/SVO2/ASP/SVD_Consensus.asp?pGB=1&amp;gicode=A020710&amp;cID=&amp;MenuYn=Y&amp;ReportGB=&amp;NewMenuID=108&amp;stkGb=701", "시공테크")</f>
        <v>0</v>
      </c>
      <c r="E11">
        <v>3</v>
      </c>
      <c r="F11">
        <v>3850</v>
      </c>
      <c r="G11">
        <v>0</v>
      </c>
      <c r="H11">
        <v>2.73</v>
      </c>
      <c r="I11">
        <v>15487</v>
      </c>
      <c r="J11">
        <v>12477</v>
      </c>
      <c r="K11">
        <v>11423</v>
      </c>
      <c r="L11">
        <v>-302.26</v>
      </c>
      <c r="M11">
        <v>-224.08</v>
      </c>
      <c r="N11">
        <v>-196.69</v>
      </c>
      <c r="O11">
        <v>16.98</v>
      </c>
      <c r="P11" t="b">
        <v>0</v>
      </c>
      <c r="Q11">
        <v>0</v>
      </c>
      <c r="R11">
        <v>1521</v>
      </c>
      <c r="U11" t="s">
        <v>493</v>
      </c>
      <c r="V11" t="s">
        <v>717</v>
      </c>
      <c r="W11">
        <v>0</v>
      </c>
      <c r="Y11" t="s">
        <v>941</v>
      </c>
      <c r="Z11">
        <v>0</v>
      </c>
      <c r="AA11">
        <v>772</v>
      </c>
      <c r="AB11">
        <v>142674</v>
      </c>
      <c r="AC11" t="s">
        <v>1163</v>
      </c>
      <c r="AD11">
        <v>43.19</v>
      </c>
      <c r="AE11" t="s">
        <v>1387</v>
      </c>
      <c r="AF11" t="s">
        <v>1611</v>
      </c>
      <c r="AG11">
        <v>1684</v>
      </c>
      <c r="AH11">
        <v>151</v>
      </c>
      <c r="AI11">
        <v>1184705</v>
      </c>
      <c r="AJ11">
        <v>8.15</v>
      </c>
      <c r="AK11" t="b">
        <v>1</v>
      </c>
    </row>
    <row r="12" spans="1:37">
      <c r="A12" s="1" t="s">
        <v>46</v>
      </c>
      <c r="B12" t="s">
        <v>270</v>
      </c>
      <c r="C12">
        <f>HYPERLINK("https://finance.naver.com/item/coinfo.nhn?code=352480", "A352480")</f>
        <v>0</v>
      </c>
      <c r="D12">
        <f>HYPERLINK("http://comp.fnguide.com/SVO2/ASP/SVD_Consensus.asp?pGB=1&amp;gicode=A352480&amp;cID=&amp;MenuYn=Y&amp;ReportGB=&amp;NewMenuID=108&amp;stkGb=701", "씨앤씨인터내셔널")</f>
        <v>0</v>
      </c>
      <c r="E12">
        <v>3</v>
      </c>
      <c r="F12">
        <v>19700</v>
      </c>
      <c r="G12">
        <v>-0.91</v>
      </c>
      <c r="H12">
        <v>22.32</v>
      </c>
      <c r="I12">
        <v>28238</v>
      </c>
      <c r="J12">
        <v>27091</v>
      </c>
      <c r="K12">
        <v>26690</v>
      </c>
      <c r="L12">
        <v>-43.34</v>
      </c>
      <c r="M12">
        <v>-37.52</v>
      </c>
      <c r="N12">
        <v>-35.48</v>
      </c>
      <c r="O12">
        <v>11.68</v>
      </c>
      <c r="P12" t="b">
        <v>1</v>
      </c>
      <c r="Q12">
        <v>1</v>
      </c>
      <c r="R12">
        <v>1328</v>
      </c>
      <c r="S12">
        <v>1343</v>
      </c>
      <c r="T12">
        <v>1.1</v>
      </c>
      <c r="U12" t="s">
        <v>494</v>
      </c>
      <c r="V12" t="s">
        <v>718</v>
      </c>
      <c r="W12">
        <v>-24.62769828338088</v>
      </c>
      <c r="X12">
        <v>-8</v>
      </c>
      <c r="Y12" t="s">
        <v>942</v>
      </c>
      <c r="Z12">
        <v>0</v>
      </c>
      <c r="AA12">
        <v>2685</v>
      </c>
      <c r="AB12">
        <v>36542</v>
      </c>
      <c r="AC12" t="s">
        <v>1164</v>
      </c>
      <c r="AD12">
        <v>75.04000000000001</v>
      </c>
      <c r="AE12" t="s">
        <v>1388</v>
      </c>
      <c r="AF12" t="s">
        <v>1612</v>
      </c>
      <c r="AG12">
        <v>2885</v>
      </c>
      <c r="AH12">
        <v>222</v>
      </c>
      <c r="AI12">
        <v>44220</v>
      </c>
      <c r="AK12" t="b">
        <v>1</v>
      </c>
    </row>
    <row r="13" spans="1:37">
      <c r="A13" s="1" t="s">
        <v>47</v>
      </c>
      <c r="B13" t="s">
        <v>271</v>
      </c>
      <c r="C13">
        <f>HYPERLINK("https://finance.naver.com/item/coinfo.nhn?code=264660", "A264660")</f>
        <v>0</v>
      </c>
      <c r="D13">
        <f>HYPERLINK("http://comp.fnguide.com/SVO2/ASP/SVD_Consensus.asp?pGB=1&amp;gicode=A264660&amp;cID=&amp;MenuYn=Y&amp;ReportGB=&amp;NewMenuID=108&amp;stkGb=701", "씨앤지하이테크")</f>
        <v>0</v>
      </c>
      <c r="E13">
        <v>3</v>
      </c>
      <c r="F13">
        <v>14350</v>
      </c>
      <c r="G13">
        <v>1.11</v>
      </c>
      <c r="H13">
        <v>7.91</v>
      </c>
      <c r="I13">
        <v>16172</v>
      </c>
      <c r="J13">
        <v>15656</v>
      </c>
      <c r="K13">
        <v>15474</v>
      </c>
      <c r="L13">
        <v>-12.7</v>
      </c>
      <c r="M13">
        <v>-9.1</v>
      </c>
      <c r="N13">
        <v>-7.84</v>
      </c>
      <c r="O13">
        <v>11.48</v>
      </c>
      <c r="P13" t="b">
        <v>1</v>
      </c>
      <c r="Q13">
        <v>0</v>
      </c>
      <c r="R13">
        <v>2009</v>
      </c>
      <c r="S13">
        <v>1708</v>
      </c>
      <c r="T13">
        <v>-15</v>
      </c>
      <c r="U13" t="s">
        <v>495</v>
      </c>
      <c r="V13" t="s">
        <v>719</v>
      </c>
      <c r="W13">
        <v>7.152053305900985</v>
      </c>
      <c r="X13">
        <v>-78.40000000000001</v>
      </c>
      <c r="Y13" t="s">
        <v>943</v>
      </c>
      <c r="Z13">
        <v>-5.648978546443695</v>
      </c>
      <c r="AA13">
        <v>1395</v>
      </c>
      <c r="AB13">
        <v>90516</v>
      </c>
      <c r="AC13" t="s">
        <v>1165</v>
      </c>
      <c r="AD13">
        <v>35.57</v>
      </c>
      <c r="AE13" t="s">
        <v>1389</v>
      </c>
      <c r="AF13" t="s">
        <v>1613</v>
      </c>
      <c r="AG13">
        <v>1962</v>
      </c>
      <c r="AH13">
        <v>247</v>
      </c>
      <c r="AI13">
        <v>301714</v>
      </c>
      <c r="AJ13">
        <v>3.46</v>
      </c>
      <c r="AK13" t="b">
        <v>1</v>
      </c>
    </row>
    <row r="14" spans="1:37">
      <c r="A14" s="1" t="s">
        <v>48</v>
      </c>
      <c r="B14" t="s">
        <v>272</v>
      </c>
      <c r="C14">
        <f>HYPERLINK("https://finance.naver.com/item/coinfo.nhn?code=083930", "A083930")</f>
        <v>0</v>
      </c>
      <c r="D14">
        <f>HYPERLINK("http://comp.fnguide.com/SVO2/ASP/SVD_Consensus.asp?pGB=1&amp;gicode=A083930&amp;cID=&amp;MenuYn=Y&amp;ReportGB=&amp;NewMenuID=108&amp;stkGb=701", "아바코")</f>
        <v>0</v>
      </c>
      <c r="E14">
        <v>3</v>
      </c>
      <c r="F14">
        <v>12510</v>
      </c>
      <c r="G14">
        <v>0</v>
      </c>
      <c r="H14">
        <v>7.04</v>
      </c>
      <c r="I14">
        <v>17029</v>
      </c>
      <c r="J14">
        <v>16565</v>
      </c>
      <c r="K14">
        <v>16402</v>
      </c>
      <c r="L14">
        <v>-36.12</v>
      </c>
      <c r="M14">
        <v>-32.41</v>
      </c>
      <c r="N14">
        <v>-31.11</v>
      </c>
      <c r="O14">
        <v>11.37</v>
      </c>
      <c r="P14" t="b">
        <v>1</v>
      </c>
      <c r="Q14">
        <v>0</v>
      </c>
      <c r="R14">
        <v>1939</v>
      </c>
      <c r="U14" t="s">
        <v>496</v>
      </c>
      <c r="V14" t="s">
        <v>720</v>
      </c>
      <c r="W14">
        <v>0</v>
      </c>
      <c r="Y14" t="s">
        <v>944</v>
      </c>
      <c r="Z14">
        <v>0</v>
      </c>
      <c r="AA14">
        <v>1836</v>
      </c>
      <c r="AB14">
        <v>128572</v>
      </c>
      <c r="AC14" t="s">
        <v>1166</v>
      </c>
      <c r="AD14">
        <v>30.05</v>
      </c>
      <c r="AE14" t="s">
        <v>1390</v>
      </c>
      <c r="AF14" t="s">
        <v>1614</v>
      </c>
      <c r="AG14">
        <v>3929</v>
      </c>
      <c r="AH14">
        <v>346</v>
      </c>
      <c r="AI14">
        <v>950002</v>
      </c>
      <c r="AJ14">
        <v>3.66</v>
      </c>
      <c r="AK14" t="b">
        <v>1</v>
      </c>
    </row>
    <row r="15" spans="1:37">
      <c r="A15" s="1" t="s">
        <v>49</v>
      </c>
      <c r="B15" t="s">
        <v>273</v>
      </c>
      <c r="C15">
        <f>HYPERLINK("https://finance.naver.com/item/coinfo.nhn?code=332370", "A332370")</f>
        <v>0</v>
      </c>
      <c r="D15">
        <f>HYPERLINK("http://comp.fnguide.com/SVO2/ASP/SVD_Consensus.asp?pGB=1&amp;gicode=A332370&amp;cID=&amp;MenuYn=Y&amp;ReportGB=&amp;NewMenuID=108&amp;stkGb=701", "아이디피")</f>
        <v>0</v>
      </c>
      <c r="E15">
        <v>3</v>
      </c>
      <c r="F15">
        <v>5100</v>
      </c>
      <c r="G15">
        <v>0.27</v>
      </c>
      <c r="H15">
        <v>6.55</v>
      </c>
      <c r="I15">
        <v>8752</v>
      </c>
      <c r="J15">
        <v>7173</v>
      </c>
      <c r="K15">
        <v>6619</v>
      </c>
      <c r="L15">
        <v>-71.62</v>
      </c>
      <c r="M15">
        <v>-40.64</v>
      </c>
      <c r="N15">
        <v>-29.78</v>
      </c>
      <c r="O15">
        <v>16.32</v>
      </c>
      <c r="P15" t="b">
        <v>0</v>
      </c>
      <c r="Q15">
        <v>1</v>
      </c>
      <c r="R15">
        <v>776</v>
      </c>
      <c r="S15">
        <v>859</v>
      </c>
      <c r="T15">
        <v>10.7</v>
      </c>
      <c r="U15" t="s">
        <v>497</v>
      </c>
      <c r="V15" t="s">
        <v>721</v>
      </c>
      <c r="W15">
        <v>23.95759857927276</v>
      </c>
      <c r="X15">
        <v>60.8</v>
      </c>
      <c r="Y15" t="s">
        <v>945</v>
      </c>
      <c r="Z15">
        <v>31.20223861519731</v>
      </c>
      <c r="AA15">
        <v>677</v>
      </c>
      <c r="AB15">
        <v>43373</v>
      </c>
      <c r="AC15" t="s">
        <v>1167</v>
      </c>
      <c r="AD15">
        <v>58.92</v>
      </c>
      <c r="AE15" t="s">
        <v>1391</v>
      </c>
      <c r="AF15" t="s">
        <v>1615</v>
      </c>
      <c r="AG15">
        <v>491</v>
      </c>
      <c r="AH15">
        <v>109</v>
      </c>
      <c r="AI15">
        <v>1352282</v>
      </c>
      <c r="AJ15">
        <v>3.35</v>
      </c>
      <c r="AK15" t="b">
        <v>1</v>
      </c>
    </row>
    <row r="16" spans="1:37">
      <c r="A16" s="1" t="s">
        <v>50</v>
      </c>
      <c r="B16" t="s">
        <v>274</v>
      </c>
      <c r="C16">
        <f>HYPERLINK("https://finance.naver.com/item/coinfo.nhn?code=461300", "A461300")</f>
        <v>0</v>
      </c>
      <c r="D16">
        <f>HYPERLINK("http://comp.fnguide.com/SVO2/ASP/SVD_Consensus.asp?pGB=1&amp;gicode=A461300&amp;cID=&amp;MenuYn=Y&amp;ReportGB=&amp;NewMenuID=108&amp;stkGb=701", "아이스크림미디어")</f>
        <v>0</v>
      </c>
      <c r="E16">
        <v>3</v>
      </c>
      <c r="F16">
        <v>17100</v>
      </c>
      <c r="G16">
        <v>0</v>
      </c>
      <c r="H16">
        <v>4.67</v>
      </c>
      <c r="I16">
        <v>41378</v>
      </c>
      <c r="J16">
        <v>27888</v>
      </c>
      <c r="K16">
        <v>23160</v>
      </c>
      <c r="L16">
        <v>-141.98</v>
      </c>
      <c r="M16">
        <v>-63.09</v>
      </c>
      <c r="N16">
        <v>-35.44</v>
      </c>
      <c r="O16">
        <v>27.79</v>
      </c>
      <c r="P16" t="b">
        <v>1</v>
      </c>
      <c r="Q16">
        <v>0</v>
      </c>
      <c r="R16">
        <v>3723</v>
      </c>
      <c r="U16" t="s">
        <v>498</v>
      </c>
      <c r="V16" t="s">
        <v>722</v>
      </c>
      <c r="W16">
        <v>0</v>
      </c>
      <c r="Y16" t="s">
        <v>946</v>
      </c>
      <c r="Z16">
        <v>0</v>
      </c>
      <c r="AA16">
        <v>2278</v>
      </c>
      <c r="AB16">
        <v>42562</v>
      </c>
      <c r="AC16" t="s">
        <v>1168</v>
      </c>
      <c r="AD16">
        <v>60.8</v>
      </c>
      <c r="AE16" t="s">
        <v>1392</v>
      </c>
      <c r="AF16" t="s">
        <v>1616</v>
      </c>
      <c r="AG16">
        <v>1959</v>
      </c>
      <c r="AH16">
        <v>618</v>
      </c>
      <c r="AI16">
        <v>598969</v>
      </c>
      <c r="AJ16">
        <v>8.93</v>
      </c>
      <c r="AK16" t="b">
        <v>1</v>
      </c>
    </row>
    <row r="17" spans="1:37">
      <c r="A17" s="1" t="s">
        <v>51</v>
      </c>
      <c r="B17" t="s">
        <v>275</v>
      </c>
      <c r="C17">
        <f>HYPERLINK("https://finance.naver.com/item/coinfo.nhn?code=052460", "A052460")</f>
        <v>0</v>
      </c>
      <c r="D17">
        <f>HYPERLINK("http://comp.fnguide.com/SVO2/ASP/SVD_Consensus.asp?pGB=1&amp;gicode=A052460&amp;cID=&amp;MenuYn=Y&amp;ReportGB=&amp;NewMenuID=108&amp;stkGb=701", "아이크래프트")</f>
        <v>0</v>
      </c>
      <c r="E17">
        <v>3</v>
      </c>
      <c r="F17">
        <v>2845</v>
      </c>
      <c r="G17">
        <v>0</v>
      </c>
      <c r="H17">
        <v>3.81</v>
      </c>
      <c r="I17">
        <v>5128</v>
      </c>
      <c r="J17">
        <v>4434</v>
      </c>
      <c r="K17">
        <v>4190</v>
      </c>
      <c r="L17">
        <v>-80.26000000000001</v>
      </c>
      <c r="M17">
        <v>-55.84</v>
      </c>
      <c r="N17">
        <v>-47.28</v>
      </c>
      <c r="O17">
        <v>14.47</v>
      </c>
      <c r="P17" t="b">
        <v>1</v>
      </c>
      <c r="Q17">
        <v>0</v>
      </c>
      <c r="R17">
        <v>695</v>
      </c>
      <c r="U17" t="s">
        <v>499</v>
      </c>
      <c r="V17" t="s">
        <v>723</v>
      </c>
      <c r="W17">
        <v>0</v>
      </c>
      <c r="Y17" t="s">
        <v>947</v>
      </c>
      <c r="Z17">
        <v>0</v>
      </c>
      <c r="AA17">
        <v>416</v>
      </c>
      <c r="AB17">
        <v>103393</v>
      </c>
      <c r="AC17" t="s">
        <v>1169</v>
      </c>
      <c r="AD17">
        <v>21.1</v>
      </c>
      <c r="AE17" t="s">
        <v>1393</v>
      </c>
      <c r="AF17" t="s">
        <v>1617</v>
      </c>
      <c r="AG17">
        <v>2065</v>
      </c>
      <c r="AH17">
        <v>80</v>
      </c>
      <c r="AI17">
        <v>2450000</v>
      </c>
      <c r="AJ17">
        <v>3.78</v>
      </c>
      <c r="AK17" t="b">
        <v>1</v>
      </c>
    </row>
    <row r="18" spans="1:37">
      <c r="A18" s="1" t="s">
        <v>52</v>
      </c>
      <c r="B18" t="s">
        <v>276</v>
      </c>
      <c r="C18">
        <f>HYPERLINK("https://finance.naver.com/item/coinfo.nhn?code=010280", "A010280")</f>
        <v>0</v>
      </c>
      <c r="D18">
        <f>HYPERLINK("http://comp.fnguide.com/SVO2/ASP/SVD_Consensus.asp?pGB=1&amp;gicode=A010280&amp;cID=&amp;MenuYn=Y&amp;ReportGB=&amp;NewMenuID=108&amp;stkGb=701", "아이티센엔텍")</f>
        <v>0</v>
      </c>
      <c r="E18">
        <v>3</v>
      </c>
      <c r="F18">
        <v>6550</v>
      </c>
      <c r="G18">
        <v>0.03</v>
      </c>
      <c r="H18">
        <v>2.75</v>
      </c>
      <c r="I18">
        <v>14270</v>
      </c>
      <c r="J18">
        <v>10732</v>
      </c>
      <c r="K18">
        <v>9493</v>
      </c>
      <c r="L18">
        <v>-117.86</v>
      </c>
      <c r="M18">
        <v>-63.85</v>
      </c>
      <c r="N18">
        <v>-44.92</v>
      </c>
      <c r="O18">
        <v>20.18</v>
      </c>
      <c r="P18" t="b">
        <v>1</v>
      </c>
      <c r="Q18">
        <v>3</v>
      </c>
      <c r="R18">
        <v>1768</v>
      </c>
      <c r="S18">
        <v>2871</v>
      </c>
      <c r="T18">
        <v>62.4</v>
      </c>
      <c r="U18" t="s">
        <v>500</v>
      </c>
      <c r="V18" t="s">
        <v>724</v>
      </c>
      <c r="W18">
        <v>89.92616152071646</v>
      </c>
      <c r="X18">
        <v>846.8</v>
      </c>
      <c r="Y18" t="s">
        <v>948</v>
      </c>
      <c r="Z18">
        <v>0</v>
      </c>
      <c r="AA18">
        <v>853</v>
      </c>
      <c r="AB18">
        <v>68930</v>
      </c>
      <c r="AC18" t="s">
        <v>1170</v>
      </c>
      <c r="AD18">
        <v>39.21</v>
      </c>
      <c r="AE18" t="s">
        <v>1394</v>
      </c>
      <c r="AF18" t="s">
        <v>1618</v>
      </c>
      <c r="AG18">
        <v>5720</v>
      </c>
      <c r="AH18">
        <v>209</v>
      </c>
      <c r="AI18">
        <v>2</v>
      </c>
      <c r="AK18" t="b">
        <v>1</v>
      </c>
    </row>
    <row r="19" spans="1:37">
      <c r="A19" s="1" t="s">
        <v>53</v>
      </c>
      <c r="B19" t="s">
        <v>277</v>
      </c>
      <c r="C19">
        <f>HYPERLINK("https://finance.naver.com/item/coinfo.nhn?code=459550", "A459550")</f>
        <v>0</v>
      </c>
      <c r="D19">
        <f>HYPERLINK("http://comp.fnguide.com/SVO2/ASP/SVD_Consensus.asp?pGB=1&amp;gicode=A459550&amp;cID=&amp;MenuYn=Y&amp;ReportGB=&amp;NewMenuID=108&amp;stkGb=701", "알트")</f>
        <v>0</v>
      </c>
      <c r="E19">
        <v>3</v>
      </c>
      <c r="F19">
        <v>1878</v>
      </c>
      <c r="G19">
        <v>0</v>
      </c>
      <c r="H19">
        <v>18.51</v>
      </c>
      <c r="I19">
        <v>5867</v>
      </c>
      <c r="J19">
        <v>3778</v>
      </c>
      <c r="K19">
        <v>3046</v>
      </c>
      <c r="L19">
        <v>-212.4</v>
      </c>
      <c r="M19">
        <v>-101.17</v>
      </c>
      <c r="N19">
        <v>-62.19</v>
      </c>
      <c r="O19">
        <v>32.52</v>
      </c>
      <c r="P19" t="b">
        <v>0</v>
      </c>
      <c r="Q19">
        <v>0</v>
      </c>
      <c r="R19">
        <v>203</v>
      </c>
      <c r="U19" t="s">
        <v>501</v>
      </c>
      <c r="V19" t="s">
        <v>725</v>
      </c>
      <c r="W19">
        <v>0</v>
      </c>
      <c r="Y19" t="s">
        <v>949</v>
      </c>
      <c r="Z19">
        <v>0</v>
      </c>
      <c r="AA19">
        <v>474</v>
      </c>
      <c r="AB19">
        <v>7229920</v>
      </c>
      <c r="AC19" t="s">
        <v>1171</v>
      </c>
      <c r="AD19">
        <v>27.11</v>
      </c>
      <c r="AE19" t="s">
        <v>1395</v>
      </c>
      <c r="AF19" t="s">
        <v>1619</v>
      </c>
      <c r="AG19">
        <v>1129</v>
      </c>
      <c r="AH19">
        <v>90</v>
      </c>
      <c r="AI19">
        <v>411236</v>
      </c>
      <c r="AK19" t="b">
        <v>1</v>
      </c>
    </row>
    <row r="20" spans="1:37">
      <c r="A20" s="1" t="s">
        <v>54</v>
      </c>
      <c r="B20" t="s">
        <v>278</v>
      </c>
      <c r="C20">
        <f>HYPERLINK("https://finance.naver.com/item/coinfo.nhn?code=310200", "A310200")</f>
        <v>0</v>
      </c>
      <c r="D20">
        <f>HYPERLINK("http://comp.fnguide.com/SVO2/ASP/SVD_Consensus.asp?pGB=1&amp;gicode=A310200&amp;cID=&amp;MenuYn=Y&amp;ReportGB=&amp;NewMenuID=108&amp;stkGb=701", "애니플러스")</f>
        <v>0</v>
      </c>
      <c r="E20">
        <v>3</v>
      </c>
      <c r="F20">
        <v>2245</v>
      </c>
      <c r="G20">
        <v>0</v>
      </c>
      <c r="H20">
        <v>14.56</v>
      </c>
      <c r="I20">
        <v>2558</v>
      </c>
      <c r="J20">
        <v>2417</v>
      </c>
      <c r="K20">
        <v>2367</v>
      </c>
      <c r="L20">
        <v>-13.93</v>
      </c>
      <c r="M20">
        <v>-7.64</v>
      </c>
      <c r="N20">
        <v>-5.44</v>
      </c>
      <c r="O20">
        <v>12.04</v>
      </c>
      <c r="P20" t="b">
        <v>1</v>
      </c>
      <c r="Q20">
        <v>0</v>
      </c>
      <c r="R20">
        <v>231</v>
      </c>
      <c r="U20" t="s">
        <v>502</v>
      </c>
      <c r="V20" t="s">
        <v>726</v>
      </c>
      <c r="W20">
        <v>0</v>
      </c>
      <c r="X20">
        <v>-63.8</v>
      </c>
      <c r="Y20" t="s">
        <v>950</v>
      </c>
      <c r="Z20">
        <v>-34.59470059512753</v>
      </c>
      <c r="AA20">
        <v>1171</v>
      </c>
      <c r="AB20">
        <v>180020</v>
      </c>
      <c r="AC20" t="s">
        <v>1172</v>
      </c>
      <c r="AD20">
        <v>37.32</v>
      </c>
      <c r="AE20" t="s">
        <v>1396</v>
      </c>
      <c r="AF20" t="s">
        <v>1620</v>
      </c>
      <c r="AG20">
        <v>1503</v>
      </c>
      <c r="AH20">
        <v>227</v>
      </c>
      <c r="AJ20">
        <v>2.08</v>
      </c>
      <c r="AK20" t="b">
        <v>1</v>
      </c>
    </row>
    <row r="21" spans="1:37">
      <c r="A21" s="1" t="s">
        <v>55</v>
      </c>
      <c r="B21" t="s">
        <v>279</v>
      </c>
      <c r="C21">
        <f>HYPERLINK("https://finance.naver.com/item/coinfo.nhn?code=069510", "A069510")</f>
        <v>0</v>
      </c>
      <c r="D21">
        <f>HYPERLINK("http://comp.fnguide.com/SVO2/ASP/SVD_Consensus.asp?pGB=1&amp;gicode=A069510&amp;cID=&amp;MenuYn=Y&amp;ReportGB=&amp;NewMenuID=108&amp;stkGb=701", "에스텍")</f>
        <v>0</v>
      </c>
      <c r="E21">
        <v>3</v>
      </c>
      <c r="F21">
        <v>11800</v>
      </c>
      <c r="G21">
        <v>0</v>
      </c>
      <c r="H21">
        <v>3.82</v>
      </c>
      <c r="I21">
        <v>53145</v>
      </c>
      <c r="J21">
        <v>39715</v>
      </c>
      <c r="K21">
        <v>35008</v>
      </c>
      <c r="L21">
        <v>-350.38</v>
      </c>
      <c r="M21">
        <v>-236.57</v>
      </c>
      <c r="N21">
        <v>-196.68</v>
      </c>
      <c r="O21">
        <v>20.52</v>
      </c>
      <c r="P21" t="b">
        <v>0</v>
      </c>
      <c r="Q21">
        <v>0</v>
      </c>
      <c r="R21">
        <v>3815</v>
      </c>
      <c r="U21" t="s">
        <v>503</v>
      </c>
      <c r="V21" t="s">
        <v>727</v>
      </c>
      <c r="W21">
        <v>0</v>
      </c>
      <c r="X21">
        <v>-26.4</v>
      </c>
      <c r="Y21" t="s">
        <v>951</v>
      </c>
      <c r="Z21">
        <v>0</v>
      </c>
      <c r="AA21">
        <v>1287</v>
      </c>
      <c r="AB21">
        <v>11669</v>
      </c>
      <c r="AC21" t="s">
        <v>1173</v>
      </c>
      <c r="AD21">
        <v>49.43</v>
      </c>
      <c r="AE21" t="s">
        <v>1397</v>
      </c>
      <c r="AF21" t="s">
        <v>1621</v>
      </c>
      <c r="AG21">
        <v>4682</v>
      </c>
      <c r="AH21">
        <v>458</v>
      </c>
      <c r="AI21">
        <v>2500000</v>
      </c>
      <c r="AJ21">
        <v>5.83</v>
      </c>
      <c r="AK21" t="b">
        <v>1</v>
      </c>
    </row>
    <row r="22" spans="1:37">
      <c r="A22" s="1" t="s">
        <v>56</v>
      </c>
      <c r="B22" t="s">
        <v>280</v>
      </c>
      <c r="C22">
        <f>HYPERLINK("https://finance.naver.com/item/coinfo.nhn?code=364950", "A364950")</f>
        <v>0</v>
      </c>
      <c r="D22">
        <f>HYPERLINK("http://comp.fnguide.com/SVO2/ASP/SVD_Consensus.asp?pGB=1&amp;gicode=A364950&amp;cID=&amp;MenuYn=Y&amp;ReportGB=&amp;NewMenuID=108&amp;stkGb=701", "에이아이코리아")</f>
        <v>0</v>
      </c>
      <c r="E22">
        <v>3</v>
      </c>
      <c r="F22">
        <v>4575</v>
      </c>
      <c r="G22">
        <v>0</v>
      </c>
      <c r="I22">
        <v>8586</v>
      </c>
      <c r="J22">
        <v>7675</v>
      </c>
      <c r="K22">
        <v>7356</v>
      </c>
      <c r="L22">
        <v>-87.68000000000001</v>
      </c>
      <c r="M22">
        <v>-67.76000000000001</v>
      </c>
      <c r="N22">
        <v>-60.78</v>
      </c>
      <c r="O22">
        <v>13.47</v>
      </c>
      <c r="P22" t="b">
        <v>0</v>
      </c>
      <c r="Q22">
        <v>0</v>
      </c>
      <c r="R22">
        <v>-94</v>
      </c>
      <c r="U22" t="s">
        <v>504</v>
      </c>
      <c r="V22" t="s">
        <v>728</v>
      </c>
      <c r="W22">
        <v>0</v>
      </c>
      <c r="Y22" t="s">
        <v>952</v>
      </c>
      <c r="Z22">
        <v>0</v>
      </c>
      <c r="AA22">
        <v>380</v>
      </c>
      <c r="AB22">
        <v>60874</v>
      </c>
      <c r="AC22" t="s">
        <v>1174</v>
      </c>
      <c r="AD22">
        <v>31.24</v>
      </c>
      <c r="AE22" t="s">
        <v>1398</v>
      </c>
      <c r="AF22" t="s">
        <v>1622</v>
      </c>
      <c r="AG22">
        <v>870</v>
      </c>
      <c r="AH22">
        <v>28</v>
      </c>
      <c r="AI22">
        <v>7112</v>
      </c>
      <c r="AK22" t="b">
        <v>1</v>
      </c>
    </row>
    <row r="23" spans="1:37">
      <c r="A23" s="1" t="s">
        <v>57</v>
      </c>
      <c r="B23" t="s">
        <v>281</v>
      </c>
      <c r="C23">
        <f>HYPERLINK("https://finance.naver.com/item/coinfo.nhn?code=058630", "A058630")</f>
        <v>0</v>
      </c>
      <c r="D23">
        <f>HYPERLINK("http://comp.fnguide.com/SVO2/ASP/SVD_Consensus.asp?pGB=1&amp;gicode=A058630&amp;cID=&amp;MenuYn=Y&amp;ReportGB=&amp;NewMenuID=108&amp;stkGb=701", "엠게임")</f>
        <v>0</v>
      </c>
      <c r="E23">
        <v>3</v>
      </c>
      <c r="F23">
        <v>4495</v>
      </c>
      <c r="G23">
        <v>0</v>
      </c>
      <c r="H23">
        <v>7.75</v>
      </c>
      <c r="I23">
        <v>9427</v>
      </c>
      <c r="J23">
        <v>8262</v>
      </c>
      <c r="K23">
        <v>7853</v>
      </c>
      <c r="L23">
        <v>-109.72</v>
      </c>
      <c r="M23">
        <v>-83.8</v>
      </c>
      <c r="N23">
        <v>-74.72</v>
      </c>
      <c r="O23">
        <v>14.05</v>
      </c>
      <c r="P23" t="b">
        <v>1</v>
      </c>
      <c r="Q23">
        <v>0</v>
      </c>
      <c r="R23">
        <v>820</v>
      </c>
      <c r="U23" t="s">
        <v>505</v>
      </c>
      <c r="V23" t="s">
        <v>729</v>
      </c>
      <c r="W23">
        <v>0</v>
      </c>
      <c r="X23">
        <v>-18.8</v>
      </c>
      <c r="Y23" t="s">
        <v>953</v>
      </c>
      <c r="Z23">
        <v>-9.529459828784525</v>
      </c>
      <c r="AA23">
        <v>863</v>
      </c>
      <c r="AB23">
        <v>44349</v>
      </c>
      <c r="AC23" t="s">
        <v>1175</v>
      </c>
      <c r="AD23">
        <v>20.14</v>
      </c>
      <c r="AE23" t="s">
        <v>1399</v>
      </c>
      <c r="AF23" t="s">
        <v>1623</v>
      </c>
      <c r="AG23">
        <v>917</v>
      </c>
      <c r="AH23">
        <v>176</v>
      </c>
      <c r="AI23">
        <v>295000</v>
      </c>
      <c r="AJ23">
        <v>3.49</v>
      </c>
      <c r="AK23" t="b">
        <v>1</v>
      </c>
    </row>
    <row r="24" spans="1:37">
      <c r="A24" s="1" t="s">
        <v>58</v>
      </c>
      <c r="B24" t="s">
        <v>282</v>
      </c>
      <c r="C24">
        <f>HYPERLINK("https://finance.naver.com/item/coinfo.nhn?code=009780", "A009780")</f>
        <v>0</v>
      </c>
      <c r="D24">
        <f>HYPERLINK("http://comp.fnguide.com/SVO2/ASP/SVD_Consensus.asp?pGB=1&amp;gicode=A009780&amp;cID=&amp;MenuYn=Y&amp;ReportGB=&amp;NewMenuID=108&amp;stkGb=701", "엠에스씨")</f>
        <v>0</v>
      </c>
      <c r="E24">
        <v>3</v>
      </c>
      <c r="F24">
        <v>6110</v>
      </c>
      <c r="G24">
        <v>0</v>
      </c>
      <c r="H24">
        <v>6.06</v>
      </c>
      <c r="I24">
        <v>13075</v>
      </c>
      <c r="J24">
        <v>11836</v>
      </c>
      <c r="K24">
        <v>11402</v>
      </c>
      <c r="L24">
        <v>-113.99</v>
      </c>
      <c r="M24">
        <v>-93.70999999999999</v>
      </c>
      <c r="N24">
        <v>-86.61</v>
      </c>
      <c r="O24">
        <v>13.12</v>
      </c>
      <c r="P24" t="b">
        <v>1</v>
      </c>
      <c r="Q24">
        <v>0</v>
      </c>
      <c r="R24">
        <v>1307</v>
      </c>
      <c r="U24" t="s">
        <v>506</v>
      </c>
      <c r="V24" t="s">
        <v>730</v>
      </c>
      <c r="W24">
        <v>0</v>
      </c>
      <c r="X24">
        <v>4.1</v>
      </c>
      <c r="Y24" t="s">
        <v>954</v>
      </c>
      <c r="Z24">
        <v>9.262667564083959</v>
      </c>
      <c r="AA24">
        <v>1075</v>
      </c>
      <c r="AB24">
        <v>9903</v>
      </c>
      <c r="AC24" t="s">
        <v>1176</v>
      </c>
      <c r="AD24">
        <v>73.22</v>
      </c>
      <c r="AE24" t="s">
        <v>1400</v>
      </c>
      <c r="AF24" t="s">
        <v>1624</v>
      </c>
      <c r="AG24">
        <v>1977</v>
      </c>
      <c r="AH24">
        <v>297</v>
      </c>
      <c r="AJ24">
        <v>1.64</v>
      </c>
      <c r="AK24" t="b">
        <v>1</v>
      </c>
    </row>
    <row r="25" spans="1:37">
      <c r="A25" s="1" t="s">
        <v>59</v>
      </c>
      <c r="B25" t="s">
        <v>283</v>
      </c>
      <c r="C25">
        <f>HYPERLINK("https://finance.naver.com/item/coinfo.nhn?code=148150", "A148150")</f>
        <v>0</v>
      </c>
      <c r="D25">
        <f>HYPERLINK("http://comp.fnguide.com/SVO2/ASP/SVD_Consensus.asp?pGB=1&amp;gicode=A148150&amp;cID=&amp;MenuYn=Y&amp;ReportGB=&amp;NewMenuID=108&amp;stkGb=701", "세경하이테크")</f>
        <v>0</v>
      </c>
      <c r="E25">
        <v>3</v>
      </c>
      <c r="F25">
        <v>3615</v>
      </c>
      <c r="G25">
        <v>0.26</v>
      </c>
      <c r="H25">
        <v>5.25</v>
      </c>
      <c r="I25">
        <v>10242</v>
      </c>
      <c r="J25">
        <v>8481</v>
      </c>
      <c r="K25">
        <v>7864</v>
      </c>
      <c r="L25">
        <v>-183.31</v>
      </c>
      <c r="M25">
        <v>-134.61</v>
      </c>
      <c r="N25">
        <v>-117.54</v>
      </c>
      <c r="O25">
        <v>15.93</v>
      </c>
      <c r="P25" t="b">
        <v>0</v>
      </c>
      <c r="Q25">
        <v>0</v>
      </c>
      <c r="R25">
        <v>980</v>
      </c>
      <c r="S25">
        <v>427</v>
      </c>
      <c r="T25">
        <v>-56.4</v>
      </c>
      <c r="U25" t="s">
        <v>507</v>
      </c>
      <c r="V25" t="s">
        <v>731</v>
      </c>
      <c r="W25">
        <v>19.86511482895208</v>
      </c>
      <c r="X25">
        <v>-66</v>
      </c>
      <c r="Y25" t="s">
        <v>955</v>
      </c>
      <c r="Z25">
        <v>-12.28413148184342</v>
      </c>
      <c r="AA25">
        <v>1285</v>
      </c>
      <c r="AB25">
        <v>106795</v>
      </c>
      <c r="AC25" t="s">
        <v>1177</v>
      </c>
      <c r="AD25">
        <v>20.57</v>
      </c>
      <c r="AE25" t="s">
        <v>1401</v>
      </c>
      <c r="AF25" t="s">
        <v>1625</v>
      </c>
      <c r="AG25">
        <v>2779</v>
      </c>
      <c r="AH25">
        <v>18</v>
      </c>
      <c r="AI25">
        <v>1555597</v>
      </c>
      <c r="AJ25">
        <v>1.95</v>
      </c>
      <c r="AK25" t="b">
        <v>1</v>
      </c>
    </row>
    <row r="26" spans="1:37">
      <c r="A26" s="1" t="s">
        <v>60</v>
      </c>
      <c r="B26" t="s">
        <v>284</v>
      </c>
      <c r="C26">
        <f>HYPERLINK("https://finance.naver.com/item/coinfo.nhn?code=080470", "A080470")</f>
        <v>0</v>
      </c>
      <c r="D26">
        <f>HYPERLINK("http://comp.fnguide.com/SVO2/ASP/SVD_Consensus.asp?pGB=1&amp;gicode=A080470&amp;cID=&amp;MenuYn=Y&amp;ReportGB=&amp;NewMenuID=108&amp;stkGb=701", "성창오토텍")</f>
        <v>0</v>
      </c>
      <c r="E26">
        <v>3</v>
      </c>
      <c r="F26">
        <v>3030</v>
      </c>
      <c r="G26">
        <v>0</v>
      </c>
      <c r="H26">
        <v>3.46</v>
      </c>
      <c r="I26">
        <v>10036</v>
      </c>
      <c r="J26">
        <v>9097</v>
      </c>
      <c r="K26">
        <v>8768</v>
      </c>
      <c r="L26">
        <v>-231.23</v>
      </c>
      <c r="M26">
        <v>-200.24</v>
      </c>
      <c r="N26">
        <v>-189.38</v>
      </c>
      <c r="O26">
        <v>13.09</v>
      </c>
      <c r="P26" t="b">
        <v>1</v>
      </c>
      <c r="Q26">
        <v>0</v>
      </c>
      <c r="R26">
        <v>1163</v>
      </c>
      <c r="U26" t="s">
        <v>508</v>
      </c>
      <c r="V26" t="s">
        <v>732</v>
      </c>
      <c r="W26">
        <v>0</v>
      </c>
      <c r="X26">
        <v>-5.6</v>
      </c>
      <c r="Y26" t="s">
        <v>956</v>
      </c>
      <c r="Z26">
        <v>15.75638863979705</v>
      </c>
      <c r="AA26">
        <v>221</v>
      </c>
      <c r="AB26">
        <v>24426</v>
      </c>
      <c r="AC26" t="s">
        <v>1178</v>
      </c>
      <c r="AD26">
        <v>52.38</v>
      </c>
      <c r="AE26" t="s">
        <v>1402</v>
      </c>
      <c r="AF26" t="s">
        <v>1626</v>
      </c>
      <c r="AG26">
        <v>2435</v>
      </c>
      <c r="AH26">
        <v>116</v>
      </c>
      <c r="AJ26">
        <v>1.74</v>
      </c>
      <c r="AK26" t="b">
        <v>1</v>
      </c>
    </row>
    <row r="27" spans="1:37">
      <c r="A27" s="1" t="s">
        <v>61</v>
      </c>
      <c r="B27" t="s">
        <v>285</v>
      </c>
      <c r="C27">
        <f>HYPERLINK("https://finance.naver.com/item/coinfo.nhn?code=015750", "A015750")</f>
        <v>0</v>
      </c>
      <c r="D27">
        <f>HYPERLINK("http://comp.fnguide.com/SVO2/ASP/SVD_Consensus.asp?pGB=1&amp;gicode=A015750&amp;cID=&amp;MenuYn=Y&amp;ReportGB=&amp;NewMenuID=108&amp;stkGb=701", "성우하이텍")</f>
        <v>0</v>
      </c>
      <c r="E27">
        <v>3</v>
      </c>
      <c r="F27">
        <v>6710</v>
      </c>
      <c r="G27">
        <v>0</v>
      </c>
      <c r="H27">
        <v>3.23</v>
      </c>
      <c r="I27">
        <v>21263</v>
      </c>
      <c r="J27">
        <v>21233</v>
      </c>
      <c r="K27">
        <v>21223</v>
      </c>
      <c r="L27">
        <v>-216.88</v>
      </c>
      <c r="M27">
        <v>-216.44</v>
      </c>
      <c r="N27">
        <v>-216.29</v>
      </c>
      <c r="O27">
        <v>10.82</v>
      </c>
      <c r="P27" t="b">
        <v>1</v>
      </c>
      <c r="Q27">
        <v>0</v>
      </c>
      <c r="R27">
        <v>2110</v>
      </c>
      <c r="U27" t="s">
        <v>509</v>
      </c>
      <c r="V27" t="s">
        <v>733</v>
      </c>
      <c r="W27">
        <v>0</v>
      </c>
      <c r="X27">
        <v>-19.8</v>
      </c>
      <c r="Y27" t="s">
        <v>957</v>
      </c>
      <c r="Z27">
        <v>24.65742551493368</v>
      </c>
      <c r="AA27">
        <v>5368</v>
      </c>
      <c r="AB27">
        <v>442685</v>
      </c>
      <c r="AC27" t="s">
        <v>1179</v>
      </c>
      <c r="AD27">
        <v>44.87</v>
      </c>
      <c r="AE27" t="s">
        <v>1403</v>
      </c>
      <c r="AF27" t="s">
        <v>1627</v>
      </c>
      <c r="AG27">
        <v>43827</v>
      </c>
      <c r="AH27">
        <v>2427</v>
      </c>
      <c r="AI27">
        <v>8407</v>
      </c>
      <c r="AJ27">
        <v>2.94</v>
      </c>
      <c r="AK27" t="b">
        <v>1</v>
      </c>
    </row>
    <row r="28" spans="1:37">
      <c r="A28" s="1" t="s">
        <v>62</v>
      </c>
      <c r="B28" t="s">
        <v>286</v>
      </c>
      <c r="C28">
        <f>HYPERLINK("https://finance.naver.com/item/coinfo.nhn?code=067280", "A067280")</f>
        <v>0</v>
      </c>
      <c r="D28">
        <f>HYPERLINK("http://comp.fnguide.com/SVO2/ASP/SVD_Consensus.asp?pGB=1&amp;gicode=A067280&amp;cID=&amp;MenuYn=Y&amp;ReportGB=&amp;NewMenuID=108&amp;stkGb=701", "멀티캠퍼스")</f>
        <v>0</v>
      </c>
      <c r="E28">
        <v>3</v>
      </c>
      <c r="F28">
        <v>24750</v>
      </c>
      <c r="G28">
        <v>0</v>
      </c>
      <c r="H28">
        <v>7.02</v>
      </c>
      <c r="I28">
        <v>49771</v>
      </c>
      <c r="J28">
        <v>43973</v>
      </c>
      <c r="K28">
        <v>41941</v>
      </c>
      <c r="L28">
        <v>-101.09</v>
      </c>
      <c r="M28">
        <v>-77.67</v>
      </c>
      <c r="N28">
        <v>-69.45999999999999</v>
      </c>
      <c r="O28">
        <v>13.81</v>
      </c>
      <c r="P28" t="b">
        <v>0</v>
      </c>
      <c r="Q28">
        <v>0</v>
      </c>
      <c r="R28">
        <v>4417</v>
      </c>
      <c r="U28" t="s">
        <v>510</v>
      </c>
      <c r="V28" t="s">
        <v>734</v>
      </c>
      <c r="W28">
        <v>0</v>
      </c>
      <c r="X28">
        <v>-68</v>
      </c>
      <c r="Y28" t="s">
        <v>958</v>
      </c>
      <c r="Z28">
        <v>-16.28441233977928</v>
      </c>
      <c r="AA28">
        <v>1467</v>
      </c>
      <c r="AB28">
        <v>11637</v>
      </c>
      <c r="AC28" t="s">
        <v>1180</v>
      </c>
      <c r="AD28">
        <v>62.46</v>
      </c>
      <c r="AE28" t="s">
        <v>1404</v>
      </c>
      <c r="AF28" t="s">
        <v>1628</v>
      </c>
      <c r="AG28">
        <v>3308</v>
      </c>
      <c r="AH28">
        <v>319</v>
      </c>
      <c r="AJ28">
        <v>4.35</v>
      </c>
      <c r="AK28" t="b">
        <v>1</v>
      </c>
    </row>
    <row r="29" spans="1:37">
      <c r="A29" s="1" t="s">
        <v>63</v>
      </c>
      <c r="B29" t="s">
        <v>287</v>
      </c>
      <c r="C29">
        <f>HYPERLINK("https://finance.naver.com/item/coinfo.nhn?code=054670", "A054670")</f>
        <v>0</v>
      </c>
      <c r="D29">
        <f>HYPERLINK("http://comp.fnguide.com/SVO2/ASP/SVD_Consensus.asp?pGB=1&amp;gicode=A054670&amp;cID=&amp;MenuYn=Y&amp;ReportGB=&amp;NewMenuID=108&amp;stkGb=701", "대한뉴팜")</f>
        <v>0</v>
      </c>
      <c r="E29">
        <v>3</v>
      </c>
      <c r="F29">
        <v>5630</v>
      </c>
      <c r="G29">
        <v>0</v>
      </c>
      <c r="H29">
        <v>6.18</v>
      </c>
      <c r="I29">
        <v>11189</v>
      </c>
      <c r="J29">
        <v>10538</v>
      </c>
      <c r="K29">
        <v>10310</v>
      </c>
      <c r="L29">
        <v>-98.73</v>
      </c>
      <c r="M29">
        <v>-87.18000000000001</v>
      </c>
      <c r="N29">
        <v>-83.13</v>
      </c>
      <c r="O29">
        <v>12.11</v>
      </c>
      <c r="P29" t="b">
        <v>0</v>
      </c>
      <c r="Q29">
        <v>0</v>
      </c>
      <c r="R29">
        <v>1063</v>
      </c>
      <c r="U29" t="s">
        <v>511</v>
      </c>
      <c r="V29" t="s">
        <v>735</v>
      </c>
      <c r="W29">
        <v>0</v>
      </c>
      <c r="X29">
        <v>16.3</v>
      </c>
      <c r="Y29" t="s">
        <v>959</v>
      </c>
      <c r="Z29">
        <v>2.489699837831272</v>
      </c>
      <c r="AA29">
        <v>808</v>
      </c>
      <c r="AB29">
        <v>44176</v>
      </c>
      <c r="AC29" t="s">
        <v>1181</v>
      </c>
      <c r="AD29">
        <v>40.85</v>
      </c>
      <c r="AE29" t="s">
        <v>1405</v>
      </c>
      <c r="AF29" t="s">
        <v>1629</v>
      </c>
      <c r="AG29">
        <v>2024</v>
      </c>
      <c r="AH29">
        <v>117</v>
      </c>
      <c r="AI29">
        <v>319631</v>
      </c>
      <c r="AJ29">
        <v>1.52</v>
      </c>
      <c r="AK29" t="b">
        <v>1</v>
      </c>
    </row>
    <row r="30" spans="1:37">
      <c r="A30" s="1" t="s">
        <v>64</v>
      </c>
      <c r="B30" t="s">
        <v>288</v>
      </c>
      <c r="C30">
        <f>HYPERLINK("https://finance.naver.com/item/coinfo.nhn?code=023910", "A023910")</f>
        <v>0</v>
      </c>
      <c r="D30">
        <f>HYPERLINK("http://comp.fnguide.com/SVO2/ASP/SVD_Consensus.asp?pGB=1&amp;gicode=A023910&amp;cID=&amp;MenuYn=Y&amp;ReportGB=&amp;NewMenuID=108&amp;stkGb=701", "대한약품")</f>
        <v>0</v>
      </c>
      <c r="E30">
        <v>3</v>
      </c>
      <c r="F30">
        <v>26050</v>
      </c>
      <c r="G30">
        <v>0</v>
      </c>
      <c r="H30">
        <v>6.35</v>
      </c>
      <c r="I30">
        <v>52513</v>
      </c>
      <c r="J30">
        <v>51736</v>
      </c>
      <c r="K30">
        <v>51463</v>
      </c>
      <c r="L30">
        <v>-101.59</v>
      </c>
      <c r="M30">
        <v>-98.59999999999999</v>
      </c>
      <c r="N30">
        <v>-97.56</v>
      </c>
      <c r="O30">
        <v>11.1</v>
      </c>
      <c r="P30" t="b">
        <v>0</v>
      </c>
      <c r="Q30">
        <v>0</v>
      </c>
      <c r="R30">
        <v>4607</v>
      </c>
      <c r="U30" t="s">
        <v>512</v>
      </c>
      <c r="V30" t="s">
        <v>736</v>
      </c>
      <c r="W30">
        <v>0</v>
      </c>
      <c r="X30">
        <v>-8.699999999999999</v>
      </c>
      <c r="Y30" t="s">
        <v>960</v>
      </c>
      <c r="Z30">
        <v>2.182478509304153</v>
      </c>
      <c r="AA30">
        <v>1563</v>
      </c>
      <c r="AB30">
        <v>10402</v>
      </c>
      <c r="AC30" t="s">
        <v>1182</v>
      </c>
      <c r="AD30">
        <v>39.67</v>
      </c>
      <c r="AE30" t="s">
        <v>1406</v>
      </c>
      <c r="AF30" t="s">
        <v>1630</v>
      </c>
      <c r="AG30">
        <v>2086</v>
      </c>
      <c r="AH30">
        <v>312</v>
      </c>
      <c r="AI30">
        <v>120000</v>
      </c>
      <c r="AJ30">
        <v>3.42</v>
      </c>
      <c r="AK30" t="b">
        <v>1</v>
      </c>
    </row>
    <row r="31" spans="1:37">
      <c r="A31" s="1" t="s">
        <v>65</v>
      </c>
      <c r="B31" t="s">
        <v>289</v>
      </c>
      <c r="C31">
        <f>HYPERLINK("https://finance.naver.com/item/coinfo.nhn?code=099410", "A099410")</f>
        <v>0</v>
      </c>
      <c r="D31">
        <f>HYPERLINK("http://comp.fnguide.com/SVO2/ASP/SVD_Consensus.asp?pGB=1&amp;gicode=A099410&amp;cID=&amp;MenuYn=Y&amp;ReportGB=&amp;NewMenuID=108&amp;stkGb=701", "동방선기")</f>
        <v>0</v>
      </c>
      <c r="E31">
        <v>3</v>
      </c>
      <c r="F31">
        <v>3740</v>
      </c>
      <c r="G31">
        <v>0</v>
      </c>
      <c r="H31">
        <v>7.94</v>
      </c>
      <c r="I31">
        <v>5412</v>
      </c>
      <c r="J31">
        <v>4431</v>
      </c>
      <c r="K31">
        <v>4087</v>
      </c>
      <c r="L31">
        <v>-44.69</v>
      </c>
      <c r="M31">
        <v>-18.47</v>
      </c>
      <c r="N31">
        <v>-9.279999999999999</v>
      </c>
      <c r="O31">
        <v>16.35</v>
      </c>
      <c r="P31" t="b">
        <v>1</v>
      </c>
      <c r="Q31">
        <v>0</v>
      </c>
      <c r="R31">
        <v>568</v>
      </c>
      <c r="U31" t="s">
        <v>513</v>
      </c>
      <c r="V31" t="s">
        <v>737</v>
      </c>
      <c r="W31">
        <v>0</v>
      </c>
      <c r="X31">
        <v>379.8</v>
      </c>
      <c r="Y31" t="s">
        <v>961</v>
      </c>
      <c r="Z31">
        <v>103.4330012044389</v>
      </c>
      <c r="AA31">
        <v>524</v>
      </c>
      <c r="AB31">
        <v>106746</v>
      </c>
      <c r="AC31" t="s">
        <v>1183</v>
      </c>
      <c r="AD31">
        <v>33.92</v>
      </c>
      <c r="AE31" t="s">
        <v>1407</v>
      </c>
      <c r="AF31" t="s">
        <v>1631</v>
      </c>
      <c r="AG31">
        <v>419</v>
      </c>
      <c r="AH31">
        <v>93</v>
      </c>
      <c r="AI31">
        <v>53945</v>
      </c>
      <c r="AK31" t="b">
        <v>1</v>
      </c>
    </row>
    <row r="32" spans="1:37">
      <c r="A32" s="1" t="s">
        <v>66</v>
      </c>
      <c r="B32" t="s">
        <v>290</v>
      </c>
      <c r="C32">
        <f>HYPERLINK("https://finance.naver.com/item/coinfo.nhn?code=088130", "A088130")</f>
        <v>0</v>
      </c>
      <c r="D32">
        <f>HYPERLINK("http://comp.fnguide.com/SVO2/ASP/SVD_Consensus.asp?pGB=1&amp;gicode=A088130&amp;cID=&amp;MenuYn=Y&amp;ReportGB=&amp;NewMenuID=108&amp;stkGb=701", "동아엘텍")</f>
        <v>0</v>
      </c>
      <c r="E32">
        <v>3</v>
      </c>
      <c r="F32">
        <v>6580</v>
      </c>
      <c r="G32">
        <v>0</v>
      </c>
      <c r="H32">
        <v>1.36</v>
      </c>
      <c r="I32">
        <v>15133</v>
      </c>
      <c r="J32">
        <v>12253</v>
      </c>
      <c r="K32">
        <v>11243</v>
      </c>
      <c r="L32">
        <v>-129.99</v>
      </c>
      <c r="M32">
        <v>-86.20999999999999</v>
      </c>
      <c r="N32">
        <v>-70.87</v>
      </c>
      <c r="O32">
        <v>16.79</v>
      </c>
      <c r="P32" t="b">
        <v>1</v>
      </c>
      <c r="Q32">
        <v>0</v>
      </c>
      <c r="R32">
        <v>2811</v>
      </c>
      <c r="U32" t="s">
        <v>514</v>
      </c>
      <c r="V32" t="s">
        <v>738</v>
      </c>
      <c r="W32">
        <v>0</v>
      </c>
      <c r="Y32" t="s">
        <v>962</v>
      </c>
      <c r="Z32">
        <v>0</v>
      </c>
      <c r="AA32">
        <v>1151</v>
      </c>
      <c r="AB32">
        <v>220831</v>
      </c>
      <c r="AC32" t="s">
        <v>1184</v>
      </c>
      <c r="AD32">
        <v>37.74</v>
      </c>
      <c r="AE32" t="s">
        <v>1408</v>
      </c>
      <c r="AF32" t="s">
        <v>1632</v>
      </c>
      <c r="AG32">
        <v>5824</v>
      </c>
      <c r="AH32">
        <v>1132</v>
      </c>
      <c r="AJ32">
        <v>3.92</v>
      </c>
      <c r="AK32" t="b">
        <v>1</v>
      </c>
    </row>
    <row r="33" spans="1:37">
      <c r="A33" s="1" t="s">
        <v>67</v>
      </c>
      <c r="B33" t="s">
        <v>291</v>
      </c>
      <c r="C33">
        <f>HYPERLINK("https://finance.naver.com/item/coinfo.nhn?code=079960", "A079960")</f>
        <v>0</v>
      </c>
      <c r="D33">
        <f>HYPERLINK("http://comp.fnguide.com/SVO2/ASP/SVD_Consensus.asp?pGB=1&amp;gicode=A079960&amp;cID=&amp;MenuYn=Y&amp;ReportGB=&amp;NewMenuID=108&amp;stkGb=701", "동양이엔피")</f>
        <v>0</v>
      </c>
      <c r="E33">
        <v>3</v>
      </c>
      <c r="F33">
        <v>21750</v>
      </c>
      <c r="G33">
        <v>0</v>
      </c>
      <c r="H33">
        <v>4.06</v>
      </c>
      <c r="I33">
        <v>80678</v>
      </c>
      <c r="J33">
        <v>68798</v>
      </c>
      <c r="K33">
        <v>64634</v>
      </c>
      <c r="L33">
        <v>-270.93</v>
      </c>
      <c r="M33">
        <v>-216.31</v>
      </c>
      <c r="N33">
        <v>-197.17</v>
      </c>
      <c r="O33">
        <v>14.91</v>
      </c>
      <c r="P33" t="b">
        <v>0</v>
      </c>
      <c r="Q33">
        <v>0</v>
      </c>
      <c r="R33">
        <v>6293</v>
      </c>
      <c r="U33" t="s">
        <v>515</v>
      </c>
      <c r="V33" t="s">
        <v>739</v>
      </c>
      <c r="W33">
        <v>0</v>
      </c>
      <c r="X33">
        <v>-12.1</v>
      </c>
      <c r="Y33" t="s">
        <v>963</v>
      </c>
      <c r="Z33">
        <v>19.66987380284962</v>
      </c>
      <c r="AA33">
        <v>1710</v>
      </c>
      <c r="AB33">
        <v>39055</v>
      </c>
      <c r="AC33" t="s">
        <v>1185</v>
      </c>
      <c r="AD33">
        <v>40.39</v>
      </c>
      <c r="AE33" t="s">
        <v>1409</v>
      </c>
      <c r="AF33" t="s">
        <v>1633</v>
      </c>
      <c r="AG33">
        <v>5965</v>
      </c>
      <c r="AH33">
        <v>536</v>
      </c>
      <c r="AI33">
        <v>308342</v>
      </c>
      <c r="AJ33">
        <v>1.76</v>
      </c>
      <c r="AK33" t="b">
        <v>1</v>
      </c>
    </row>
    <row r="34" spans="1:37">
      <c r="A34" s="1" t="s">
        <v>68</v>
      </c>
      <c r="B34" t="s">
        <v>292</v>
      </c>
      <c r="C34">
        <f>HYPERLINK("https://finance.naver.com/item/coinfo.nhn?code=104460", "A104460")</f>
        <v>0</v>
      </c>
      <c r="D34">
        <f>HYPERLINK("http://comp.fnguide.com/SVO2/ASP/SVD_Consensus.asp?pGB=1&amp;gicode=A104460&amp;cID=&amp;MenuYn=Y&amp;ReportGB=&amp;NewMenuID=108&amp;stkGb=701", "디와이피엔에프")</f>
        <v>0</v>
      </c>
      <c r="E34">
        <v>3</v>
      </c>
      <c r="F34">
        <v>9850</v>
      </c>
      <c r="G34">
        <v>0</v>
      </c>
      <c r="H34">
        <v>5.86</v>
      </c>
      <c r="I34">
        <v>22055</v>
      </c>
      <c r="J34">
        <v>18731</v>
      </c>
      <c r="K34">
        <v>17566</v>
      </c>
      <c r="L34">
        <v>-123.91</v>
      </c>
      <c r="M34">
        <v>-90.16</v>
      </c>
      <c r="N34">
        <v>-78.34</v>
      </c>
      <c r="O34">
        <v>15.05</v>
      </c>
      <c r="P34" t="b">
        <v>1</v>
      </c>
      <c r="Q34">
        <v>0</v>
      </c>
      <c r="R34">
        <v>2378</v>
      </c>
      <c r="U34" t="s">
        <v>516</v>
      </c>
      <c r="V34" t="s">
        <v>740</v>
      </c>
      <c r="W34">
        <v>0</v>
      </c>
      <c r="X34">
        <v>-61.1</v>
      </c>
      <c r="Y34" t="s">
        <v>964</v>
      </c>
      <c r="Z34">
        <v>0</v>
      </c>
      <c r="AA34">
        <v>1036</v>
      </c>
      <c r="AB34">
        <v>21124</v>
      </c>
      <c r="AC34" t="s">
        <v>1186</v>
      </c>
      <c r="AD34">
        <v>48.11</v>
      </c>
      <c r="AE34" t="s">
        <v>1410</v>
      </c>
      <c r="AF34" t="s">
        <v>1634</v>
      </c>
      <c r="AG34">
        <v>3963</v>
      </c>
      <c r="AH34">
        <v>286</v>
      </c>
      <c r="AI34">
        <v>1047603</v>
      </c>
      <c r="AJ34">
        <v>5.02</v>
      </c>
      <c r="AK34" t="b">
        <v>1</v>
      </c>
    </row>
    <row r="35" spans="1:37">
      <c r="A35" s="1" t="s">
        <v>69</v>
      </c>
      <c r="B35" t="s">
        <v>293</v>
      </c>
      <c r="C35">
        <f>HYPERLINK("https://finance.naver.com/item/coinfo.nhn?code=113810", "A113810")</f>
        <v>0</v>
      </c>
      <c r="D35">
        <f>HYPERLINK("http://comp.fnguide.com/SVO2/ASP/SVD_Consensus.asp?pGB=1&amp;gicode=A113810&amp;cID=&amp;MenuYn=Y&amp;ReportGB=&amp;NewMenuID=108&amp;stkGb=701", "디젠스")</f>
        <v>0</v>
      </c>
      <c r="E35">
        <v>3</v>
      </c>
      <c r="F35">
        <v>676</v>
      </c>
      <c r="G35">
        <v>0</v>
      </c>
      <c r="H35">
        <v>34.61</v>
      </c>
      <c r="I35">
        <v>817</v>
      </c>
      <c r="J35">
        <v>772</v>
      </c>
      <c r="K35">
        <v>756</v>
      </c>
      <c r="L35">
        <v>-20.79</v>
      </c>
      <c r="M35">
        <v>-14.17</v>
      </c>
      <c r="N35">
        <v>-11.84</v>
      </c>
      <c r="O35">
        <v>12.03</v>
      </c>
      <c r="P35" t="b">
        <v>0</v>
      </c>
      <c r="Q35">
        <v>0</v>
      </c>
      <c r="R35">
        <v>23</v>
      </c>
      <c r="U35" t="s">
        <v>517</v>
      </c>
      <c r="V35" t="s">
        <v>741</v>
      </c>
      <c r="W35">
        <v>0</v>
      </c>
      <c r="X35">
        <v>-3.5</v>
      </c>
      <c r="Y35" t="s">
        <v>965</v>
      </c>
      <c r="Z35">
        <v>0</v>
      </c>
      <c r="AA35">
        <v>221</v>
      </c>
      <c r="AB35">
        <v>3981324</v>
      </c>
      <c r="AC35" t="s">
        <v>1187</v>
      </c>
      <c r="AD35">
        <v>34.92</v>
      </c>
      <c r="AE35" t="s">
        <v>1411</v>
      </c>
      <c r="AF35" t="s">
        <v>1635</v>
      </c>
      <c r="AG35">
        <v>804</v>
      </c>
      <c r="AH35">
        <v>10</v>
      </c>
      <c r="AK35" t="b">
        <v>1</v>
      </c>
    </row>
    <row r="36" spans="1:37">
      <c r="A36" s="1" t="s">
        <v>70</v>
      </c>
      <c r="B36" t="s">
        <v>294</v>
      </c>
      <c r="C36">
        <f>HYPERLINK("https://finance.naver.com/item/coinfo.nhn?code=067730", "A067730")</f>
        <v>0</v>
      </c>
      <c r="D36">
        <f>HYPERLINK("http://comp.fnguide.com/SVO2/ASP/SVD_Consensus.asp?pGB=1&amp;gicode=A067730&amp;cID=&amp;MenuYn=Y&amp;ReportGB=&amp;NewMenuID=108&amp;stkGb=701", "로지시스")</f>
        <v>0</v>
      </c>
      <c r="E36">
        <v>3</v>
      </c>
      <c r="F36">
        <v>2300</v>
      </c>
      <c r="G36">
        <v>0</v>
      </c>
      <c r="H36">
        <v>7.8</v>
      </c>
      <c r="I36">
        <v>2680</v>
      </c>
      <c r="J36">
        <v>2409</v>
      </c>
      <c r="K36">
        <v>2313</v>
      </c>
      <c r="L36">
        <v>-16.51</v>
      </c>
      <c r="M36">
        <v>-4.72</v>
      </c>
      <c r="N36">
        <v>-0.59</v>
      </c>
      <c r="O36">
        <v>13.32</v>
      </c>
      <c r="P36" t="b">
        <v>1</v>
      </c>
      <c r="Q36">
        <v>0</v>
      </c>
      <c r="R36">
        <v>342</v>
      </c>
      <c r="U36" t="s">
        <v>518</v>
      </c>
      <c r="V36" t="s">
        <v>742</v>
      </c>
      <c r="W36">
        <v>0</v>
      </c>
      <c r="X36">
        <v>7.8</v>
      </c>
      <c r="Y36" t="s">
        <v>966</v>
      </c>
      <c r="Z36">
        <v>11.30006229430656</v>
      </c>
      <c r="AA36">
        <v>223</v>
      </c>
      <c r="AB36">
        <v>46659</v>
      </c>
      <c r="AC36" t="s">
        <v>1188</v>
      </c>
      <c r="AD36">
        <v>55.01</v>
      </c>
      <c r="AE36" t="s">
        <v>1412</v>
      </c>
      <c r="AF36" t="s">
        <v>1636</v>
      </c>
      <c r="AG36">
        <v>485</v>
      </c>
      <c r="AH36">
        <v>29</v>
      </c>
      <c r="AJ36">
        <v>5.63</v>
      </c>
      <c r="AK36" t="b">
        <v>1</v>
      </c>
    </row>
    <row r="37" spans="1:37">
      <c r="A37" s="1" t="s">
        <v>71</v>
      </c>
      <c r="B37" t="s">
        <v>295</v>
      </c>
      <c r="C37">
        <f>HYPERLINK("https://finance.naver.com/item/coinfo.nhn?code=042500", "A042500")</f>
        <v>0</v>
      </c>
      <c r="D37">
        <f>HYPERLINK("http://comp.fnguide.com/SVO2/ASP/SVD_Consensus.asp?pGB=1&amp;gicode=A042500&amp;cID=&amp;MenuYn=Y&amp;ReportGB=&amp;NewMenuID=108&amp;stkGb=701", "링네트")</f>
        <v>0</v>
      </c>
      <c r="E37">
        <v>3</v>
      </c>
      <c r="F37">
        <v>4120</v>
      </c>
      <c r="G37">
        <v>0</v>
      </c>
      <c r="H37">
        <v>7.75</v>
      </c>
      <c r="I37">
        <v>5982</v>
      </c>
      <c r="J37">
        <v>5805</v>
      </c>
      <c r="K37">
        <v>5744</v>
      </c>
      <c r="L37">
        <v>-45.2</v>
      </c>
      <c r="M37">
        <v>-40.91</v>
      </c>
      <c r="N37">
        <v>-39.41</v>
      </c>
      <c r="O37">
        <v>11.42</v>
      </c>
      <c r="P37" t="b">
        <v>1</v>
      </c>
      <c r="Q37">
        <v>0</v>
      </c>
      <c r="R37">
        <v>489</v>
      </c>
      <c r="U37" t="s">
        <v>519</v>
      </c>
      <c r="V37" t="s">
        <v>743</v>
      </c>
      <c r="W37">
        <v>0</v>
      </c>
      <c r="X37">
        <v>34.2</v>
      </c>
      <c r="Y37" t="s">
        <v>967</v>
      </c>
      <c r="Z37">
        <v>11.03295702400218</v>
      </c>
      <c r="AA37">
        <v>918</v>
      </c>
      <c r="AB37">
        <v>213471</v>
      </c>
      <c r="AC37" t="s">
        <v>1189</v>
      </c>
      <c r="AD37">
        <v>30.64</v>
      </c>
      <c r="AE37" t="s">
        <v>1413</v>
      </c>
      <c r="AF37" t="s">
        <v>1637</v>
      </c>
      <c r="AG37">
        <v>1831</v>
      </c>
      <c r="AH37">
        <v>143</v>
      </c>
      <c r="AI37">
        <v>1231187</v>
      </c>
      <c r="AJ37">
        <v>7.92</v>
      </c>
      <c r="AK37" t="b">
        <v>1</v>
      </c>
    </row>
    <row r="38" spans="1:37">
      <c r="A38" s="1" t="s">
        <v>72</v>
      </c>
      <c r="B38" t="s">
        <v>296</v>
      </c>
      <c r="C38">
        <f>HYPERLINK("https://finance.naver.com/item/coinfo.nhn?code=215200", "A215200")</f>
        <v>0</v>
      </c>
      <c r="D38">
        <f>HYPERLINK("http://comp.fnguide.com/SVO2/ASP/SVD_Consensus.asp?pGB=1&amp;gicode=A215200&amp;cID=&amp;MenuYn=Y&amp;ReportGB=&amp;NewMenuID=108&amp;stkGb=701", "메가스터디교육")</f>
        <v>0</v>
      </c>
      <c r="E38">
        <v>3</v>
      </c>
      <c r="F38">
        <v>38100</v>
      </c>
      <c r="G38">
        <v>1.34</v>
      </c>
      <c r="H38">
        <v>5.33</v>
      </c>
      <c r="I38">
        <v>70530</v>
      </c>
      <c r="J38">
        <v>58531</v>
      </c>
      <c r="K38">
        <v>54326</v>
      </c>
      <c r="L38">
        <v>-85.12</v>
      </c>
      <c r="M38">
        <v>-53.63</v>
      </c>
      <c r="N38">
        <v>-42.59</v>
      </c>
      <c r="O38">
        <v>15.85</v>
      </c>
      <c r="P38" t="b">
        <v>0</v>
      </c>
      <c r="Q38">
        <v>2</v>
      </c>
      <c r="R38">
        <v>7903</v>
      </c>
      <c r="S38">
        <v>8992</v>
      </c>
      <c r="T38">
        <v>13.8</v>
      </c>
      <c r="U38" t="s">
        <v>520</v>
      </c>
      <c r="V38" t="s">
        <v>744</v>
      </c>
      <c r="W38">
        <v>3.984673530405303</v>
      </c>
      <c r="X38">
        <v>13.4</v>
      </c>
      <c r="Y38" t="s">
        <v>968</v>
      </c>
      <c r="Z38">
        <v>5.564953344894286</v>
      </c>
      <c r="AA38">
        <v>3949</v>
      </c>
      <c r="AB38">
        <v>39696</v>
      </c>
      <c r="AC38" t="s">
        <v>1190</v>
      </c>
      <c r="AD38">
        <v>41.21</v>
      </c>
      <c r="AE38" t="s">
        <v>1414</v>
      </c>
      <c r="AF38" t="s">
        <v>1638</v>
      </c>
      <c r="AG38">
        <v>8849</v>
      </c>
      <c r="AH38">
        <v>1210</v>
      </c>
      <c r="AI38">
        <v>11960</v>
      </c>
      <c r="AJ38">
        <v>7.12</v>
      </c>
      <c r="AK38" t="b">
        <v>1</v>
      </c>
    </row>
    <row r="39" spans="1:37">
      <c r="A39" s="1" t="s">
        <v>73</v>
      </c>
      <c r="B39" t="s">
        <v>297</v>
      </c>
      <c r="C39">
        <f>HYPERLINK("https://finance.naver.com/item/coinfo.nhn?code=035890", "A035890")</f>
        <v>0</v>
      </c>
      <c r="D39">
        <f>HYPERLINK("http://comp.fnguide.com/SVO2/ASP/SVD_Consensus.asp?pGB=1&amp;gicode=A035890&amp;cID=&amp;MenuYn=Y&amp;ReportGB=&amp;NewMenuID=108&amp;stkGb=701", "서희건설")</f>
        <v>0</v>
      </c>
      <c r="E39">
        <v>3</v>
      </c>
      <c r="F39">
        <v>2230</v>
      </c>
      <c r="G39">
        <v>0</v>
      </c>
      <c r="H39">
        <v>6.03</v>
      </c>
      <c r="I39">
        <v>8005</v>
      </c>
      <c r="J39">
        <v>6854</v>
      </c>
      <c r="K39">
        <v>6451</v>
      </c>
      <c r="L39">
        <v>-258.95</v>
      </c>
      <c r="M39">
        <v>-207.36</v>
      </c>
      <c r="N39">
        <v>-189.28</v>
      </c>
      <c r="O39">
        <v>14.78</v>
      </c>
      <c r="P39" t="b">
        <v>1</v>
      </c>
      <c r="Q39">
        <v>0</v>
      </c>
      <c r="R39">
        <v>530</v>
      </c>
      <c r="U39" t="s">
        <v>521</v>
      </c>
      <c r="V39" t="s">
        <v>745</v>
      </c>
      <c r="W39">
        <v>0</v>
      </c>
      <c r="X39">
        <v>11.4</v>
      </c>
      <c r="Y39" t="s">
        <v>969</v>
      </c>
      <c r="Z39">
        <v>-1.316451232335525</v>
      </c>
      <c r="AA39">
        <v>5125</v>
      </c>
      <c r="AB39">
        <v>1173356</v>
      </c>
      <c r="AC39" t="s">
        <v>1191</v>
      </c>
      <c r="AD39">
        <v>59.84</v>
      </c>
      <c r="AE39" t="s">
        <v>1415</v>
      </c>
      <c r="AF39" t="s">
        <v>1639</v>
      </c>
      <c r="AG39">
        <v>11001</v>
      </c>
      <c r="AH39">
        <v>1444</v>
      </c>
      <c r="AI39">
        <v>44439842</v>
      </c>
      <c r="AJ39">
        <v>3.13</v>
      </c>
      <c r="AK39" t="b">
        <v>1</v>
      </c>
    </row>
    <row r="40" spans="1:37">
      <c r="A40" s="1" t="s">
        <v>74</v>
      </c>
      <c r="B40" t="s">
        <v>298</v>
      </c>
      <c r="C40">
        <f>HYPERLINK("https://finance.naver.com/item/coinfo.nhn?code=005830", "A005830")</f>
        <v>0</v>
      </c>
      <c r="D40">
        <f>HYPERLINK("http://comp.fnguide.com/SVO2/ASP/SVD_Consensus.asp?pGB=1&amp;gicode=A005830&amp;cID=&amp;MenuYn=Y&amp;ReportGB=&amp;NewMenuID=108&amp;stkGb=701", "DB손해보험")</f>
        <v>0</v>
      </c>
      <c r="E40">
        <v>3</v>
      </c>
      <c r="F40">
        <v>142400</v>
      </c>
      <c r="G40">
        <v>-2.97</v>
      </c>
      <c r="H40">
        <v>5.19</v>
      </c>
      <c r="I40">
        <v>295739</v>
      </c>
      <c r="J40">
        <v>233754</v>
      </c>
      <c r="K40">
        <v>212032</v>
      </c>
      <c r="L40">
        <v>-107.68</v>
      </c>
      <c r="M40">
        <v>-64.15000000000001</v>
      </c>
      <c r="N40">
        <v>-48.9</v>
      </c>
      <c r="O40">
        <v>17.79</v>
      </c>
      <c r="P40" t="b">
        <v>1</v>
      </c>
      <c r="Q40">
        <v>0</v>
      </c>
      <c r="R40">
        <v>25263</v>
      </c>
      <c r="S40">
        <v>23285</v>
      </c>
      <c r="T40">
        <v>-7.8</v>
      </c>
      <c r="U40" t="s">
        <v>522</v>
      </c>
      <c r="V40" t="s">
        <v>746</v>
      </c>
      <c r="W40">
        <v>-1.745476967543924</v>
      </c>
      <c r="X40">
        <v>17.7</v>
      </c>
      <c r="Y40" t="s">
        <v>970</v>
      </c>
      <c r="Z40">
        <v>17.44423173526548</v>
      </c>
      <c r="AA40">
        <v>93273</v>
      </c>
      <c r="AB40">
        <v>172623</v>
      </c>
      <c r="AC40" t="s">
        <v>1192</v>
      </c>
      <c r="AD40">
        <v>27.5</v>
      </c>
      <c r="AE40" t="s">
        <v>1416</v>
      </c>
      <c r="AF40" t="s">
        <v>1640</v>
      </c>
      <c r="AG40">
        <v>165596</v>
      </c>
      <c r="AH40">
        <v>23840</v>
      </c>
      <c r="AI40">
        <v>4856880</v>
      </c>
      <c r="AJ40">
        <v>5.8</v>
      </c>
      <c r="AK40" t="b">
        <v>1</v>
      </c>
    </row>
    <row r="41" spans="1:37">
      <c r="A41" s="1" t="s">
        <v>75</v>
      </c>
      <c r="B41" t="s">
        <v>299</v>
      </c>
      <c r="C41">
        <f>HYPERLINK("https://finance.naver.com/item/coinfo.nhn?code=059210", "A059210")</f>
        <v>0</v>
      </c>
      <c r="D41">
        <f>HYPERLINK("http://comp.fnguide.com/SVO2/ASP/SVD_Consensus.asp?pGB=1&amp;gicode=A059210&amp;cID=&amp;MenuYn=Y&amp;ReportGB=&amp;NewMenuID=108&amp;stkGb=701", "메타바이오메드")</f>
        <v>0</v>
      </c>
      <c r="E41">
        <v>3</v>
      </c>
      <c r="F41">
        <v>3605</v>
      </c>
      <c r="G41">
        <v>1.11</v>
      </c>
      <c r="H41">
        <v>12.71</v>
      </c>
      <c r="I41">
        <v>7199</v>
      </c>
      <c r="J41">
        <v>5832</v>
      </c>
      <c r="K41">
        <v>5353</v>
      </c>
      <c r="L41">
        <v>-99.7</v>
      </c>
      <c r="M41">
        <v>-61.79</v>
      </c>
      <c r="N41">
        <v>-48.5</v>
      </c>
      <c r="O41">
        <v>16.76</v>
      </c>
      <c r="P41" t="b">
        <v>0</v>
      </c>
      <c r="Q41">
        <v>1</v>
      </c>
      <c r="R41">
        <v>391</v>
      </c>
      <c r="S41">
        <v>585</v>
      </c>
      <c r="T41">
        <v>49.6</v>
      </c>
      <c r="U41" t="s">
        <v>523</v>
      </c>
      <c r="V41" t="s">
        <v>747</v>
      </c>
      <c r="W41">
        <v>11.4598137872669</v>
      </c>
      <c r="X41">
        <v>-32.3</v>
      </c>
      <c r="Y41" t="s">
        <v>971</v>
      </c>
      <c r="Z41">
        <v>-7.859345727715983</v>
      </c>
      <c r="AA41">
        <v>980</v>
      </c>
      <c r="AB41">
        <v>68251</v>
      </c>
      <c r="AC41" t="s">
        <v>1193</v>
      </c>
      <c r="AD41">
        <v>20.65</v>
      </c>
      <c r="AE41" t="s">
        <v>1417</v>
      </c>
      <c r="AF41" t="s">
        <v>1641</v>
      </c>
      <c r="AG41">
        <v>1030</v>
      </c>
      <c r="AH41">
        <v>214</v>
      </c>
      <c r="AI41">
        <v>350000</v>
      </c>
      <c r="AJ41">
        <v>2.11</v>
      </c>
      <c r="AK41" t="b">
        <v>1</v>
      </c>
    </row>
    <row r="42" spans="1:37">
      <c r="A42" s="1" t="s">
        <v>76</v>
      </c>
      <c r="B42" t="s">
        <v>300</v>
      </c>
      <c r="C42">
        <f>HYPERLINK("https://finance.naver.com/item/coinfo.nhn?code=206640", "A206640")</f>
        <v>0</v>
      </c>
      <c r="D42">
        <f>HYPERLINK("http://comp.fnguide.com/SVO2/ASP/SVD_Consensus.asp?pGB=1&amp;gicode=A206640&amp;cID=&amp;MenuYn=Y&amp;ReportGB=&amp;NewMenuID=108&amp;stkGb=701", "바디텍메드")</f>
        <v>0</v>
      </c>
      <c r="E42">
        <v>3</v>
      </c>
      <c r="F42">
        <v>10790</v>
      </c>
      <c r="G42">
        <v>0</v>
      </c>
      <c r="H42">
        <v>12.96</v>
      </c>
      <c r="I42">
        <v>12256</v>
      </c>
      <c r="J42">
        <v>11403</v>
      </c>
      <c r="K42">
        <v>11104</v>
      </c>
      <c r="L42">
        <v>-13.59</v>
      </c>
      <c r="M42">
        <v>-5.68</v>
      </c>
      <c r="N42">
        <v>-2.91</v>
      </c>
      <c r="O42">
        <v>12.41</v>
      </c>
      <c r="P42" t="b">
        <v>0</v>
      </c>
      <c r="Q42">
        <v>0</v>
      </c>
      <c r="R42">
        <v>1012</v>
      </c>
      <c r="U42" t="s">
        <v>524</v>
      </c>
      <c r="V42" t="s">
        <v>748</v>
      </c>
      <c r="W42">
        <v>0</v>
      </c>
      <c r="X42">
        <v>35.2</v>
      </c>
      <c r="Y42" t="s">
        <v>972</v>
      </c>
      <c r="Z42">
        <v>-6.256791302303444</v>
      </c>
      <c r="AA42">
        <v>2364</v>
      </c>
      <c r="AB42">
        <v>26854</v>
      </c>
      <c r="AC42" t="s">
        <v>1194</v>
      </c>
      <c r="AD42">
        <v>24.21</v>
      </c>
      <c r="AE42" t="s">
        <v>1418</v>
      </c>
      <c r="AF42" t="s">
        <v>1642</v>
      </c>
      <c r="AG42">
        <v>1621</v>
      </c>
      <c r="AH42">
        <v>289</v>
      </c>
      <c r="AI42">
        <v>200000</v>
      </c>
      <c r="AJ42">
        <v>1.14</v>
      </c>
      <c r="AK42" t="b">
        <v>1</v>
      </c>
    </row>
    <row r="43" spans="1:37">
      <c r="A43" s="1" t="s">
        <v>77</v>
      </c>
      <c r="B43" t="s">
        <v>301</v>
      </c>
      <c r="C43">
        <f>HYPERLINK("https://finance.naver.com/item/coinfo.nhn?code=043150", "A043150")</f>
        <v>0</v>
      </c>
      <c r="D43">
        <f>HYPERLINK("http://comp.fnguide.com/SVO2/ASP/SVD_Consensus.asp?pGB=1&amp;gicode=A043150&amp;cID=&amp;MenuYn=Y&amp;ReportGB=&amp;NewMenuID=108&amp;stkGb=701", "바텍")</f>
        <v>0</v>
      </c>
      <c r="E43">
        <v>3</v>
      </c>
      <c r="F43">
        <v>18630</v>
      </c>
      <c r="G43">
        <v>-3.63</v>
      </c>
      <c r="H43">
        <v>7.24</v>
      </c>
      <c r="I43">
        <v>33551</v>
      </c>
      <c r="J43">
        <v>33455</v>
      </c>
      <c r="K43">
        <v>33421</v>
      </c>
      <c r="L43">
        <v>-80.09</v>
      </c>
      <c r="M43">
        <v>-79.58</v>
      </c>
      <c r="N43">
        <v>-79.40000000000001</v>
      </c>
      <c r="O43">
        <v>10.85</v>
      </c>
      <c r="P43" t="b">
        <v>1</v>
      </c>
      <c r="Q43">
        <v>1</v>
      </c>
      <c r="R43">
        <v>2701</v>
      </c>
      <c r="S43">
        <v>3277</v>
      </c>
      <c r="T43">
        <v>21.3</v>
      </c>
      <c r="U43" t="s">
        <v>525</v>
      </c>
      <c r="V43" t="s">
        <v>749</v>
      </c>
      <c r="W43">
        <v>-1.994647522662896</v>
      </c>
      <c r="X43">
        <v>17.4</v>
      </c>
      <c r="Y43" t="s">
        <v>973</v>
      </c>
      <c r="Z43">
        <v>-1.646348679756093</v>
      </c>
      <c r="AA43">
        <v>2767</v>
      </c>
      <c r="AB43">
        <v>21388</v>
      </c>
      <c r="AC43" t="s">
        <v>1195</v>
      </c>
      <c r="AD43">
        <v>53.65</v>
      </c>
      <c r="AE43" t="s">
        <v>1419</v>
      </c>
      <c r="AF43" t="s">
        <v>1643</v>
      </c>
      <c r="AG43">
        <v>4264</v>
      </c>
      <c r="AH43">
        <v>548</v>
      </c>
      <c r="AJ43">
        <v>1.53</v>
      </c>
      <c r="AK43" t="b">
        <v>1</v>
      </c>
    </row>
    <row r="44" spans="1:37">
      <c r="A44" s="1" t="s">
        <v>78</v>
      </c>
      <c r="B44" t="s">
        <v>302</v>
      </c>
      <c r="C44">
        <f>HYPERLINK("https://finance.naver.com/item/coinfo.nhn?code=267790", "A267790")</f>
        <v>0</v>
      </c>
      <c r="D44">
        <f>HYPERLINK("http://comp.fnguide.com/SVO2/ASP/SVD_Consensus.asp?pGB=1&amp;gicode=A267790&amp;cID=&amp;MenuYn=Y&amp;ReportGB=&amp;NewMenuID=108&amp;stkGb=701", "배럴")</f>
        <v>0</v>
      </c>
      <c r="E44">
        <v>3</v>
      </c>
      <c r="F44">
        <v>3000</v>
      </c>
      <c r="G44">
        <v>0</v>
      </c>
      <c r="H44">
        <v>8.08</v>
      </c>
      <c r="I44">
        <v>6780</v>
      </c>
      <c r="J44">
        <v>6424</v>
      </c>
      <c r="K44">
        <v>6300</v>
      </c>
      <c r="L44">
        <v>-126</v>
      </c>
      <c r="M44">
        <v>-114.14</v>
      </c>
      <c r="N44">
        <v>-109.98</v>
      </c>
      <c r="O44">
        <v>11.97</v>
      </c>
      <c r="P44" t="b">
        <v>0</v>
      </c>
      <c r="Q44">
        <v>0</v>
      </c>
      <c r="R44">
        <v>469</v>
      </c>
      <c r="U44" t="s">
        <v>526</v>
      </c>
      <c r="V44" t="s">
        <v>750</v>
      </c>
      <c r="W44">
        <v>0</v>
      </c>
      <c r="Y44" t="s">
        <v>974</v>
      </c>
      <c r="Z44">
        <v>0</v>
      </c>
      <c r="AA44">
        <v>231</v>
      </c>
      <c r="AB44">
        <v>5040</v>
      </c>
      <c r="AC44" t="s">
        <v>1196</v>
      </c>
      <c r="AD44">
        <v>48.95</v>
      </c>
      <c r="AE44" t="s">
        <v>1420</v>
      </c>
      <c r="AF44" t="s">
        <v>1644</v>
      </c>
      <c r="AG44">
        <v>592</v>
      </c>
      <c r="AH44">
        <v>66</v>
      </c>
      <c r="AJ44">
        <v>1.98</v>
      </c>
      <c r="AK44" t="b">
        <v>1</v>
      </c>
    </row>
    <row r="45" spans="1:37">
      <c r="A45" s="1" t="s">
        <v>79</v>
      </c>
      <c r="B45" t="s">
        <v>303</v>
      </c>
      <c r="C45">
        <f>HYPERLINK("https://finance.naver.com/item/coinfo.nhn?code=046310", "A046310")</f>
        <v>0</v>
      </c>
      <c r="D45">
        <f>HYPERLINK("http://comp.fnguide.com/SVO2/ASP/SVD_Consensus.asp?pGB=1&amp;gicode=A046310&amp;cID=&amp;MenuYn=Y&amp;ReportGB=&amp;NewMenuID=108&amp;stkGb=701", "백금T&amp;A")</f>
        <v>0</v>
      </c>
      <c r="E45">
        <v>3</v>
      </c>
      <c r="F45">
        <v>2220</v>
      </c>
      <c r="G45">
        <v>0</v>
      </c>
      <c r="H45">
        <v>13.69</v>
      </c>
      <c r="I45">
        <v>5736</v>
      </c>
      <c r="J45">
        <v>5102</v>
      </c>
      <c r="K45">
        <v>4879</v>
      </c>
      <c r="L45">
        <v>-158.39</v>
      </c>
      <c r="M45">
        <v>-129.8</v>
      </c>
      <c r="N45">
        <v>-119.79</v>
      </c>
      <c r="O45">
        <v>13.62</v>
      </c>
      <c r="P45" t="b">
        <v>0</v>
      </c>
      <c r="Q45">
        <v>0</v>
      </c>
      <c r="R45">
        <v>258</v>
      </c>
      <c r="U45" t="s">
        <v>527</v>
      </c>
      <c r="V45" t="s">
        <v>751</v>
      </c>
      <c r="W45">
        <v>0</v>
      </c>
      <c r="X45">
        <v>-49.4</v>
      </c>
      <c r="Y45" t="s">
        <v>975</v>
      </c>
      <c r="Z45">
        <v>-18.12973128549038</v>
      </c>
      <c r="AA45">
        <v>364</v>
      </c>
      <c r="AB45">
        <v>67455</v>
      </c>
      <c r="AC45" t="s">
        <v>1197</v>
      </c>
      <c r="AD45">
        <v>25.44</v>
      </c>
      <c r="AE45" t="s">
        <v>1421</v>
      </c>
      <c r="AF45" t="s">
        <v>1645</v>
      </c>
      <c r="AG45">
        <v>1489</v>
      </c>
      <c r="AH45">
        <v>68</v>
      </c>
      <c r="AI45">
        <v>336598</v>
      </c>
      <c r="AJ45">
        <v>2.84</v>
      </c>
      <c r="AK45" t="b">
        <v>1</v>
      </c>
    </row>
    <row r="46" spans="1:37">
      <c r="A46" s="1" t="s">
        <v>80</v>
      </c>
      <c r="B46" t="s">
        <v>304</v>
      </c>
      <c r="C46">
        <f>HYPERLINK("https://finance.naver.com/item/coinfo.nhn?code=019010", "A019010")</f>
        <v>0</v>
      </c>
      <c r="D46">
        <f>HYPERLINK("http://comp.fnguide.com/SVO2/ASP/SVD_Consensus.asp?pGB=1&amp;gicode=A019010&amp;cID=&amp;MenuYn=Y&amp;ReportGB=&amp;NewMenuID=108&amp;stkGb=701", "베뉴지")</f>
        <v>0</v>
      </c>
      <c r="E46">
        <v>3</v>
      </c>
      <c r="F46">
        <v>5150</v>
      </c>
      <c r="G46">
        <v>0</v>
      </c>
      <c r="H46">
        <v>1.38</v>
      </c>
      <c r="I46">
        <v>12897</v>
      </c>
      <c r="J46">
        <v>11202</v>
      </c>
      <c r="K46">
        <v>10608</v>
      </c>
      <c r="L46">
        <v>-150.42</v>
      </c>
      <c r="M46">
        <v>-117.51</v>
      </c>
      <c r="N46">
        <v>-105.98</v>
      </c>
      <c r="O46">
        <v>14.32</v>
      </c>
      <c r="P46" t="b">
        <v>1</v>
      </c>
      <c r="Q46">
        <v>0</v>
      </c>
      <c r="R46">
        <v>1945</v>
      </c>
      <c r="U46" t="s">
        <v>528</v>
      </c>
      <c r="V46" t="s">
        <v>752</v>
      </c>
      <c r="W46">
        <v>0</v>
      </c>
      <c r="X46">
        <v>510.8</v>
      </c>
      <c r="Y46" t="s">
        <v>976</v>
      </c>
      <c r="Z46">
        <v>0</v>
      </c>
      <c r="AA46">
        <v>2482</v>
      </c>
      <c r="AB46">
        <v>124495</v>
      </c>
      <c r="AC46" t="s">
        <v>1198</v>
      </c>
      <c r="AD46">
        <v>51.96</v>
      </c>
      <c r="AE46" t="s">
        <v>1422</v>
      </c>
      <c r="AF46" t="s">
        <v>1646</v>
      </c>
      <c r="AG46">
        <v>482</v>
      </c>
      <c r="AH46">
        <v>150</v>
      </c>
      <c r="AI46">
        <v>8000000</v>
      </c>
      <c r="AJ46">
        <v>2.61</v>
      </c>
      <c r="AK46" t="b">
        <v>1</v>
      </c>
    </row>
    <row r="47" spans="1:37">
      <c r="A47" s="1" t="s">
        <v>81</v>
      </c>
      <c r="B47" t="s">
        <v>305</v>
      </c>
      <c r="C47">
        <f>HYPERLINK("https://finance.naver.com/item/coinfo.nhn?code=177350", "A177350")</f>
        <v>0</v>
      </c>
      <c r="D47">
        <f>HYPERLINK("http://comp.fnguide.com/SVO2/ASP/SVD_Consensus.asp?pGB=1&amp;gicode=A177350&amp;cID=&amp;MenuYn=Y&amp;ReportGB=&amp;NewMenuID=108&amp;stkGb=701", "베셀")</f>
        <v>0</v>
      </c>
      <c r="E47">
        <v>3</v>
      </c>
      <c r="F47">
        <v>717</v>
      </c>
      <c r="G47">
        <v>0</v>
      </c>
      <c r="H47">
        <v>1.36</v>
      </c>
      <c r="I47">
        <v>5478</v>
      </c>
      <c r="J47">
        <v>3679</v>
      </c>
      <c r="K47">
        <v>3048</v>
      </c>
      <c r="L47">
        <v>-664.0700000000001</v>
      </c>
      <c r="M47">
        <v>-413.08</v>
      </c>
      <c r="N47">
        <v>-325.12</v>
      </c>
      <c r="O47">
        <v>28.13</v>
      </c>
      <c r="P47" t="b">
        <v>1</v>
      </c>
      <c r="Q47">
        <v>0</v>
      </c>
      <c r="R47">
        <v>900</v>
      </c>
      <c r="U47" t="s">
        <v>529</v>
      </c>
      <c r="V47" t="s">
        <v>753</v>
      </c>
      <c r="W47">
        <v>0</v>
      </c>
      <c r="Y47" t="s">
        <v>977</v>
      </c>
      <c r="Z47">
        <v>0</v>
      </c>
      <c r="AA47">
        <v>141</v>
      </c>
      <c r="AB47">
        <v>125851</v>
      </c>
      <c r="AC47" t="s">
        <v>1199</v>
      </c>
      <c r="AD47">
        <v>28.43</v>
      </c>
      <c r="AE47" t="s">
        <v>1423</v>
      </c>
      <c r="AF47" t="s">
        <v>1632</v>
      </c>
      <c r="AG47">
        <v>166</v>
      </c>
      <c r="AH47">
        <v>-26</v>
      </c>
      <c r="AK47" t="b">
        <v>1</v>
      </c>
    </row>
    <row r="48" spans="1:37">
      <c r="A48" s="1" t="s">
        <v>82</v>
      </c>
      <c r="B48" t="s">
        <v>306</v>
      </c>
      <c r="C48">
        <f>HYPERLINK("https://finance.naver.com/item/coinfo.nhn?code=466410", "A466410")</f>
        <v>0</v>
      </c>
      <c r="D48">
        <f>HYPERLINK("http://comp.fnguide.com/SVO2/ASP/SVD_Consensus.asp?pGB=1&amp;gicode=A466410&amp;cID=&amp;MenuYn=Y&amp;ReportGB=&amp;NewMenuID=108&amp;stkGb=701", "사이냅소프트")</f>
        <v>0</v>
      </c>
      <c r="E48">
        <v>3</v>
      </c>
      <c r="F48">
        <v>9620</v>
      </c>
      <c r="G48">
        <v>0</v>
      </c>
      <c r="H48">
        <v>11.08</v>
      </c>
      <c r="I48">
        <v>15745</v>
      </c>
      <c r="J48">
        <v>15049</v>
      </c>
      <c r="K48">
        <v>14805</v>
      </c>
      <c r="L48">
        <v>-63.67</v>
      </c>
      <c r="M48">
        <v>-56.43</v>
      </c>
      <c r="N48">
        <v>-53.89</v>
      </c>
      <c r="O48">
        <v>11.77</v>
      </c>
      <c r="P48" t="b">
        <v>1</v>
      </c>
      <c r="Q48">
        <v>0</v>
      </c>
      <c r="R48">
        <v>1132</v>
      </c>
      <c r="U48" t="s">
        <v>530</v>
      </c>
      <c r="V48" t="s">
        <v>754</v>
      </c>
      <c r="W48">
        <v>0</v>
      </c>
      <c r="X48">
        <v>22</v>
      </c>
      <c r="Y48" t="s">
        <v>978</v>
      </c>
      <c r="Z48">
        <v>0</v>
      </c>
      <c r="AA48">
        <v>485</v>
      </c>
      <c r="AB48">
        <v>12871</v>
      </c>
      <c r="AC48" t="s">
        <v>1200</v>
      </c>
      <c r="AD48">
        <v>44.14</v>
      </c>
      <c r="AE48" t="s">
        <v>1424</v>
      </c>
      <c r="AF48" t="s">
        <v>1647</v>
      </c>
      <c r="AG48">
        <v>135</v>
      </c>
      <c r="AH48">
        <v>47</v>
      </c>
      <c r="AI48">
        <v>209549</v>
      </c>
      <c r="AK48" t="b">
        <v>1</v>
      </c>
    </row>
    <row r="49" spans="1:37">
      <c r="A49" s="1" t="s">
        <v>83</v>
      </c>
      <c r="B49" t="s">
        <v>307</v>
      </c>
      <c r="C49">
        <f>HYPERLINK("https://finance.naver.com/item/coinfo.nhn?code=265560", "A265560")</f>
        <v>0</v>
      </c>
      <c r="D49">
        <f>HYPERLINK("http://comp.fnguide.com/SVO2/ASP/SVD_Consensus.asp?pGB=1&amp;gicode=A265560&amp;cID=&amp;MenuYn=Y&amp;ReportGB=&amp;NewMenuID=108&amp;stkGb=701", "영화테크")</f>
        <v>0</v>
      </c>
      <c r="E49">
        <v>3</v>
      </c>
      <c r="F49">
        <v>7500</v>
      </c>
      <c r="G49">
        <v>0</v>
      </c>
      <c r="H49">
        <v>3.85</v>
      </c>
      <c r="I49">
        <v>16002</v>
      </c>
      <c r="J49">
        <v>12091</v>
      </c>
      <c r="K49">
        <v>10720</v>
      </c>
      <c r="L49">
        <v>-113.37</v>
      </c>
      <c r="M49">
        <v>-61.21</v>
      </c>
      <c r="N49">
        <v>-42.93</v>
      </c>
      <c r="O49">
        <v>19.93</v>
      </c>
      <c r="P49" t="b">
        <v>1</v>
      </c>
      <c r="Q49">
        <v>0</v>
      </c>
      <c r="R49">
        <v>1783</v>
      </c>
      <c r="U49" t="s">
        <v>531</v>
      </c>
      <c r="V49" t="s">
        <v>755</v>
      </c>
      <c r="W49">
        <v>0</v>
      </c>
      <c r="X49">
        <v>168.6</v>
      </c>
      <c r="Y49" t="s">
        <v>979</v>
      </c>
      <c r="Z49">
        <v>82.15975598461721</v>
      </c>
      <c r="AA49">
        <v>802</v>
      </c>
      <c r="AB49">
        <v>16681</v>
      </c>
      <c r="AC49" t="s">
        <v>1201</v>
      </c>
      <c r="AD49">
        <v>49.14</v>
      </c>
      <c r="AE49" t="s">
        <v>1425</v>
      </c>
      <c r="AF49" t="s">
        <v>1648</v>
      </c>
      <c r="AG49">
        <v>1086</v>
      </c>
      <c r="AH49">
        <v>180</v>
      </c>
      <c r="AJ49">
        <v>1.9</v>
      </c>
      <c r="AK49" t="b">
        <v>1</v>
      </c>
    </row>
    <row r="50" spans="1:37">
      <c r="A50" s="1" t="s">
        <v>84</v>
      </c>
      <c r="B50" t="s">
        <v>308</v>
      </c>
      <c r="C50">
        <f>HYPERLINK("https://finance.naver.com/item/coinfo.nhn?code=053980", "A053980")</f>
        <v>0</v>
      </c>
      <c r="D50">
        <f>HYPERLINK("http://comp.fnguide.com/SVO2/ASP/SVD_Consensus.asp?pGB=1&amp;gicode=A053980&amp;cID=&amp;MenuYn=Y&amp;ReportGB=&amp;NewMenuID=108&amp;stkGb=701", "오상자이엘")</f>
        <v>0</v>
      </c>
      <c r="E50">
        <v>3</v>
      </c>
      <c r="F50">
        <v>2670</v>
      </c>
      <c r="G50">
        <v>0</v>
      </c>
      <c r="H50">
        <v>6.28</v>
      </c>
      <c r="I50">
        <v>6250</v>
      </c>
      <c r="J50">
        <v>5984</v>
      </c>
      <c r="K50">
        <v>5890</v>
      </c>
      <c r="L50">
        <v>-134.07</v>
      </c>
      <c r="M50">
        <v>-124.1</v>
      </c>
      <c r="N50">
        <v>-120.61</v>
      </c>
      <c r="O50">
        <v>11.73</v>
      </c>
      <c r="P50" t="b">
        <v>1</v>
      </c>
      <c r="Q50">
        <v>0</v>
      </c>
      <c r="R50">
        <v>546</v>
      </c>
      <c r="U50" t="s">
        <v>532</v>
      </c>
      <c r="V50" t="s">
        <v>756</v>
      </c>
      <c r="W50">
        <v>0</v>
      </c>
      <c r="X50">
        <v>-31</v>
      </c>
      <c r="Y50" t="s">
        <v>980</v>
      </c>
      <c r="Z50">
        <v>9.347753859782394</v>
      </c>
      <c r="AA50">
        <v>507</v>
      </c>
      <c r="AB50">
        <v>43212</v>
      </c>
      <c r="AC50" t="s">
        <v>1202</v>
      </c>
      <c r="AD50">
        <v>37.24</v>
      </c>
      <c r="AE50" t="s">
        <v>1426</v>
      </c>
      <c r="AF50" t="s">
        <v>1649</v>
      </c>
      <c r="AG50">
        <v>1364</v>
      </c>
      <c r="AH50">
        <v>110</v>
      </c>
      <c r="AI50">
        <v>10085</v>
      </c>
      <c r="AJ50">
        <v>4.37</v>
      </c>
      <c r="AK50" t="b">
        <v>1</v>
      </c>
    </row>
    <row r="51" spans="1:37">
      <c r="A51" s="1" t="s">
        <v>85</v>
      </c>
      <c r="B51" t="s">
        <v>309</v>
      </c>
      <c r="C51">
        <f>HYPERLINK("https://finance.naver.com/item/coinfo.nhn?code=020180", "A020180")</f>
        <v>0</v>
      </c>
      <c r="D51">
        <f>HYPERLINK("http://comp.fnguide.com/SVO2/ASP/SVD_Consensus.asp?pGB=1&amp;gicode=A020180&amp;cID=&amp;MenuYn=Y&amp;ReportGB=&amp;NewMenuID=108&amp;stkGb=701", "대신정보통신")</f>
        <v>0</v>
      </c>
      <c r="E51">
        <v>3</v>
      </c>
      <c r="F51">
        <v>994</v>
      </c>
      <c r="G51">
        <v>0</v>
      </c>
      <c r="H51">
        <v>7.86</v>
      </c>
      <c r="I51">
        <v>1384</v>
      </c>
      <c r="J51">
        <v>1186</v>
      </c>
      <c r="K51">
        <v>1117</v>
      </c>
      <c r="L51">
        <v>-39.27</v>
      </c>
      <c r="M51">
        <v>-19.32</v>
      </c>
      <c r="N51">
        <v>-12.33</v>
      </c>
      <c r="O51">
        <v>14.76</v>
      </c>
      <c r="P51" t="b">
        <v>1</v>
      </c>
      <c r="Q51">
        <v>0</v>
      </c>
      <c r="R51">
        <v>149</v>
      </c>
      <c r="U51" t="s">
        <v>533</v>
      </c>
      <c r="V51" t="s">
        <v>757</v>
      </c>
      <c r="W51">
        <v>0</v>
      </c>
      <c r="X51">
        <v>140.1</v>
      </c>
      <c r="Y51" t="s">
        <v>981</v>
      </c>
      <c r="Z51">
        <v>0</v>
      </c>
      <c r="AA51">
        <v>382</v>
      </c>
      <c r="AB51">
        <v>500441</v>
      </c>
      <c r="AC51" t="s">
        <v>1203</v>
      </c>
      <c r="AD51">
        <v>21.32</v>
      </c>
      <c r="AE51" t="s">
        <v>1427</v>
      </c>
      <c r="AF51" t="s">
        <v>1650</v>
      </c>
      <c r="AG51">
        <v>2029</v>
      </c>
      <c r="AH51">
        <v>91</v>
      </c>
      <c r="AJ51">
        <v>2.56</v>
      </c>
      <c r="AK51" t="b">
        <v>1</v>
      </c>
    </row>
    <row r="52" spans="1:37">
      <c r="A52" s="1" t="s">
        <v>86</v>
      </c>
      <c r="B52" t="s">
        <v>310</v>
      </c>
      <c r="C52">
        <f>HYPERLINK("https://finance.naver.com/item/coinfo.nhn?code=342870", "A342870")</f>
        <v>0</v>
      </c>
      <c r="D52">
        <f>HYPERLINK("http://comp.fnguide.com/SVO2/ASP/SVD_Consensus.asp?pGB=1&amp;gicode=A342870&amp;cID=&amp;MenuYn=Y&amp;ReportGB=&amp;NewMenuID=108&amp;stkGb=701", "오아")</f>
        <v>0</v>
      </c>
      <c r="E52">
        <v>3</v>
      </c>
      <c r="F52">
        <v>5060</v>
      </c>
      <c r="G52">
        <v>0</v>
      </c>
      <c r="I52">
        <v>10523</v>
      </c>
      <c r="J52">
        <v>9110</v>
      </c>
      <c r="K52">
        <v>8615</v>
      </c>
      <c r="L52">
        <v>-107.96</v>
      </c>
      <c r="M52">
        <v>-80.04000000000001</v>
      </c>
      <c r="N52">
        <v>-70.25</v>
      </c>
      <c r="O52">
        <v>14.42</v>
      </c>
      <c r="P52" t="b">
        <v>0</v>
      </c>
      <c r="Q52">
        <v>0</v>
      </c>
      <c r="R52">
        <v>-606</v>
      </c>
      <c r="U52" t="s">
        <v>534</v>
      </c>
      <c r="V52" t="s">
        <v>758</v>
      </c>
      <c r="W52">
        <v>0</v>
      </c>
      <c r="X52">
        <v>-60.6</v>
      </c>
      <c r="Y52" t="s">
        <v>982</v>
      </c>
      <c r="Z52">
        <v>0</v>
      </c>
      <c r="AA52">
        <v>276</v>
      </c>
      <c r="AB52">
        <v>4626</v>
      </c>
      <c r="AC52" t="s">
        <v>1204</v>
      </c>
      <c r="AD52">
        <v>47.33</v>
      </c>
      <c r="AE52" t="s">
        <v>1428</v>
      </c>
      <c r="AF52" t="s">
        <v>1622</v>
      </c>
      <c r="AG52">
        <v>1033</v>
      </c>
      <c r="AH52">
        <v>82</v>
      </c>
      <c r="AK52" t="b">
        <v>1</v>
      </c>
    </row>
    <row r="53" spans="1:37">
      <c r="A53" s="1" t="s">
        <v>87</v>
      </c>
      <c r="B53" t="s">
        <v>311</v>
      </c>
      <c r="C53">
        <f>HYPERLINK("https://finance.naver.com/item/coinfo.nhn?code=039420", "A039420")</f>
        <v>0</v>
      </c>
      <c r="D53">
        <f>HYPERLINK("http://comp.fnguide.com/SVO2/ASP/SVD_Consensus.asp?pGB=1&amp;gicode=A039420&amp;cID=&amp;MenuYn=Y&amp;ReportGB=&amp;NewMenuID=108&amp;stkGb=701", "케이엘넷")</f>
        <v>0</v>
      </c>
      <c r="E53">
        <v>3</v>
      </c>
      <c r="F53">
        <v>2690</v>
      </c>
      <c r="G53">
        <v>0</v>
      </c>
      <c r="H53">
        <v>7.47</v>
      </c>
      <c r="I53">
        <v>4493</v>
      </c>
      <c r="J53">
        <v>3838</v>
      </c>
      <c r="K53">
        <v>3609</v>
      </c>
      <c r="L53">
        <v>-67.03</v>
      </c>
      <c r="M53">
        <v>-42.69</v>
      </c>
      <c r="N53">
        <v>-34.16</v>
      </c>
      <c r="O53">
        <v>14.85</v>
      </c>
      <c r="P53" t="b">
        <v>1</v>
      </c>
      <c r="Q53">
        <v>0</v>
      </c>
      <c r="R53">
        <v>385</v>
      </c>
      <c r="U53" t="s">
        <v>535</v>
      </c>
      <c r="V53" t="s">
        <v>759</v>
      </c>
      <c r="W53">
        <v>0</v>
      </c>
      <c r="X53">
        <v>-11</v>
      </c>
      <c r="Y53" t="s">
        <v>983</v>
      </c>
      <c r="Z53">
        <v>6.811436233794166</v>
      </c>
      <c r="AA53">
        <v>617</v>
      </c>
      <c r="AB53">
        <v>73471</v>
      </c>
      <c r="AC53" t="s">
        <v>1205</v>
      </c>
      <c r="AD53">
        <v>29.59</v>
      </c>
      <c r="AE53" t="s">
        <v>1429</v>
      </c>
      <c r="AF53" t="s">
        <v>1651</v>
      </c>
      <c r="AG53">
        <v>476</v>
      </c>
      <c r="AH53">
        <v>105</v>
      </c>
      <c r="AI53">
        <v>2730437</v>
      </c>
      <c r="AJ53">
        <v>3.48</v>
      </c>
      <c r="AK53" t="b">
        <v>1</v>
      </c>
    </row>
    <row r="54" spans="1:37">
      <c r="A54" s="1" t="s">
        <v>88</v>
      </c>
      <c r="B54" t="s">
        <v>312</v>
      </c>
      <c r="C54">
        <f>HYPERLINK("https://finance.naver.com/item/coinfo.nhn?code=036030", "A036030")</f>
        <v>0</v>
      </c>
      <c r="D54">
        <f>HYPERLINK("http://comp.fnguide.com/SVO2/ASP/SVD_Consensus.asp?pGB=1&amp;gicode=A036030&amp;cID=&amp;MenuYn=Y&amp;ReportGB=&amp;NewMenuID=108&amp;stkGb=701", "케이티알파")</f>
        <v>0</v>
      </c>
      <c r="E54">
        <v>3</v>
      </c>
      <c r="F54">
        <v>4530</v>
      </c>
      <c r="G54">
        <v>0</v>
      </c>
      <c r="H54">
        <v>6.11</v>
      </c>
      <c r="I54">
        <v>6580</v>
      </c>
      <c r="J54">
        <v>6368</v>
      </c>
      <c r="K54">
        <v>6294</v>
      </c>
      <c r="L54">
        <v>-45.25</v>
      </c>
      <c r="M54">
        <v>-40.58</v>
      </c>
      <c r="N54">
        <v>-38.95</v>
      </c>
      <c r="O54">
        <v>11.48</v>
      </c>
      <c r="P54" t="b">
        <v>1</v>
      </c>
      <c r="Q54">
        <v>0</v>
      </c>
      <c r="R54">
        <v>890</v>
      </c>
      <c r="U54" t="s">
        <v>536</v>
      </c>
      <c r="V54" t="s">
        <v>760</v>
      </c>
      <c r="W54">
        <v>0</v>
      </c>
      <c r="X54">
        <v>5.6</v>
      </c>
      <c r="Y54" t="s">
        <v>984</v>
      </c>
      <c r="Z54">
        <v>0</v>
      </c>
      <c r="AA54">
        <v>2221</v>
      </c>
      <c r="AB54">
        <v>69110</v>
      </c>
      <c r="AC54" t="s">
        <v>1206</v>
      </c>
      <c r="AD54">
        <v>72.97</v>
      </c>
      <c r="AE54" t="s">
        <v>1430</v>
      </c>
      <c r="AF54" t="s">
        <v>1652</v>
      </c>
      <c r="AG54">
        <v>3959</v>
      </c>
      <c r="AH54">
        <v>442</v>
      </c>
      <c r="AI54">
        <v>142</v>
      </c>
      <c r="AJ54">
        <v>5.15</v>
      </c>
      <c r="AK54" t="b">
        <v>1</v>
      </c>
    </row>
    <row r="55" spans="1:37">
      <c r="A55" s="1" t="s">
        <v>89</v>
      </c>
      <c r="B55" t="s">
        <v>313</v>
      </c>
      <c r="C55">
        <f>HYPERLINK("https://finance.naver.com/item/coinfo.nhn?code=064820", "A064820")</f>
        <v>0</v>
      </c>
      <c r="D55">
        <f>HYPERLINK("http://comp.fnguide.com/SVO2/ASP/SVD_Consensus.asp?pGB=1&amp;gicode=A064820&amp;cID=&amp;MenuYn=Y&amp;ReportGB=&amp;NewMenuID=108&amp;stkGb=701", "케이프")</f>
        <v>0</v>
      </c>
      <c r="E55">
        <v>3</v>
      </c>
      <c r="F55">
        <v>10210</v>
      </c>
      <c r="G55">
        <v>0</v>
      </c>
      <c r="H55">
        <v>5.18</v>
      </c>
      <c r="I55">
        <v>14541</v>
      </c>
      <c r="J55">
        <v>11997</v>
      </c>
      <c r="K55">
        <v>11105</v>
      </c>
      <c r="L55">
        <v>-42.42</v>
      </c>
      <c r="M55">
        <v>-17.5</v>
      </c>
      <c r="N55">
        <v>-8.77</v>
      </c>
      <c r="O55">
        <v>16.07</v>
      </c>
      <c r="P55" t="b">
        <v>1</v>
      </c>
      <c r="Q55">
        <v>0</v>
      </c>
      <c r="R55">
        <v>1922</v>
      </c>
      <c r="U55" t="s">
        <v>537</v>
      </c>
      <c r="V55" t="s">
        <v>761</v>
      </c>
      <c r="W55">
        <v>0</v>
      </c>
      <c r="X55">
        <v>1957.2</v>
      </c>
      <c r="Y55" t="s">
        <v>985</v>
      </c>
      <c r="Z55">
        <v>112.0131283257823</v>
      </c>
      <c r="AA55">
        <v>3151</v>
      </c>
      <c r="AB55">
        <v>122574</v>
      </c>
      <c r="AC55" t="s">
        <v>1207</v>
      </c>
      <c r="AD55">
        <v>30.75</v>
      </c>
      <c r="AE55" t="s">
        <v>1431</v>
      </c>
      <c r="AF55" t="s">
        <v>1653</v>
      </c>
      <c r="AG55">
        <v>5798</v>
      </c>
      <c r="AH55">
        <v>500</v>
      </c>
      <c r="AJ55">
        <v>7.04</v>
      </c>
      <c r="AK55" t="b">
        <v>1</v>
      </c>
    </row>
    <row r="56" spans="1:37">
      <c r="A56" s="1" t="s">
        <v>90</v>
      </c>
      <c r="B56" t="s">
        <v>314</v>
      </c>
      <c r="C56">
        <f>HYPERLINK("https://finance.naver.com/item/coinfo.nhn?code=123410", "A123410")</f>
        <v>0</v>
      </c>
      <c r="D56">
        <f>HYPERLINK("http://comp.fnguide.com/SVO2/ASP/SVD_Consensus.asp?pGB=1&amp;gicode=A123410&amp;cID=&amp;MenuYn=Y&amp;ReportGB=&amp;NewMenuID=108&amp;stkGb=701", "코리아에프티")</f>
        <v>0</v>
      </c>
      <c r="E56">
        <v>3</v>
      </c>
      <c r="F56">
        <v>6290</v>
      </c>
      <c r="G56">
        <v>0</v>
      </c>
      <c r="H56">
        <v>5.22</v>
      </c>
      <c r="I56">
        <v>16089</v>
      </c>
      <c r="J56">
        <v>12513</v>
      </c>
      <c r="K56">
        <v>11259</v>
      </c>
      <c r="L56">
        <v>-155.79</v>
      </c>
      <c r="M56">
        <v>-98.93000000000001</v>
      </c>
      <c r="N56">
        <v>-79</v>
      </c>
      <c r="O56">
        <v>18.51</v>
      </c>
      <c r="P56" t="b">
        <v>1</v>
      </c>
      <c r="Q56">
        <v>0</v>
      </c>
      <c r="R56">
        <v>1577</v>
      </c>
      <c r="U56" t="s">
        <v>538</v>
      </c>
      <c r="V56" t="s">
        <v>762</v>
      </c>
      <c r="W56">
        <v>0</v>
      </c>
      <c r="X56">
        <v>-17.2</v>
      </c>
      <c r="Y56" t="s">
        <v>986</v>
      </c>
      <c r="Z56">
        <v>45.48300661146456</v>
      </c>
      <c r="AA56">
        <v>1751</v>
      </c>
      <c r="AB56">
        <v>202366</v>
      </c>
      <c r="AC56" t="s">
        <v>1208</v>
      </c>
      <c r="AD56">
        <v>39.52</v>
      </c>
      <c r="AE56" t="s">
        <v>1432</v>
      </c>
      <c r="AF56" t="s">
        <v>1654</v>
      </c>
      <c r="AG56">
        <v>7859</v>
      </c>
      <c r="AH56">
        <v>454</v>
      </c>
      <c r="AI56">
        <v>61227</v>
      </c>
      <c r="AJ56">
        <v>2.43</v>
      </c>
      <c r="AK56" t="b">
        <v>1</v>
      </c>
    </row>
    <row r="57" spans="1:37">
      <c r="A57" s="1" t="s">
        <v>91</v>
      </c>
      <c r="B57" t="s">
        <v>315</v>
      </c>
      <c r="C57">
        <f>HYPERLINK("https://finance.naver.com/item/coinfo.nhn?code=139670", "A139670")</f>
        <v>0</v>
      </c>
      <c r="D57">
        <f>HYPERLINK("http://comp.fnguide.com/SVO2/ASP/SVD_Consensus.asp?pGB=1&amp;gicode=A139670&amp;cID=&amp;MenuYn=Y&amp;ReportGB=&amp;NewMenuID=108&amp;stkGb=701", "키네마스터")</f>
        <v>0</v>
      </c>
      <c r="E57">
        <v>3</v>
      </c>
      <c r="F57">
        <v>1587</v>
      </c>
      <c r="G57">
        <v>0</v>
      </c>
      <c r="H57">
        <v>10.79</v>
      </c>
      <c r="I57">
        <v>3026</v>
      </c>
      <c r="J57">
        <v>2372</v>
      </c>
      <c r="K57">
        <v>2143</v>
      </c>
      <c r="L57">
        <v>-90.68000000000001</v>
      </c>
      <c r="M57">
        <v>-49.48</v>
      </c>
      <c r="N57">
        <v>-35.04</v>
      </c>
      <c r="O57">
        <v>18.15</v>
      </c>
      <c r="P57" t="b">
        <v>1</v>
      </c>
      <c r="Q57">
        <v>0</v>
      </c>
      <c r="R57">
        <v>241</v>
      </c>
      <c r="U57" t="s">
        <v>539</v>
      </c>
      <c r="V57" t="s">
        <v>763</v>
      </c>
      <c r="W57">
        <v>0</v>
      </c>
      <c r="X57">
        <v>44.5</v>
      </c>
      <c r="Y57" t="s">
        <v>987</v>
      </c>
      <c r="Z57">
        <v>0</v>
      </c>
      <c r="AA57">
        <v>224</v>
      </c>
      <c r="AB57">
        <v>26497</v>
      </c>
      <c r="AC57" t="s">
        <v>1209</v>
      </c>
      <c r="AD57">
        <v>32.18</v>
      </c>
      <c r="AE57" t="s">
        <v>1433</v>
      </c>
      <c r="AF57" t="s">
        <v>1655</v>
      </c>
      <c r="AG57">
        <v>123</v>
      </c>
      <c r="AH57">
        <v>9</v>
      </c>
      <c r="AK57" t="b">
        <v>1</v>
      </c>
    </row>
    <row r="58" spans="1:37">
      <c r="A58" s="1" t="s">
        <v>92</v>
      </c>
      <c r="B58" t="s">
        <v>316</v>
      </c>
      <c r="C58">
        <f>HYPERLINK("https://finance.naver.com/item/coinfo.nhn?code=336680", "A336680")</f>
        <v>0</v>
      </c>
      <c r="D58">
        <f>HYPERLINK("http://comp.fnguide.com/SVO2/ASP/SVD_Consensus.asp?pGB=1&amp;gicode=A336680&amp;cID=&amp;MenuYn=Y&amp;ReportGB=&amp;NewMenuID=108&amp;stkGb=701", "탑런토탈솔루션")</f>
        <v>0</v>
      </c>
      <c r="E58">
        <v>3</v>
      </c>
      <c r="F58">
        <v>3060</v>
      </c>
      <c r="G58">
        <v>0</v>
      </c>
      <c r="H58">
        <v>23.91</v>
      </c>
      <c r="I58">
        <v>4888</v>
      </c>
      <c r="J58">
        <v>4765</v>
      </c>
      <c r="K58">
        <v>4722</v>
      </c>
      <c r="L58">
        <v>-59.73</v>
      </c>
      <c r="M58">
        <v>-55.71</v>
      </c>
      <c r="N58">
        <v>-54.3</v>
      </c>
      <c r="O58">
        <v>11.33</v>
      </c>
      <c r="P58" t="b">
        <v>0</v>
      </c>
      <c r="Q58">
        <v>0</v>
      </c>
      <c r="R58">
        <v>169</v>
      </c>
      <c r="U58" t="s">
        <v>540</v>
      </c>
      <c r="V58" t="s">
        <v>764</v>
      </c>
      <c r="W58">
        <v>0</v>
      </c>
      <c r="Y58" t="s">
        <v>988</v>
      </c>
      <c r="Z58">
        <v>0</v>
      </c>
      <c r="AA58">
        <v>1198</v>
      </c>
      <c r="AB58">
        <v>39466</v>
      </c>
      <c r="AC58" t="s">
        <v>1210</v>
      </c>
      <c r="AD58">
        <v>74.13</v>
      </c>
      <c r="AE58" t="s">
        <v>1434</v>
      </c>
      <c r="AF58" t="s">
        <v>1656</v>
      </c>
      <c r="AG58">
        <v>5501</v>
      </c>
      <c r="AH58">
        <v>89</v>
      </c>
      <c r="AJ58">
        <v>1.85</v>
      </c>
      <c r="AK58" t="b">
        <v>1</v>
      </c>
    </row>
    <row r="59" spans="1:37">
      <c r="A59" s="1" t="s">
        <v>93</v>
      </c>
      <c r="B59" t="s">
        <v>317</v>
      </c>
      <c r="C59">
        <f>HYPERLINK("https://finance.naver.com/item/coinfo.nhn?code=051360", "A051360")</f>
        <v>0</v>
      </c>
      <c r="D59">
        <f>HYPERLINK("http://comp.fnguide.com/SVO2/ASP/SVD_Consensus.asp?pGB=1&amp;gicode=A051360&amp;cID=&amp;MenuYn=Y&amp;ReportGB=&amp;NewMenuID=108&amp;stkGb=701", "토비스")</f>
        <v>0</v>
      </c>
      <c r="E59">
        <v>3</v>
      </c>
      <c r="F59">
        <v>17190</v>
      </c>
      <c r="G59">
        <v>0</v>
      </c>
      <c r="H59">
        <v>5.82</v>
      </c>
      <c r="I59">
        <v>31752</v>
      </c>
      <c r="J59">
        <v>24834</v>
      </c>
      <c r="K59">
        <v>22409</v>
      </c>
      <c r="L59">
        <v>-84.70999999999999</v>
      </c>
      <c r="M59">
        <v>-44.47</v>
      </c>
      <c r="N59">
        <v>-30.36</v>
      </c>
      <c r="O59">
        <v>18.25</v>
      </c>
      <c r="P59" t="b">
        <v>0</v>
      </c>
      <c r="Q59">
        <v>0</v>
      </c>
      <c r="R59">
        <v>2691</v>
      </c>
      <c r="U59" t="s">
        <v>541</v>
      </c>
      <c r="V59" t="s">
        <v>765</v>
      </c>
      <c r="W59">
        <v>0</v>
      </c>
      <c r="X59">
        <v>89.59999999999999</v>
      </c>
      <c r="Y59" t="s">
        <v>989</v>
      </c>
      <c r="Z59">
        <v>0</v>
      </c>
      <c r="AA59">
        <v>2564</v>
      </c>
      <c r="AB59">
        <v>85274</v>
      </c>
      <c r="AC59" t="s">
        <v>1211</v>
      </c>
      <c r="AD59">
        <v>16.93</v>
      </c>
      <c r="AE59" t="s">
        <v>1435</v>
      </c>
      <c r="AF59" t="s">
        <v>1657</v>
      </c>
      <c r="AG59">
        <v>6403</v>
      </c>
      <c r="AH59">
        <v>572</v>
      </c>
      <c r="AJ59">
        <v>2.24</v>
      </c>
      <c r="AK59" t="b">
        <v>1</v>
      </c>
    </row>
    <row r="60" spans="1:37">
      <c r="A60" s="1" t="s">
        <v>94</v>
      </c>
      <c r="B60" t="s">
        <v>318</v>
      </c>
      <c r="C60">
        <f>HYPERLINK("https://finance.naver.com/item/coinfo.nhn?code=417790", "A417790")</f>
        <v>0</v>
      </c>
      <c r="D60">
        <f>HYPERLINK("http://comp.fnguide.com/SVO2/ASP/SVD_Consensus.asp?pGB=1&amp;gicode=A417790&amp;cID=&amp;MenuYn=Y&amp;ReportGB=&amp;NewMenuID=108&amp;stkGb=701", "트루엔")</f>
        <v>0</v>
      </c>
      <c r="E60">
        <v>3</v>
      </c>
      <c r="F60">
        <v>6480</v>
      </c>
      <c r="G60">
        <v>0</v>
      </c>
      <c r="H60">
        <v>7.45</v>
      </c>
      <c r="I60">
        <v>13304</v>
      </c>
      <c r="J60">
        <v>11890</v>
      </c>
      <c r="K60">
        <v>11394</v>
      </c>
      <c r="L60">
        <v>-105.32</v>
      </c>
      <c r="M60">
        <v>-83.48</v>
      </c>
      <c r="N60">
        <v>-75.83</v>
      </c>
      <c r="O60">
        <v>13.48</v>
      </c>
      <c r="P60" t="b">
        <v>0</v>
      </c>
      <c r="Q60">
        <v>0</v>
      </c>
      <c r="R60">
        <v>1104</v>
      </c>
      <c r="U60" t="s">
        <v>542</v>
      </c>
      <c r="V60" t="s">
        <v>766</v>
      </c>
      <c r="W60">
        <v>0</v>
      </c>
      <c r="X60">
        <v>-29.4</v>
      </c>
      <c r="Y60" t="s">
        <v>990</v>
      </c>
      <c r="Z60">
        <v>-5.084151465623899</v>
      </c>
      <c r="AA60">
        <v>678</v>
      </c>
      <c r="AB60">
        <v>14192</v>
      </c>
      <c r="AC60" t="s">
        <v>1212</v>
      </c>
      <c r="AD60">
        <v>43.84</v>
      </c>
      <c r="AE60" t="s">
        <v>1436</v>
      </c>
      <c r="AF60" t="s">
        <v>1658</v>
      </c>
      <c r="AG60">
        <v>491</v>
      </c>
      <c r="AH60">
        <v>133</v>
      </c>
      <c r="AI60">
        <v>195569</v>
      </c>
      <c r="AJ60">
        <v>2.43</v>
      </c>
      <c r="AK60" t="b">
        <v>1</v>
      </c>
    </row>
    <row r="61" spans="1:37">
      <c r="A61" s="1" t="s">
        <v>95</v>
      </c>
      <c r="B61" t="s">
        <v>319</v>
      </c>
      <c r="C61">
        <f>HYPERLINK("https://finance.naver.com/item/coinfo.nhn?code=464280", "A464280")</f>
        <v>0</v>
      </c>
      <c r="D61">
        <f>HYPERLINK("http://comp.fnguide.com/SVO2/ASP/SVD_Consensus.asp?pGB=1&amp;gicode=A464280&amp;cID=&amp;MenuYn=Y&amp;ReportGB=&amp;NewMenuID=108&amp;stkGb=701", "티디에스팜")</f>
        <v>0</v>
      </c>
      <c r="E61">
        <v>3</v>
      </c>
      <c r="F61">
        <v>7080</v>
      </c>
      <c r="G61">
        <v>0</v>
      </c>
      <c r="H61">
        <v>12.74</v>
      </c>
      <c r="I61">
        <v>9812</v>
      </c>
      <c r="J61">
        <v>8896</v>
      </c>
      <c r="K61">
        <v>8575</v>
      </c>
      <c r="L61">
        <v>-38.59</v>
      </c>
      <c r="M61">
        <v>-25.65</v>
      </c>
      <c r="N61">
        <v>-21.11</v>
      </c>
      <c r="O61">
        <v>13.08</v>
      </c>
      <c r="P61" t="b">
        <v>0</v>
      </c>
      <c r="Q61">
        <v>0</v>
      </c>
      <c r="R61">
        <v>773</v>
      </c>
      <c r="U61" t="s">
        <v>543</v>
      </c>
      <c r="V61" t="s">
        <v>767</v>
      </c>
      <c r="W61">
        <v>0</v>
      </c>
      <c r="X61">
        <v>212.9</v>
      </c>
      <c r="Y61" t="s">
        <v>991</v>
      </c>
      <c r="Z61">
        <v>42.41514536516422</v>
      </c>
      <c r="AA61">
        <v>392</v>
      </c>
      <c r="AB61">
        <v>10461</v>
      </c>
      <c r="AC61" t="s">
        <v>1213</v>
      </c>
      <c r="AD61">
        <v>46.25</v>
      </c>
      <c r="AE61" t="s">
        <v>1437</v>
      </c>
      <c r="AF61" t="s">
        <v>1659</v>
      </c>
      <c r="AG61">
        <v>276</v>
      </c>
      <c r="AH61">
        <v>38</v>
      </c>
      <c r="AI61">
        <v>241500</v>
      </c>
      <c r="AK61" t="b">
        <v>1</v>
      </c>
    </row>
    <row r="62" spans="1:37">
      <c r="A62" s="1" t="s">
        <v>96</v>
      </c>
      <c r="B62" t="s">
        <v>320</v>
      </c>
      <c r="C62">
        <f>HYPERLINK("https://finance.naver.com/item/coinfo.nhn?code=290560", "A290560")</f>
        <v>0</v>
      </c>
      <c r="D62">
        <f>HYPERLINK("http://comp.fnguide.com/SVO2/ASP/SVD_Consensus.asp?pGB=1&amp;gicode=A290560&amp;cID=&amp;MenuYn=Y&amp;ReportGB=&amp;NewMenuID=108&amp;stkGb=701", "파라택시스이더리움")</f>
        <v>0</v>
      </c>
      <c r="E62">
        <v>3</v>
      </c>
      <c r="F62">
        <v>1089</v>
      </c>
      <c r="G62">
        <v>0</v>
      </c>
      <c r="H62">
        <v>8.93</v>
      </c>
      <c r="I62">
        <v>1206</v>
      </c>
      <c r="J62">
        <v>1201</v>
      </c>
      <c r="K62">
        <v>1199</v>
      </c>
      <c r="L62">
        <v>-10.74</v>
      </c>
      <c r="M62">
        <v>-10.24</v>
      </c>
      <c r="N62">
        <v>-10.07</v>
      </c>
      <c r="O62">
        <v>10.88</v>
      </c>
      <c r="P62" t="b">
        <v>1</v>
      </c>
      <c r="Q62">
        <v>0</v>
      </c>
      <c r="R62">
        <v>176</v>
      </c>
      <c r="U62" t="s">
        <v>544</v>
      </c>
      <c r="V62" t="s">
        <v>768</v>
      </c>
      <c r="W62">
        <v>0</v>
      </c>
      <c r="Y62" t="s">
        <v>992</v>
      </c>
      <c r="Z62">
        <v>0</v>
      </c>
      <c r="AA62">
        <v>244</v>
      </c>
      <c r="AB62">
        <v>26326</v>
      </c>
      <c r="AC62" t="s">
        <v>1214</v>
      </c>
      <c r="AD62">
        <v>56</v>
      </c>
      <c r="AE62" t="s">
        <v>1438</v>
      </c>
      <c r="AF62" t="s">
        <v>1660</v>
      </c>
      <c r="AG62">
        <v>140</v>
      </c>
      <c r="AH62">
        <v>36</v>
      </c>
      <c r="AI62">
        <v>368935</v>
      </c>
      <c r="AK62" t="b">
        <v>1</v>
      </c>
    </row>
    <row r="63" spans="1:37">
      <c r="A63" s="1" t="s">
        <v>97</v>
      </c>
      <c r="B63" t="s">
        <v>321</v>
      </c>
      <c r="C63">
        <f>HYPERLINK("https://finance.naver.com/item/coinfo.nhn?code=037030", "A037030")</f>
        <v>0</v>
      </c>
      <c r="D63">
        <f>HYPERLINK("http://comp.fnguide.com/SVO2/ASP/SVD_Consensus.asp?pGB=1&amp;gicode=A037030&amp;cID=&amp;MenuYn=Y&amp;ReportGB=&amp;NewMenuID=108&amp;stkGb=701", "파워넷")</f>
        <v>0</v>
      </c>
      <c r="E63">
        <v>3</v>
      </c>
      <c r="F63">
        <v>5980</v>
      </c>
      <c r="G63">
        <v>0</v>
      </c>
      <c r="H63">
        <v>4.45</v>
      </c>
      <c r="I63">
        <v>7857</v>
      </c>
      <c r="J63">
        <v>6850</v>
      </c>
      <c r="K63">
        <v>6497</v>
      </c>
      <c r="L63">
        <v>-31.39</v>
      </c>
      <c r="M63">
        <v>-14.55</v>
      </c>
      <c r="N63">
        <v>-8.640000000000001</v>
      </c>
      <c r="O63">
        <v>14.21</v>
      </c>
      <c r="P63" t="b">
        <v>0</v>
      </c>
      <c r="Q63">
        <v>1</v>
      </c>
      <c r="R63">
        <v>603</v>
      </c>
      <c r="S63">
        <v>913</v>
      </c>
      <c r="T63">
        <v>51.4</v>
      </c>
      <c r="U63" t="s">
        <v>545</v>
      </c>
      <c r="V63" t="s">
        <v>769</v>
      </c>
      <c r="W63">
        <v>0</v>
      </c>
      <c r="X63">
        <v>-90.59999999999999</v>
      </c>
      <c r="Y63" t="s">
        <v>993</v>
      </c>
      <c r="Z63">
        <v>0</v>
      </c>
      <c r="AA63">
        <v>1526</v>
      </c>
      <c r="AB63">
        <v>738250</v>
      </c>
      <c r="AC63" t="s">
        <v>1215</v>
      </c>
      <c r="AD63">
        <v>37.71</v>
      </c>
      <c r="AE63" t="s">
        <v>1439</v>
      </c>
      <c r="AF63" t="s">
        <v>1661</v>
      </c>
      <c r="AG63">
        <v>4470</v>
      </c>
      <c r="AH63">
        <v>246</v>
      </c>
      <c r="AI63">
        <v>5633</v>
      </c>
      <c r="AK63" t="b">
        <v>1</v>
      </c>
    </row>
    <row r="64" spans="1:37">
      <c r="A64" s="1" t="s">
        <v>98</v>
      </c>
      <c r="B64" t="s">
        <v>322</v>
      </c>
      <c r="C64">
        <f>HYPERLINK("https://finance.naver.com/item/coinfo.nhn?code=013030", "A013030")</f>
        <v>0</v>
      </c>
      <c r="D64">
        <f>HYPERLINK("http://comp.fnguide.com/SVO2/ASP/SVD_Consensus.asp?pGB=1&amp;gicode=A013030&amp;cID=&amp;MenuYn=Y&amp;ReportGB=&amp;NewMenuID=108&amp;stkGb=701", "하이록코리아")</f>
        <v>0</v>
      </c>
      <c r="E64">
        <v>3</v>
      </c>
      <c r="F64">
        <v>34500</v>
      </c>
      <c r="G64">
        <v>1.3</v>
      </c>
      <c r="H64">
        <v>7.43</v>
      </c>
      <c r="I64">
        <v>41118</v>
      </c>
      <c r="J64">
        <v>39783</v>
      </c>
      <c r="K64">
        <v>39315</v>
      </c>
      <c r="L64">
        <v>-19.18</v>
      </c>
      <c r="M64">
        <v>-15.31</v>
      </c>
      <c r="N64">
        <v>-13.96</v>
      </c>
      <c r="O64">
        <v>11.49</v>
      </c>
      <c r="P64" t="b">
        <v>1</v>
      </c>
      <c r="Q64">
        <v>3</v>
      </c>
      <c r="R64">
        <v>4141</v>
      </c>
      <c r="S64">
        <v>4320</v>
      </c>
      <c r="T64">
        <v>4.3</v>
      </c>
      <c r="U64" t="s">
        <v>546</v>
      </c>
      <c r="V64" t="s">
        <v>770</v>
      </c>
      <c r="W64">
        <v>5.721540821946935</v>
      </c>
      <c r="X64">
        <v>37.3</v>
      </c>
      <c r="Y64" t="s">
        <v>994</v>
      </c>
      <c r="Z64">
        <v>31.77699862432033</v>
      </c>
      <c r="AA64">
        <v>4060</v>
      </c>
      <c r="AB64">
        <v>29199</v>
      </c>
      <c r="AC64" t="s">
        <v>1216</v>
      </c>
      <c r="AD64">
        <v>39.73</v>
      </c>
      <c r="AE64" t="s">
        <v>1440</v>
      </c>
      <c r="AF64" t="s">
        <v>1662</v>
      </c>
      <c r="AG64">
        <v>2146</v>
      </c>
      <c r="AH64">
        <v>589</v>
      </c>
      <c r="AJ64">
        <v>4.39</v>
      </c>
      <c r="AK64" t="b">
        <v>1</v>
      </c>
    </row>
    <row r="65" spans="1:37">
      <c r="A65" s="1" t="s">
        <v>99</v>
      </c>
      <c r="B65" t="s">
        <v>323</v>
      </c>
      <c r="C65">
        <f>HYPERLINK("https://finance.naver.com/item/coinfo.nhn?code=025770", "A025770")</f>
        <v>0</v>
      </c>
      <c r="D65">
        <f>HYPERLINK("http://comp.fnguide.com/SVO2/ASP/SVD_Consensus.asp?pGB=1&amp;gicode=A025770&amp;cID=&amp;MenuYn=Y&amp;ReportGB=&amp;NewMenuID=108&amp;stkGb=701", "한국정보통신")</f>
        <v>0</v>
      </c>
      <c r="E65">
        <v>3</v>
      </c>
      <c r="F65">
        <v>7920</v>
      </c>
      <c r="G65">
        <v>0</v>
      </c>
      <c r="H65">
        <v>7.84</v>
      </c>
      <c r="I65">
        <v>11224</v>
      </c>
      <c r="J65">
        <v>10334</v>
      </c>
      <c r="K65">
        <v>10023</v>
      </c>
      <c r="L65">
        <v>-41.72</v>
      </c>
      <c r="M65">
        <v>-30.48</v>
      </c>
      <c r="N65">
        <v>-26.55</v>
      </c>
      <c r="O65">
        <v>12.68</v>
      </c>
      <c r="P65" t="b">
        <v>1</v>
      </c>
      <c r="Q65">
        <v>0</v>
      </c>
      <c r="R65">
        <v>978</v>
      </c>
      <c r="U65" t="s">
        <v>547</v>
      </c>
      <c r="V65" t="s">
        <v>771</v>
      </c>
      <c r="W65">
        <v>0</v>
      </c>
      <c r="X65">
        <v>0.8</v>
      </c>
      <c r="Y65" t="s">
        <v>995</v>
      </c>
      <c r="Z65">
        <v>27.9026102584977</v>
      </c>
      <c r="AA65">
        <v>2966</v>
      </c>
      <c r="AB65">
        <v>246066</v>
      </c>
      <c r="AC65" t="s">
        <v>1217</v>
      </c>
      <c r="AD65">
        <v>82.98999999999999</v>
      </c>
      <c r="AE65" t="s">
        <v>1441</v>
      </c>
      <c r="AF65" t="s">
        <v>1663</v>
      </c>
      <c r="AG65">
        <v>8363</v>
      </c>
      <c r="AH65">
        <v>452</v>
      </c>
      <c r="AI65">
        <v>2299077</v>
      </c>
      <c r="AJ65">
        <v>3.79</v>
      </c>
      <c r="AK65" t="b">
        <v>1</v>
      </c>
    </row>
    <row r="66" spans="1:37">
      <c r="A66" s="1" t="s">
        <v>100</v>
      </c>
      <c r="B66" t="s">
        <v>324</v>
      </c>
      <c r="C66">
        <f>HYPERLINK("https://finance.naver.com/item/coinfo.nhn?code=023760", "A023760")</f>
        <v>0</v>
      </c>
      <c r="D66">
        <f>HYPERLINK("http://comp.fnguide.com/SVO2/ASP/SVD_Consensus.asp?pGB=1&amp;gicode=A023760&amp;cID=&amp;MenuYn=Y&amp;ReportGB=&amp;NewMenuID=108&amp;stkGb=701", "한국캐피탈")</f>
        <v>0</v>
      </c>
      <c r="E66">
        <v>3</v>
      </c>
      <c r="F66">
        <v>750</v>
      </c>
      <c r="G66">
        <v>0</v>
      </c>
      <c r="H66">
        <v>2.52</v>
      </c>
      <c r="I66">
        <v>2973</v>
      </c>
      <c r="J66">
        <v>2673</v>
      </c>
      <c r="K66">
        <v>2568</v>
      </c>
      <c r="L66">
        <v>-296.45</v>
      </c>
      <c r="M66">
        <v>-256.43</v>
      </c>
      <c r="N66">
        <v>-242.4</v>
      </c>
      <c r="O66">
        <v>13.31</v>
      </c>
      <c r="P66" t="b">
        <v>0</v>
      </c>
      <c r="Q66">
        <v>0</v>
      </c>
      <c r="R66">
        <v>319</v>
      </c>
      <c r="U66" t="s">
        <v>548</v>
      </c>
      <c r="V66" t="s">
        <v>772</v>
      </c>
      <c r="W66">
        <v>0</v>
      </c>
      <c r="Y66" t="s">
        <v>996</v>
      </c>
      <c r="Z66">
        <v>27.9026102584977</v>
      </c>
      <c r="AA66">
        <v>2367</v>
      </c>
      <c r="AB66">
        <v>304907</v>
      </c>
      <c r="AC66" t="s">
        <v>1218</v>
      </c>
      <c r="AD66">
        <v>80.5</v>
      </c>
      <c r="AE66" t="s">
        <v>1442</v>
      </c>
      <c r="AF66" t="s">
        <v>1664</v>
      </c>
      <c r="AG66">
        <v>1747</v>
      </c>
      <c r="AH66">
        <v>1279</v>
      </c>
      <c r="AI66">
        <v>2719001</v>
      </c>
      <c r="AJ66">
        <v>4.98</v>
      </c>
      <c r="AK66" t="b">
        <v>1</v>
      </c>
    </row>
    <row r="67" spans="1:37">
      <c r="A67" s="1" t="s">
        <v>101</v>
      </c>
      <c r="B67" t="s">
        <v>325</v>
      </c>
      <c r="C67">
        <f>HYPERLINK("https://finance.naver.com/item/coinfo.nhn?code=054040", "A054040")</f>
        <v>0</v>
      </c>
      <c r="D67">
        <f>HYPERLINK("http://comp.fnguide.com/SVO2/ASP/SVD_Consensus.asp?pGB=1&amp;gicode=A054040&amp;cID=&amp;MenuYn=Y&amp;ReportGB=&amp;NewMenuID=108&amp;stkGb=701", "한국컴퓨터")</f>
        <v>0</v>
      </c>
      <c r="E67">
        <v>3</v>
      </c>
      <c r="F67">
        <v>4830</v>
      </c>
      <c r="G67">
        <v>0</v>
      </c>
      <c r="H67">
        <v>3.94</v>
      </c>
      <c r="I67">
        <v>14209</v>
      </c>
      <c r="J67">
        <v>13279</v>
      </c>
      <c r="K67">
        <v>12953</v>
      </c>
      <c r="L67">
        <v>-194.17</v>
      </c>
      <c r="M67">
        <v>-174.93</v>
      </c>
      <c r="N67">
        <v>-168.18</v>
      </c>
      <c r="O67">
        <v>12.3</v>
      </c>
      <c r="P67" t="b">
        <v>0</v>
      </c>
      <c r="Q67">
        <v>0</v>
      </c>
      <c r="R67">
        <v>1279</v>
      </c>
      <c r="U67" t="s">
        <v>549</v>
      </c>
      <c r="V67" t="s">
        <v>773</v>
      </c>
      <c r="W67">
        <v>0</v>
      </c>
      <c r="X67">
        <v>333.9</v>
      </c>
      <c r="Y67" t="s">
        <v>997</v>
      </c>
      <c r="Z67">
        <v>42.4570100186297</v>
      </c>
      <c r="AA67">
        <v>776</v>
      </c>
      <c r="AB67">
        <v>121649</v>
      </c>
      <c r="AC67" t="s">
        <v>1219</v>
      </c>
      <c r="AD67">
        <v>42.11</v>
      </c>
      <c r="AE67" t="s">
        <v>1443</v>
      </c>
      <c r="AF67" t="s">
        <v>1665</v>
      </c>
      <c r="AG67">
        <v>4178</v>
      </c>
      <c r="AH67">
        <v>229</v>
      </c>
      <c r="AI67">
        <v>2873608</v>
      </c>
      <c r="AJ67">
        <v>5.95</v>
      </c>
      <c r="AK67" t="b">
        <v>1</v>
      </c>
    </row>
    <row r="68" spans="1:37">
      <c r="A68" s="1" t="s">
        <v>102</v>
      </c>
      <c r="B68" t="s">
        <v>326</v>
      </c>
      <c r="C68">
        <f>HYPERLINK("https://finance.naver.com/item/coinfo.nhn?code=214180", "A214180")</f>
        <v>0</v>
      </c>
      <c r="D68">
        <f>HYPERLINK("http://comp.fnguide.com/SVO2/ASP/SVD_Consensus.asp?pGB=1&amp;gicode=A214180&amp;cID=&amp;MenuYn=Y&amp;ReportGB=&amp;NewMenuID=108&amp;stkGb=701", "헥토이노베이션")</f>
        <v>0</v>
      </c>
      <c r="E68">
        <v>3</v>
      </c>
      <c r="F68">
        <v>15310</v>
      </c>
      <c r="G68">
        <v>0.32</v>
      </c>
      <c r="H68">
        <v>6.92</v>
      </c>
      <c r="I68">
        <v>23582</v>
      </c>
      <c r="J68">
        <v>20429</v>
      </c>
      <c r="K68">
        <v>19324</v>
      </c>
      <c r="L68">
        <v>-54.03</v>
      </c>
      <c r="M68">
        <v>-33.44</v>
      </c>
      <c r="N68">
        <v>-26.22</v>
      </c>
      <c r="O68">
        <v>14.4</v>
      </c>
      <c r="P68" t="b">
        <v>1</v>
      </c>
      <c r="Q68">
        <v>3</v>
      </c>
      <c r="R68">
        <v>2329</v>
      </c>
      <c r="S68">
        <v>3075</v>
      </c>
      <c r="T68">
        <v>32</v>
      </c>
      <c r="U68" t="s">
        <v>550</v>
      </c>
      <c r="V68" t="s">
        <v>774</v>
      </c>
      <c r="W68">
        <v>21.34917422556541</v>
      </c>
      <c r="X68">
        <v>-8.4</v>
      </c>
      <c r="Y68" t="s">
        <v>998</v>
      </c>
      <c r="Z68">
        <v>5.904030556106288</v>
      </c>
      <c r="AA68">
        <v>1989</v>
      </c>
      <c r="AB68">
        <v>71089</v>
      </c>
      <c r="AC68" t="s">
        <v>1220</v>
      </c>
      <c r="AD68">
        <v>39.38</v>
      </c>
      <c r="AE68" t="s">
        <v>1444</v>
      </c>
      <c r="AF68" t="s">
        <v>1666</v>
      </c>
      <c r="AG68">
        <v>3758</v>
      </c>
      <c r="AH68">
        <v>502</v>
      </c>
      <c r="AI68">
        <v>409800</v>
      </c>
      <c r="AJ68">
        <v>3.1</v>
      </c>
      <c r="AK68" t="b">
        <v>1</v>
      </c>
    </row>
    <row r="69" spans="1:37">
      <c r="A69" s="1" t="s">
        <v>103</v>
      </c>
      <c r="B69" t="s">
        <v>327</v>
      </c>
      <c r="C69">
        <f>HYPERLINK("https://finance.naver.com/item/coinfo.nhn?code=090850", "A090850")</f>
        <v>0</v>
      </c>
      <c r="D69">
        <f>HYPERLINK("http://comp.fnguide.com/SVO2/ASP/SVD_Consensus.asp?pGB=1&amp;gicode=A090850&amp;cID=&amp;MenuYn=Y&amp;ReportGB=&amp;NewMenuID=108&amp;stkGb=701", "현대이지웰")</f>
        <v>0</v>
      </c>
      <c r="E69">
        <v>3</v>
      </c>
      <c r="F69">
        <v>5470</v>
      </c>
      <c r="G69">
        <v>0</v>
      </c>
      <c r="H69">
        <v>5.09</v>
      </c>
      <c r="I69">
        <v>7176</v>
      </c>
      <c r="J69">
        <v>5943</v>
      </c>
      <c r="K69">
        <v>5511</v>
      </c>
      <c r="L69">
        <v>-31.19</v>
      </c>
      <c r="M69">
        <v>-8.65</v>
      </c>
      <c r="N69">
        <v>-0.75</v>
      </c>
      <c r="O69">
        <v>15.92</v>
      </c>
      <c r="P69" t="b">
        <v>1</v>
      </c>
      <c r="Q69">
        <v>0</v>
      </c>
      <c r="R69">
        <v>1011</v>
      </c>
      <c r="U69" t="s">
        <v>551</v>
      </c>
      <c r="V69" t="s">
        <v>775</v>
      </c>
      <c r="W69">
        <v>0</v>
      </c>
      <c r="X69">
        <v>-20.8</v>
      </c>
      <c r="Y69" t="s">
        <v>999</v>
      </c>
      <c r="Z69">
        <v>0</v>
      </c>
      <c r="AA69">
        <v>1230</v>
      </c>
      <c r="AB69">
        <v>34194</v>
      </c>
      <c r="AC69" t="s">
        <v>1221</v>
      </c>
      <c r="AD69">
        <v>52.82</v>
      </c>
      <c r="AE69" t="s">
        <v>1445</v>
      </c>
      <c r="AF69" t="s">
        <v>1667</v>
      </c>
      <c r="AG69">
        <v>1426</v>
      </c>
      <c r="AH69">
        <v>242</v>
      </c>
      <c r="AJ69">
        <v>4.28</v>
      </c>
      <c r="AK69" t="b">
        <v>1</v>
      </c>
    </row>
    <row r="70" spans="1:37">
      <c r="A70" s="1" t="s">
        <v>104</v>
      </c>
      <c r="B70" t="s">
        <v>328</v>
      </c>
      <c r="C70">
        <f>HYPERLINK("https://finance.naver.com/item/coinfo.nhn?code=290270", "A290270")</f>
        <v>0</v>
      </c>
      <c r="D70">
        <f>HYPERLINK("http://comp.fnguide.com/SVO2/ASP/SVD_Consensus.asp?pGB=1&amp;gicode=A290270&amp;cID=&amp;MenuYn=Y&amp;ReportGB=&amp;NewMenuID=108&amp;stkGb=701", "휴네시온")</f>
        <v>0</v>
      </c>
      <c r="E70">
        <v>3</v>
      </c>
      <c r="F70">
        <v>3000</v>
      </c>
      <c r="G70">
        <v>0</v>
      </c>
      <c r="H70">
        <v>6.39</v>
      </c>
      <c r="I70">
        <v>6012</v>
      </c>
      <c r="J70">
        <v>5719</v>
      </c>
      <c r="K70">
        <v>5617</v>
      </c>
      <c r="L70">
        <v>-100.41</v>
      </c>
      <c r="M70">
        <v>-90.65000000000001</v>
      </c>
      <c r="N70">
        <v>-87.23</v>
      </c>
      <c r="O70">
        <v>11.88</v>
      </c>
      <c r="P70" t="b">
        <v>1</v>
      </c>
      <c r="Q70">
        <v>0</v>
      </c>
      <c r="R70">
        <v>588</v>
      </c>
      <c r="U70" t="s">
        <v>552</v>
      </c>
      <c r="V70" t="s">
        <v>776</v>
      </c>
      <c r="W70">
        <v>0</v>
      </c>
      <c r="Y70" t="s">
        <v>1000</v>
      </c>
      <c r="Z70">
        <v>0</v>
      </c>
      <c r="AA70">
        <v>288</v>
      </c>
      <c r="AB70">
        <v>54341</v>
      </c>
      <c r="AC70" t="s">
        <v>1222</v>
      </c>
      <c r="AD70">
        <v>46.84</v>
      </c>
      <c r="AE70" t="s">
        <v>1446</v>
      </c>
      <c r="AF70" t="s">
        <v>1668</v>
      </c>
      <c r="AG70">
        <v>377</v>
      </c>
      <c r="AH70">
        <v>48</v>
      </c>
      <c r="AI70">
        <v>381753</v>
      </c>
      <c r="AJ70">
        <v>1.33</v>
      </c>
      <c r="AK70" t="b">
        <v>1</v>
      </c>
    </row>
    <row r="71" spans="1:37">
      <c r="A71" s="1" t="s">
        <v>105</v>
      </c>
      <c r="B71" t="s">
        <v>329</v>
      </c>
      <c r="C71">
        <f>HYPERLINK("https://finance.naver.com/item/coinfo.nhn?code=200670", "A200670")</f>
        <v>0</v>
      </c>
      <c r="D71">
        <f>HYPERLINK("http://comp.fnguide.com/SVO2/ASP/SVD_Consensus.asp?pGB=1&amp;gicode=A200670&amp;cID=&amp;MenuYn=Y&amp;ReportGB=&amp;NewMenuID=108&amp;stkGb=701", "휴메딕스")</f>
        <v>0</v>
      </c>
      <c r="E71">
        <v>3</v>
      </c>
      <c r="F71">
        <v>25400</v>
      </c>
      <c r="G71">
        <v>0</v>
      </c>
      <c r="H71">
        <v>8.75</v>
      </c>
      <c r="I71">
        <v>46021</v>
      </c>
      <c r="J71">
        <v>35882</v>
      </c>
      <c r="K71">
        <v>32329</v>
      </c>
      <c r="L71">
        <v>-81.19</v>
      </c>
      <c r="M71">
        <v>-41.27</v>
      </c>
      <c r="N71">
        <v>-27.28</v>
      </c>
      <c r="O71">
        <v>18.39</v>
      </c>
      <c r="P71" t="b">
        <v>0</v>
      </c>
      <c r="Q71">
        <v>0</v>
      </c>
      <c r="R71">
        <v>4611</v>
      </c>
      <c r="U71" t="s">
        <v>553</v>
      </c>
      <c r="V71" t="s">
        <v>777</v>
      </c>
      <c r="W71">
        <v>0</v>
      </c>
      <c r="X71">
        <v>-3.2</v>
      </c>
      <c r="Y71" t="s">
        <v>1001</v>
      </c>
      <c r="Z71">
        <v>34.67626769467953</v>
      </c>
      <c r="AA71">
        <v>2852</v>
      </c>
      <c r="AB71">
        <v>25915</v>
      </c>
      <c r="AC71" t="s">
        <v>1223</v>
      </c>
      <c r="AD71">
        <v>37.52</v>
      </c>
      <c r="AE71" t="s">
        <v>1447</v>
      </c>
      <c r="AF71" t="s">
        <v>1669</v>
      </c>
      <c r="AG71">
        <v>1701</v>
      </c>
      <c r="AH71">
        <v>423</v>
      </c>
      <c r="AI71">
        <v>131489</v>
      </c>
      <c r="AJ71">
        <v>2.28</v>
      </c>
      <c r="AK71" t="b">
        <v>1</v>
      </c>
    </row>
    <row r="72" spans="1:37">
      <c r="A72" s="1" t="s">
        <v>106</v>
      </c>
      <c r="B72" t="s">
        <v>330</v>
      </c>
      <c r="C72">
        <f>HYPERLINK("https://finance.naver.com/item/coinfo.nhn?code=243070", "A243070")</f>
        <v>0</v>
      </c>
      <c r="D72">
        <f>HYPERLINK("http://comp.fnguide.com/SVO2/ASP/SVD_Consensus.asp?pGB=1&amp;gicode=A243070&amp;cID=&amp;MenuYn=Y&amp;ReportGB=&amp;NewMenuID=108&amp;stkGb=701", "휴온스")</f>
        <v>0</v>
      </c>
      <c r="E72">
        <v>3</v>
      </c>
      <c r="F72">
        <v>26900</v>
      </c>
      <c r="G72">
        <v>0</v>
      </c>
      <c r="H72">
        <v>7.69</v>
      </c>
      <c r="I72">
        <v>34548</v>
      </c>
      <c r="J72">
        <v>33238</v>
      </c>
      <c r="K72">
        <v>32779</v>
      </c>
      <c r="L72">
        <v>-28.43</v>
      </c>
      <c r="M72">
        <v>-23.56</v>
      </c>
      <c r="N72">
        <v>-21.85</v>
      </c>
      <c r="O72">
        <v>11.62</v>
      </c>
      <c r="P72" t="b">
        <v>0</v>
      </c>
      <c r="Q72">
        <v>0</v>
      </c>
      <c r="R72">
        <v>3561</v>
      </c>
      <c r="U72" t="s">
        <v>554</v>
      </c>
      <c r="V72" t="s">
        <v>778</v>
      </c>
      <c r="W72">
        <v>0</v>
      </c>
      <c r="X72">
        <v>-97.2</v>
      </c>
      <c r="Y72" t="s">
        <v>1002</v>
      </c>
      <c r="Z72">
        <v>-47.80596993463004</v>
      </c>
      <c r="AA72">
        <v>3223</v>
      </c>
      <c r="AB72">
        <v>32644</v>
      </c>
      <c r="AC72" t="s">
        <v>1224</v>
      </c>
      <c r="AD72">
        <v>44.82</v>
      </c>
      <c r="AE72" t="s">
        <v>1448</v>
      </c>
      <c r="AF72" t="s">
        <v>1670</v>
      </c>
      <c r="AG72">
        <v>6208</v>
      </c>
      <c r="AH72">
        <v>456</v>
      </c>
      <c r="AI72">
        <v>327900</v>
      </c>
      <c r="AJ72">
        <v>3.36</v>
      </c>
      <c r="AK72" t="b">
        <v>1</v>
      </c>
    </row>
    <row r="73" spans="1:37">
      <c r="A73" s="1" t="s">
        <v>107</v>
      </c>
      <c r="B73" t="s">
        <v>331</v>
      </c>
      <c r="C73">
        <f>HYPERLINK("https://finance.naver.com/item/coinfo.nhn?code=010240", "A010240")</f>
        <v>0</v>
      </c>
      <c r="D73">
        <f>HYPERLINK("http://comp.fnguide.com/SVO2/ASP/SVD_Consensus.asp?pGB=1&amp;gicode=A010240&amp;cID=&amp;MenuYn=Y&amp;ReportGB=&amp;NewMenuID=108&amp;stkGb=701", "흥국")</f>
        <v>0</v>
      </c>
      <c r="E73">
        <v>3</v>
      </c>
      <c r="F73">
        <v>5250</v>
      </c>
      <c r="G73">
        <v>0</v>
      </c>
      <c r="H73">
        <v>5.24</v>
      </c>
      <c r="I73">
        <v>10532</v>
      </c>
      <c r="J73">
        <v>10409</v>
      </c>
      <c r="K73">
        <v>10365</v>
      </c>
      <c r="L73">
        <v>-100.62</v>
      </c>
      <c r="M73">
        <v>-98.26000000000001</v>
      </c>
      <c r="N73">
        <v>-97.43000000000001</v>
      </c>
      <c r="O73">
        <v>11.03</v>
      </c>
      <c r="P73" t="b">
        <v>1</v>
      </c>
      <c r="Q73">
        <v>0</v>
      </c>
      <c r="R73">
        <v>992</v>
      </c>
      <c r="U73" t="s">
        <v>555</v>
      </c>
      <c r="V73" t="s">
        <v>779</v>
      </c>
      <c r="W73">
        <v>0</v>
      </c>
      <c r="X73">
        <v>64</v>
      </c>
      <c r="Y73" t="s">
        <v>1003</v>
      </c>
      <c r="Z73">
        <v>11.07271352586621</v>
      </c>
      <c r="AA73">
        <v>615</v>
      </c>
      <c r="AB73">
        <v>10371</v>
      </c>
      <c r="AC73" t="s">
        <v>1225</v>
      </c>
      <c r="AD73">
        <v>53.27</v>
      </c>
      <c r="AE73" t="s">
        <v>1449</v>
      </c>
      <c r="AF73" t="s">
        <v>1671</v>
      </c>
      <c r="AG73">
        <v>1370</v>
      </c>
      <c r="AH73">
        <v>149</v>
      </c>
      <c r="AI73">
        <v>220791</v>
      </c>
      <c r="AJ73">
        <v>5.38</v>
      </c>
      <c r="AK73" t="b">
        <v>1</v>
      </c>
    </row>
    <row r="74" spans="1:37">
      <c r="A74" s="1" t="s">
        <v>108</v>
      </c>
      <c r="B74" t="s">
        <v>332</v>
      </c>
      <c r="C74">
        <f>HYPERLINK("https://finance.naver.com/item/coinfo.nhn?code=025880", "A025880")</f>
        <v>0</v>
      </c>
      <c r="D74">
        <f>HYPERLINK("http://comp.fnguide.com/SVO2/ASP/SVD_Consensus.asp?pGB=1&amp;gicode=A025880&amp;cID=&amp;MenuYn=Y&amp;ReportGB=&amp;NewMenuID=108&amp;stkGb=701", "케이씨피드")</f>
        <v>0</v>
      </c>
      <c r="E74">
        <v>3</v>
      </c>
      <c r="F74">
        <v>2500</v>
      </c>
      <c r="G74">
        <v>0</v>
      </c>
      <c r="H74">
        <v>4.35</v>
      </c>
      <c r="I74">
        <v>5604</v>
      </c>
      <c r="J74">
        <v>5322</v>
      </c>
      <c r="K74">
        <v>5223</v>
      </c>
      <c r="L74">
        <v>-124.17</v>
      </c>
      <c r="M74">
        <v>-112.88</v>
      </c>
      <c r="N74">
        <v>-108.92</v>
      </c>
      <c r="O74">
        <v>11.92</v>
      </c>
      <c r="P74" t="b">
        <v>1</v>
      </c>
      <c r="Q74">
        <v>0</v>
      </c>
      <c r="R74">
        <v>618</v>
      </c>
      <c r="U74" t="s">
        <v>556</v>
      </c>
      <c r="V74" t="s">
        <v>780</v>
      </c>
      <c r="W74">
        <v>0</v>
      </c>
      <c r="X74">
        <v>9.4</v>
      </c>
      <c r="Y74" t="s">
        <v>1004</v>
      </c>
      <c r="Z74">
        <v>22.94159504940336</v>
      </c>
      <c r="AA74">
        <v>418</v>
      </c>
      <c r="AB74">
        <v>41237</v>
      </c>
      <c r="AC74" t="s">
        <v>1226</v>
      </c>
      <c r="AD74">
        <v>27.31</v>
      </c>
      <c r="AE74" t="s">
        <v>1450</v>
      </c>
      <c r="AF74" t="s">
        <v>1672</v>
      </c>
      <c r="AG74">
        <v>1218</v>
      </c>
      <c r="AH74">
        <v>122</v>
      </c>
      <c r="AI74">
        <v>930722</v>
      </c>
      <c r="AJ74">
        <v>6.13</v>
      </c>
      <c r="AK74" t="b">
        <v>1</v>
      </c>
    </row>
    <row r="75" spans="1:37">
      <c r="A75" s="1" t="s">
        <v>109</v>
      </c>
      <c r="B75" t="s">
        <v>333</v>
      </c>
      <c r="C75">
        <f>HYPERLINK("https://finance.naver.com/item/coinfo.nhn?code=198080", "A198080")</f>
        <v>0</v>
      </c>
      <c r="D75">
        <f>HYPERLINK("http://comp.fnguide.com/SVO2/ASP/SVD_Consensus.asp?pGB=1&amp;gicode=A198080&amp;cID=&amp;MenuYn=Y&amp;ReportGB=&amp;NewMenuID=108&amp;stkGb=701", "캐프")</f>
        <v>0</v>
      </c>
      <c r="E75">
        <v>3</v>
      </c>
      <c r="F75">
        <v>2835</v>
      </c>
      <c r="G75">
        <v>0</v>
      </c>
      <c r="H75">
        <v>2.4</v>
      </c>
      <c r="I75">
        <v>8241</v>
      </c>
      <c r="J75">
        <v>7106</v>
      </c>
      <c r="K75">
        <v>6708</v>
      </c>
      <c r="L75">
        <v>-190.7</v>
      </c>
      <c r="M75">
        <v>-150.65</v>
      </c>
      <c r="N75">
        <v>-136.62</v>
      </c>
      <c r="O75">
        <v>14.55</v>
      </c>
      <c r="P75" t="b">
        <v>0</v>
      </c>
      <c r="Q75">
        <v>0</v>
      </c>
      <c r="R75">
        <v>904</v>
      </c>
      <c r="U75" t="s">
        <v>557</v>
      </c>
      <c r="V75" t="s">
        <v>781</v>
      </c>
      <c r="W75">
        <v>0</v>
      </c>
      <c r="X75">
        <v>12.8</v>
      </c>
      <c r="Y75" t="s">
        <v>1005</v>
      </c>
      <c r="Z75">
        <v>0</v>
      </c>
      <c r="AA75">
        <v>611</v>
      </c>
      <c r="AB75">
        <v>200048</v>
      </c>
      <c r="AC75" t="s">
        <v>1227</v>
      </c>
      <c r="AD75">
        <v>64.08</v>
      </c>
      <c r="AE75" t="s">
        <v>1451</v>
      </c>
      <c r="AF75" t="s">
        <v>1673</v>
      </c>
      <c r="AG75">
        <v>2952</v>
      </c>
      <c r="AH75">
        <v>243</v>
      </c>
      <c r="AK75" t="b">
        <v>1</v>
      </c>
    </row>
    <row r="76" spans="1:37">
      <c r="A76" s="1" t="s">
        <v>110</v>
      </c>
      <c r="B76" t="s">
        <v>334</v>
      </c>
      <c r="C76">
        <f>HYPERLINK("https://finance.naver.com/item/coinfo.nhn?code=066360", "A066360")</f>
        <v>0</v>
      </c>
      <c r="D76">
        <f>HYPERLINK("http://comp.fnguide.com/SVO2/ASP/SVD_Consensus.asp?pGB=1&amp;gicode=A066360&amp;cID=&amp;MenuYn=Y&amp;ReportGB=&amp;NewMenuID=108&amp;stkGb=701", "체리부로")</f>
        <v>0</v>
      </c>
      <c r="E76">
        <v>3</v>
      </c>
      <c r="F76">
        <v>796</v>
      </c>
      <c r="G76">
        <v>0</v>
      </c>
      <c r="H76">
        <v>1.52</v>
      </c>
      <c r="I76">
        <v>3222</v>
      </c>
      <c r="J76">
        <v>2624</v>
      </c>
      <c r="K76">
        <v>2415</v>
      </c>
      <c r="L76">
        <v>-304.78</v>
      </c>
      <c r="M76">
        <v>-229.66</v>
      </c>
      <c r="N76">
        <v>-203.34</v>
      </c>
      <c r="O76">
        <v>16.55</v>
      </c>
      <c r="P76" t="b">
        <v>1</v>
      </c>
      <c r="Q76">
        <v>0</v>
      </c>
      <c r="R76">
        <v>496</v>
      </c>
      <c r="U76" t="s">
        <v>558</v>
      </c>
      <c r="V76" t="s">
        <v>782</v>
      </c>
      <c r="W76">
        <v>0</v>
      </c>
      <c r="Y76" t="s">
        <v>1006</v>
      </c>
      <c r="Z76">
        <v>0</v>
      </c>
      <c r="AA76">
        <v>382</v>
      </c>
      <c r="AB76">
        <v>73836</v>
      </c>
      <c r="AC76" t="s">
        <v>1228</v>
      </c>
      <c r="AD76">
        <v>63.95</v>
      </c>
      <c r="AE76" t="s">
        <v>1452</v>
      </c>
      <c r="AF76" t="s">
        <v>1674</v>
      </c>
      <c r="AG76">
        <v>4054</v>
      </c>
      <c r="AH76">
        <v>285</v>
      </c>
      <c r="AK76" t="b">
        <v>1</v>
      </c>
    </row>
    <row r="77" spans="1:37">
      <c r="A77" s="1" t="s">
        <v>111</v>
      </c>
      <c r="B77" t="s">
        <v>335</v>
      </c>
      <c r="C77">
        <f>HYPERLINK("https://finance.naver.com/item/coinfo.nhn?code=049520", "A049520")</f>
        <v>0</v>
      </c>
      <c r="D77">
        <f>HYPERLINK("http://comp.fnguide.com/SVO2/ASP/SVD_Consensus.asp?pGB=1&amp;gicode=A049520&amp;cID=&amp;MenuYn=Y&amp;ReportGB=&amp;NewMenuID=108&amp;stkGb=701", "유아이엘")</f>
        <v>0</v>
      </c>
      <c r="E77">
        <v>3</v>
      </c>
      <c r="F77">
        <v>3600</v>
      </c>
      <c r="G77">
        <v>0</v>
      </c>
      <c r="H77">
        <v>4.75</v>
      </c>
      <c r="I77">
        <v>7613</v>
      </c>
      <c r="J77">
        <v>7090</v>
      </c>
      <c r="K77">
        <v>6907</v>
      </c>
      <c r="L77">
        <v>-111.46</v>
      </c>
      <c r="M77">
        <v>-96.94</v>
      </c>
      <c r="N77">
        <v>-91.84999999999999</v>
      </c>
      <c r="O77">
        <v>12.39</v>
      </c>
      <c r="P77" t="b">
        <v>0</v>
      </c>
      <c r="Q77">
        <v>0</v>
      </c>
      <c r="R77">
        <v>696</v>
      </c>
      <c r="U77" t="s">
        <v>559</v>
      </c>
      <c r="V77" t="s">
        <v>783</v>
      </c>
      <c r="W77">
        <v>0</v>
      </c>
      <c r="X77">
        <v>-6.9</v>
      </c>
      <c r="Y77" t="s">
        <v>1007</v>
      </c>
      <c r="Z77">
        <v>0</v>
      </c>
      <c r="AA77">
        <v>1110</v>
      </c>
      <c r="AB77">
        <v>93761</v>
      </c>
      <c r="AC77" t="s">
        <v>1229</v>
      </c>
      <c r="AD77">
        <v>53.38</v>
      </c>
      <c r="AE77" t="s">
        <v>1453</v>
      </c>
      <c r="AF77" t="s">
        <v>1675</v>
      </c>
      <c r="AG77">
        <v>4123</v>
      </c>
      <c r="AH77">
        <v>264</v>
      </c>
      <c r="AI77">
        <v>472039</v>
      </c>
      <c r="AJ77">
        <v>12.08</v>
      </c>
      <c r="AK77" t="b">
        <v>1</v>
      </c>
    </row>
    <row r="78" spans="1:37">
      <c r="A78" s="1" t="s">
        <v>112</v>
      </c>
      <c r="B78" t="s">
        <v>336</v>
      </c>
      <c r="C78">
        <f>HYPERLINK("https://finance.naver.com/item/coinfo.nhn?code=041190", "A041190")</f>
        <v>0</v>
      </c>
      <c r="D78">
        <f>HYPERLINK("http://comp.fnguide.com/SVO2/ASP/SVD_Consensus.asp?pGB=1&amp;gicode=A041190&amp;cID=&amp;MenuYn=Y&amp;ReportGB=&amp;NewMenuID=108&amp;stkGb=701", "우리기술투자")</f>
        <v>0</v>
      </c>
      <c r="E78">
        <v>3</v>
      </c>
      <c r="F78">
        <v>5580</v>
      </c>
      <c r="G78">
        <v>0</v>
      </c>
      <c r="H78">
        <v>5.59</v>
      </c>
      <c r="I78">
        <v>18832</v>
      </c>
      <c r="J78">
        <v>14110</v>
      </c>
      <c r="K78">
        <v>12455</v>
      </c>
      <c r="L78">
        <v>-237.49</v>
      </c>
      <c r="M78">
        <v>-152.86</v>
      </c>
      <c r="N78">
        <v>-123.2</v>
      </c>
      <c r="O78">
        <v>20.38</v>
      </c>
      <c r="P78" t="b">
        <v>0</v>
      </c>
      <c r="Q78">
        <v>0</v>
      </c>
      <c r="R78">
        <v>1316</v>
      </c>
      <c r="U78" t="s">
        <v>560</v>
      </c>
      <c r="V78" t="s">
        <v>784</v>
      </c>
      <c r="W78">
        <v>0</v>
      </c>
      <c r="Y78" t="s">
        <v>996</v>
      </c>
      <c r="Z78">
        <v>51.0157099124823</v>
      </c>
      <c r="AA78">
        <v>4687</v>
      </c>
      <c r="AB78">
        <v>897682</v>
      </c>
      <c r="AC78" t="s">
        <v>1230</v>
      </c>
      <c r="AD78">
        <v>30.91</v>
      </c>
      <c r="AE78" t="s">
        <v>1454</v>
      </c>
      <c r="AF78" t="s">
        <v>1676</v>
      </c>
      <c r="AG78">
        <v>1489</v>
      </c>
      <c r="AH78">
        <v>1381</v>
      </c>
      <c r="AI78">
        <v>6128844</v>
      </c>
      <c r="AK78" t="b">
        <v>1</v>
      </c>
    </row>
    <row r="79" spans="1:37">
      <c r="A79" s="1" t="s">
        <v>113</v>
      </c>
      <c r="B79" t="s">
        <v>337</v>
      </c>
      <c r="C79">
        <f>HYPERLINK("https://finance.naver.com/item/coinfo.nhn?code=215360", "A215360")</f>
        <v>0</v>
      </c>
      <c r="D79">
        <f>HYPERLINK("http://comp.fnguide.com/SVO2/ASP/SVD_Consensus.asp?pGB=1&amp;gicode=A215360&amp;cID=&amp;MenuYn=Y&amp;ReportGB=&amp;NewMenuID=108&amp;stkGb=701", "우리산업")</f>
        <v>0</v>
      </c>
      <c r="E79">
        <v>3</v>
      </c>
      <c r="F79">
        <v>7200</v>
      </c>
      <c r="G79">
        <v>0</v>
      </c>
      <c r="H79">
        <v>5.34</v>
      </c>
      <c r="I79">
        <v>16630</v>
      </c>
      <c r="J79">
        <v>14817</v>
      </c>
      <c r="K79">
        <v>14182</v>
      </c>
      <c r="L79">
        <v>-130.97</v>
      </c>
      <c r="M79">
        <v>-105.79</v>
      </c>
      <c r="N79">
        <v>-96.97</v>
      </c>
      <c r="O79">
        <v>13.56</v>
      </c>
      <c r="P79" t="b">
        <v>1</v>
      </c>
      <c r="Q79">
        <v>0</v>
      </c>
      <c r="R79">
        <v>1536</v>
      </c>
      <c r="U79" t="s">
        <v>561</v>
      </c>
      <c r="V79" t="s">
        <v>785</v>
      </c>
      <c r="W79">
        <v>0</v>
      </c>
      <c r="X79">
        <v>154.4</v>
      </c>
      <c r="Y79" t="s">
        <v>1008</v>
      </c>
      <c r="Z79">
        <v>0</v>
      </c>
      <c r="AA79">
        <v>658</v>
      </c>
      <c r="AB79">
        <v>22814</v>
      </c>
      <c r="AC79" t="s">
        <v>1231</v>
      </c>
      <c r="AD79">
        <v>39.46</v>
      </c>
      <c r="AE79" t="s">
        <v>1455</v>
      </c>
      <c r="AF79" t="s">
        <v>1677</v>
      </c>
      <c r="AG79">
        <v>5320</v>
      </c>
      <c r="AH79">
        <v>187</v>
      </c>
      <c r="AJ79">
        <v>2.44</v>
      </c>
      <c r="AK79" t="b">
        <v>1</v>
      </c>
    </row>
    <row r="80" spans="1:37">
      <c r="A80" s="1" t="s">
        <v>114</v>
      </c>
      <c r="B80" t="s">
        <v>338</v>
      </c>
      <c r="C80">
        <f>HYPERLINK("https://finance.naver.com/item/coinfo.nhn?code=046940", "A046940")</f>
        <v>0</v>
      </c>
      <c r="D80">
        <f>HYPERLINK("http://comp.fnguide.com/SVO2/ASP/SVD_Consensus.asp?pGB=1&amp;gicode=A046940&amp;cID=&amp;MenuYn=Y&amp;ReportGB=&amp;NewMenuID=108&amp;stkGb=701", "우원개발")</f>
        <v>0</v>
      </c>
      <c r="E80">
        <v>3</v>
      </c>
      <c r="F80">
        <v>3305</v>
      </c>
      <c r="G80">
        <v>0</v>
      </c>
      <c r="H80">
        <v>1.33</v>
      </c>
      <c r="I80">
        <v>15157</v>
      </c>
      <c r="J80">
        <v>11700</v>
      </c>
      <c r="K80">
        <v>10488</v>
      </c>
      <c r="L80">
        <v>-358.6</v>
      </c>
      <c r="M80">
        <v>-254</v>
      </c>
      <c r="N80">
        <v>-217.35</v>
      </c>
      <c r="O80">
        <v>18.86</v>
      </c>
      <c r="P80" t="b">
        <v>1</v>
      </c>
      <c r="Q80">
        <v>0</v>
      </c>
      <c r="R80">
        <v>2654</v>
      </c>
      <c r="U80" t="s">
        <v>562</v>
      </c>
      <c r="V80" t="s">
        <v>786</v>
      </c>
      <c r="W80">
        <v>0</v>
      </c>
      <c r="X80">
        <v>93.40000000000001</v>
      </c>
      <c r="Y80" t="s">
        <v>1009</v>
      </c>
      <c r="Z80">
        <v>139.4230619109172</v>
      </c>
      <c r="AA80">
        <v>597</v>
      </c>
      <c r="AB80">
        <v>84968</v>
      </c>
      <c r="AC80" t="s">
        <v>1232</v>
      </c>
      <c r="AD80">
        <v>34.98</v>
      </c>
      <c r="AE80" t="s">
        <v>1456</v>
      </c>
      <c r="AF80" t="s">
        <v>1678</v>
      </c>
      <c r="AG80">
        <v>3763</v>
      </c>
      <c r="AH80">
        <v>672</v>
      </c>
      <c r="AJ80">
        <v>3.4</v>
      </c>
      <c r="AK80" t="b">
        <v>1</v>
      </c>
    </row>
    <row r="81" spans="1:37">
      <c r="A81" s="1" t="s">
        <v>115</v>
      </c>
      <c r="B81" t="s">
        <v>339</v>
      </c>
      <c r="C81">
        <f>HYPERLINK("https://finance.naver.com/item/coinfo.nhn?code=307280", "A307280")</f>
        <v>0</v>
      </c>
      <c r="D81">
        <f>HYPERLINK("http://comp.fnguide.com/SVO2/ASP/SVD_Consensus.asp?pGB=1&amp;gicode=A307280&amp;cID=&amp;MenuYn=Y&amp;ReportGB=&amp;NewMenuID=108&amp;stkGb=701", "원바이오젠")</f>
        <v>0</v>
      </c>
      <c r="E81">
        <v>3</v>
      </c>
      <c r="F81">
        <v>5990</v>
      </c>
      <c r="G81">
        <v>0</v>
      </c>
      <c r="H81">
        <v>7.36</v>
      </c>
      <c r="I81">
        <v>9792</v>
      </c>
      <c r="J81">
        <v>7917</v>
      </c>
      <c r="K81">
        <v>7260</v>
      </c>
      <c r="L81">
        <v>-63.47</v>
      </c>
      <c r="M81">
        <v>-32.17</v>
      </c>
      <c r="N81">
        <v>-21.2</v>
      </c>
      <c r="O81">
        <v>16.84</v>
      </c>
      <c r="P81" t="b">
        <v>0</v>
      </c>
      <c r="Q81">
        <v>0</v>
      </c>
      <c r="R81">
        <v>907</v>
      </c>
      <c r="U81" t="s">
        <v>563</v>
      </c>
      <c r="V81" t="s">
        <v>787</v>
      </c>
      <c r="W81">
        <v>0</v>
      </c>
      <c r="X81">
        <v>40</v>
      </c>
      <c r="Y81" t="s">
        <v>1010</v>
      </c>
      <c r="Z81">
        <v>0</v>
      </c>
      <c r="AA81">
        <v>425</v>
      </c>
      <c r="AB81">
        <v>12691</v>
      </c>
      <c r="AC81" t="s">
        <v>1233</v>
      </c>
      <c r="AD81">
        <v>32.76</v>
      </c>
      <c r="AE81" t="s">
        <v>1457</v>
      </c>
      <c r="AF81" t="s">
        <v>1679</v>
      </c>
      <c r="AG81">
        <v>352</v>
      </c>
      <c r="AH81">
        <v>79</v>
      </c>
      <c r="AI81">
        <v>288630</v>
      </c>
      <c r="AJ81">
        <v>2.1</v>
      </c>
      <c r="AK81" t="b">
        <v>1</v>
      </c>
    </row>
    <row r="82" spans="1:37">
      <c r="A82" s="1" t="s">
        <v>116</v>
      </c>
      <c r="B82" t="s">
        <v>340</v>
      </c>
      <c r="C82">
        <f>HYPERLINK("https://finance.naver.com/item/coinfo.nhn?code=101160", "A101160")</f>
        <v>0</v>
      </c>
      <c r="D82">
        <f>HYPERLINK("http://comp.fnguide.com/SVO2/ASP/SVD_Consensus.asp?pGB=1&amp;gicode=A101160&amp;cID=&amp;MenuYn=Y&amp;ReportGB=&amp;NewMenuID=108&amp;stkGb=701", "월덱스")</f>
        <v>0</v>
      </c>
      <c r="E82">
        <v>3</v>
      </c>
      <c r="F82">
        <v>24800</v>
      </c>
      <c r="G82">
        <v>0</v>
      </c>
      <c r="H82">
        <v>8.68</v>
      </c>
      <c r="I82">
        <v>35814</v>
      </c>
      <c r="J82">
        <v>27915</v>
      </c>
      <c r="K82">
        <v>25147</v>
      </c>
      <c r="L82">
        <v>-44.41</v>
      </c>
      <c r="M82">
        <v>-12.56</v>
      </c>
      <c r="N82">
        <v>-1.4</v>
      </c>
      <c r="O82">
        <v>18.41</v>
      </c>
      <c r="P82" t="b">
        <v>0</v>
      </c>
      <c r="Q82">
        <v>0</v>
      </c>
      <c r="R82">
        <v>2482</v>
      </c>
      <c r="U82" t="s">
        <v>564</v>
      </c>
      <c r="V82" t="s">
        <v>788</v>
      </c>
      <c r="W82">
        <v>0</v>
      </c>
      <c r="X82">
        <v>47.4</v>
      </c>
      <c r="Y82" t="s">
        <v>1011</v>
      </c>
      <c r="Z82">
        <v>12.54425871020024</v>
      </c>
      <c r="AA82">
        <v>4095</v>
      </c>
      <c r="AB82">
        <v>110458</v>
      </c>
      <c r="AC82" t="s">
        <v>1234</v>
      </c>
      <c r="AD82">
        <v>35.07</v>
      </c>
      <c r="AE82" t="s">
        <v>1458</v>
      </c>
      <c r="AF82" t="s">
        <v>1680</v>
      </c>
      <c r="AG82">
        <v>2918</v>
      </c>
      <c r="AH82">
        <v>585</v>
      </c>
      <c r="AJ82">
        <v>0.46</v>
      </c>
      <c r="AK82" t="b">
        <v>1</v>
      </c>
    </row>
    <row r="83" spans="1:37">
      <c r="A83" s="1" t="s">
        <v>117</v>
      </c>
      <c r="B83" t="s">
        <v>341</v>
      </c>
      <c r="C83">
        <f>HYPERLINK("https://finance.naver.com/item/coinfo.nhn?code=142210", "A142210")</f>
        <v>0</v>
      </c>
      <c r="D83">
        <f>HYPERLINK("http://comp.fnguide.com/SVO2/ASP/SVD_Consensus.asp?pGB=1&amp;gicode=A142210&amp;cID=&amp;MenuYn=Y&amp;ReportGB=&amp;NewMenuID=108&amp;stkGb=701", "유니트론텍")</f>
        <v>0</v>
      </c>
      <c r="E83">
        <v>3</v>
      </c>
      <c r="F83">
        <v>6720</v>
      </c>
      <c r="G83">
        <v>0.26</v>
      </c>
      <c r="H83">
        <v>9.609999999999999</v>
      </c>
      <c r="I83">
        <v>8627</v>
      </c>
      <c r="J83">
        <v>7609</v>
      </c>
      <c r="K83">
        <v>7253</v>
      </c>
      <c r="L83">
        <v>-28.38</v>
      </c>
      <c r="M83">
        <v>-13.24</v>
      </c>
      <c r="N83">
        <v>-7.93</v>
      </c>
      <c r="O83">
        <v>13.86</v>
      </c>
      <c r="P83" t="b">
        <v>1</v>
      </c>
      <c r="Q83">
        <v>1</v>
      </c>
      <c r="R83">
        <v>636</v>
      </c>
      <c r="S83">
        <v>2496</v>
      </c>
      <c r="T83">
        <v>292.5</v>
      </c>
      <c r="U83" t="s">
        <v>565</v>
      </c>
      <c r="V83" t="s">
        <v>789</v>
      </c>
      <c r="W83">
        <v>37.08347338075902</v>
      </c>
      <c r="X83">
        <v>153.4</v>
      </c>
      <c r="Y83" t="s">
        <v>1012</v>
      </c>
      <c r="Z83">
        <v>24.98830337148015</v>
      </c>
      <c r="AA83">
        <v>1394</v>
      </c>
      <c r="AB83">
        <v>501476</v>
      </c>
      <c r="AC83" t="s">
        <v>1235</v>
      </c>
      <c r="AD83">
        <v>30.14</v>
      </c>
      <c r="AE83" t="s">
        <v>1459</v>
      </c>
      <c r="AF83" t="s">
        <v>1681</v>
      </c>
      <c r="AG83">
        <v>7690</v>
      </c>
      <c r="AH83">
        <v>323</v>
      </c>
      <c r="AJ83">
        <v>2.7</v>
      </c>
      <c r="AK83" t="b">
        <v>1</v>
      </c>
    </row>
    <row r="84" spans="1:37">
      <c r="A84" s="1" t="s">
        <v>118</v>
      </c>
      <c r="B84" t="s">
        <v>342</v>
      </c>
      <c r="C84">
        <f>HYPERLINK("https://finance.naver.com/item/coinfo.nhn?code=264450", "A264450")</f>
        <v>0</v>
      </c>
      <c r="D84">
        <f>HYPERLINK("http://comp.fnguide.com/SVO2/ASP/SVD_Consensus.asp?pGB=1&amp;gicode=A264450&amp;cID=&amp;MenuYn=Y&amp;ReportGB=&amp;NewMenuID=108&amp;stkGb=701", "유비쿼스")</f>
        <v>0</v>
      </c>
      <c r="E84">
        <v>3</v>
      </c>
      <c r="F84">
        <v>11790</v>
      </c>
      <c r="G84">
        <v>0</v>
      </c>
      <c r="H84">
        <v>6</v>
      </c>
      <c r="I84">
        <v>16595</v>
      </c>
      <c r="J84">
        <v>14866</v>
      </c>
      <c r="K84">
        <v>14261</v>
      </c>
      <c r="L84">
        <v>-40.75</v>
      </c>
      <c r="M84">
        <v>-26.09</v>
      </c>
      <c r="N84">
        <v>-20.95</v>
      </c>
      <c r="O84">
        <v>13.41</v>
      </c>
      <c r="P84" t="b">
        <v>0</v>
      </c>
      <c r="Q84">
        <v>0</v>
      </c>
      <c r="R84">
        <v>1618</v>
      </c>
      <c r="U84" t="s">
        <v>566</v>
      </c>
      <c r="V84" t="s">
        <v>790</v>
      </c>
      <c r="W84">
        <v>0</v>
      </c>
      <c r="X84">
        <v>118.9</v>
      </c>
      <c r="Y84" t="s">
        <v>1013</v>
      </c>
      <c r="Z84">
        <v>13.56161555216675</v>
      </c>
      <c r="AA84">
        <v>1729</v>
      </c>
      <c r="AB84">
        <v>104167</v>
      </c>
      <c r="AC84" t="s">
        <v>1236</v>
      </c>
      <c r="AD84">
        <v>43.26</v>
      </c>
      <c r="AE84" t="s">
        <v>1460</v>
      </c>
      <c r="AF84" t="s">
        <v>1682</v>
      </c>
      <c r="AG84">
        <v>1164</v>
      </c>
      <c r="AH84">
        <v>231</v>
      </c>
      <c r="AJ84">
        <v>4.85</v>
      </c>
      <c r="AK84" t="b">
        <v>1</v>
      </c>
    </row>
    <row r="85" spans="1:37">
      <c r="A85" s="1" t="s">
        <v>119</v>
      </c>
      <c r="B85" t="s">
        <v>343</v>
      </c>
      <c r="C85">
        <f>HYPERLINK("https://finance.naver.com/item/coinfo.nhn?code=024800", "A024800")</f>
        <v>0</v>
      </c>
      <c r="D85">
        <f>HYPERLINK("http://comp.fnguide.com/SVO2/ASP/SVD_Consensus.asp?pGB=1&amp;gicode=A024800&amp;cID=&amp;MenuYn=Y&amp;ReportGB=&amp;NewMenuID=108&amp;stkGb=701", "유성티엔에스")</f>
        <v>0</v>
      </c>
      <c r="E85">
        <v>3</v>
      </c>
      <c r="F85">
        <v>4535</v>
      </c>
      <c r="G85">
        <v>0</v>
      </c>
      <c r="H85">
        <v>1.67</v>
      </c>
      <c r="I85">
        <v>17805</v>
      </c>
      <c r="J85">
        <v>16781</v>
      </c>
      <c r="K85">
        <v>16422</v>
      </c>
      <c r="L85">
        <v>-292.61</v>
      </c>
      <c r="M85">
        <v>-270.03</v>
      </c>
      <c r="N85">
        <v>-262.12</v>
      </c>
      <c r="O85">
        <v>12.09</v>
      </c>
      <c r="P85" t="b">
        <v>1</v>
      </c>
      <c r="Q85">
        <v>0</v>
      </c>
      <c r="R85">
        <v>1480</v>
      </c>
      <c r="U85" t="s">
        <v>567</v>
      </c>
      <c r="V85" t="s">
        <v>791</v>
      </c>
      <c r="W85">
        <v>0</v>
      </c>
      <c r="X85">
        <v>-32.5</v>
      </c>
      <c r="Y85" t="s">
        <v>1014</v>
      </c>
      <c r="Z85">
        <v>-3.165823164735404</v>
      </c>
      <c r="AA85">
        <v>1680</v>
      </c>
      <c r="AB85">
        <v>134602</v>
      </c>
      <c r="AC85" t="s">
        <v>1237</v>
      </c>
      <c r="AD85">
        <v>61.98</v>
      </c>
      <c r="AE85" t="s">
        <v>1461</v>
      </c>
      <c r="AF85" t="s">
        <v>1683</v>
      </c>
      <c r="AG85">
        <v>670</v>
      </c>
      <c r="AH85">
        <v>12</v>
      </c>
      <c r="AI85">
        <v>3652884</v>
      </c>
      <c r="AK85" t="b">
        <v>1</v>
      </c>
    </row>
    <row r="86" spans="1:37">
      <c r="A86" s="1" t="s">
        <v>120</v>
      </c>
      <c r="B86" t="s">
        <v>344</v>
      </c>
      <c r="C86">
        <f>HYPERLINK("https://finance.naver.com/item/coinfo.nhn?code=054930", "A054930")</f>
        <v>0</v>
      </c>
      <c r="D86">
        <f>HYPERLINK("http://comp.fnguide.com/SVO2/ASP/SVD_Consensus.asp?pGB=1&amp;gicode=A054930&amp;cID=&amp;MenuYn=Y&amp;ReportGB=&amp;NewMenuID=108&amp;stkGb=701", "유신")</f>
        <v>0</v>
      </c>
      <c r="E86">
        <v>3</v>
      </c>
      <c r="F86">
        <v>19700</v>
      </c>
      <c r="G86">
        <v>0</v>
      </c>
      <c r="H86">
        <v>6.46</v>
      </c>
      <c r="I86">
        <v>58608</v>
      </c>
      <c r="J86">
        <v>54927</v>
      </c>
      <c r="K86">
        <v>53637</v>
      </c>
      <c r="L86">
        <v>-197.5</v>
      </c>
      <c r="M86">
        <v>-178.82</v>
      </c>
      <c r="N86">
        <v>-172.27</v>
      </c>
      <c r="O86">
        <v>12.23</v>
      </c>
      <c r="P86" t="b">
        <v>0</v>
      </c>
      <c r="Q86">
        <v>0</v>
      </c>
      <c r="R86">
        <v>3507</v>
      </c>
      <c r="U86" t="s">
        <v>568</v>
      </c>
      <c r="V86" t="s">
        <v>792</v>
      </c>
      <c r="W86">
        <v>0</v>
      </c>
      <c r="X86">
        <v>-85.3</v>
      </c>
      <c r="Y86" t="s">
        <v>1015</v>
      </c>
      <c r="Z86">
        <v>-33.72638246771145</v>
      </c>
      <c r="AA86">
        <v>591</v>
      </c>
      <c r="AB86">
        <v>13544</v>
      </c>
      <c r="AC86" t="s">
        <v>1238</v>
      </c>
      <c r="AD86">
        <v>49.33</v>
      </c>
      <c r="AE86" t="s">
        <v>1462</v>
      </c>
      <c r="AF86" t="s">
        <v>1684</v>
      </c>
      <c r="AG86">
        <v>3855</v>
      </c>
      <c r="AH86">
        <v>92</v>
      </c>
      <c r="AJ86">
        <v>3.97</v>
      </c>
      <c r="AK86" t="b">
        <v>1</v>
      </c>
    </row>
    <row r="87" spans="1:37">
      <c r="A87" s="1" t="s">
        <v>121</v>
      </c>
      <c r="B87" t="s">
        <v>345</v>
      </c>
      <c r="C87">
        <f>HYPERLINK("https://finance.naver.com/item/coinfo.nhn?code=465480", "A465480")</f>
        <v>0</v>
      </c>
      <c r="D87">
        <f>HYPERLINK("http://comp.fnguide.com/SVO2/ASP/SVD_Consensus.asp?pGB=1&amp;gicode=A465480&amp;cID=&amp;MenuYn=Y&amp;ReportGB=&amp;NewMenuID=108&amp;stkGb=701", "인스피언")</f>
        <v>0</v>
      </c>
      <c r="E87">
        <v>3</v>
      </c>
      <c r="F87">
        <v>4490</v>
      </c>
      <c r="G87">
        <v>0</v>
      </c>
      <c r="H87">
        <v>20.04</v>
      </c>
      <c r="I87">
        <v>6224</v>
      </c>
      <c r="J87">
        <v>6014</v>
      </c>
      <c r="K87">
        <v>5941</v>
      </c>
      <c r="L87">
        <v>-38.62</v>
      </c>
      <c r="M87">
        <v>-33.94</v>
      </c>
      <c r="N87">
        <v>-32.31</v>
      </c>
      <c r="O87">
        <v>11.52</v>
      </c>
      <c r="P87" t="b">
        <v>1</v>
      </c>
      <c r="Q87">
        <v>0</v>
      </c>
      <c r="R87">
        <v>264</v>
      </c>
      <c r="U87" t="s">
        <v>569</v>
      </c>
      <c r="V87" t="s">
        <v>793</v>
      </c>
      <c r="W87">
        <v>0</v>
      </c>
      <c r="X87">
        <v>-7.3</v>
      </c>
      <c r="Y87" t="s">
        <v>1016</v>
      </c>
      <c r="Z87">
        <v>0</v>
      </c>
      <c r="AA87">
        <v>455</v>
      </c>
      <c r="AB87">
        <v>60573</v>
      </c>
      <c r="AC87" t="s">
        <v>1239</v>
      </c>
      <c r="AD87">
        <v>72.66</v>
      </c>
      <c r="AE87" t="s">
        <v>1463</v>
      </c>
      <c r="AF87" t="s">
        <v>1685</v>
      </c>
      <c r="AG87">
        <v>200</v>
      </c>
      <c r="AH87">
        <v>26</v>
      </c>
      <c r="AI87">
        <v>532733</v>
      </c>
      <c r="AJ87">
        <v>1.89</v>
      </c>
      <c r="AK87" t="b">
        <v>1</v>
      </c>
    </row>
    <row r="88" spans="1:37">
      <c r="A88" s="1" t="s">
        <v>122</v>
      </c>
      <c r="B88" t="s">
        <v>346</v>
      </c>
      <c r="C88">
        <f>HYPERLINK("https://finance.naver.com/item/coinfo.nhn?code=007370", "A007370")</f>
        <v>0</v>
      </c>
      <c r="D88">
        <f>HYPERLINK("http://comp.fnguide.com/SVO2/ASP/SVD_Consensus.asp?pGB=1&amp;gicode=A007370&amp;cID=&amp;MenuYn=Y&amp;ReportGB=&amp;NewMenuID=108&amp;stkGb=701", "진양제약")</f>
        <v>0</v>
      </c>
      <c r="E88">
        <v>3</v>
      </c>
      <c r="F88">
        <v>4170</v>
      </c>
      <c r="G88">
        <v>0</v>
      </c>
      <c r="H88">
        <v>3.19</v>
      </c>
      <c r="I88">
        <v>20894</v>
      </c>
      <c r="J88">
        <v>15788</v>
      </c>
      <c r="K88">
        <v>13999</v>
      </c>
      <c r="L88">
        <v>-401.05</v>
      </c>
      <c r="M88">
        <v>-278.61</v>
      </c>
      <c r="N88">
        <v>-235.7</v>
      </c>
      <c r="O88">
        <v>19.93</v>
      </c>
      <c r="P88" t="b">
        <v>0</v>
      </c>
      <c r="Q88">
        <v>0</v>
      </c>
      <c r="R88">
        <v>1577</v>
      </c>
      <c r="U88" t="s">
        <v>570</v>
      </c>
      <c r="V88" t="s">
        <v>794</v>
      </c>
      <c r="W88">
        <v>0</v>
      </c>
      <c r="X88">
        <v>-8</v>
      </c>
      <c r="Y88" t="s">
        <v>1017</v>
      </c>
      <c r="Z88">
        <v>12.80250113745502</v>
      </c>
      <c r="AA88">
        <v>589</v>
      </c>
      <c r="AB88">
        <v>27369</v>
      </c>
      <c r="AC88" t="s">
        <v>1240</v>
      </c>
      <c r="AD88">
        <v>27.56</v>
      </c>
      <c r="AE88" t="s">
        <v>1464</v>
      </c>
      <c r="AF88" t="s">
        <v>1686</v>
      </c>
      <c r="AG88">
        <v>1207</v>
      </c>
      <c r="AH88">
        <v>25</v>
      </c>
      <c r="AJ88">
        <v>2.98</v>
      </c>
      <c r="AK88" t="b">
        <v>1</v>
      </c>
    </row>
    <row r="89" spans="1:37">
      <c r="A89" s="1" t="s">
        <v>123</v>
      </c>
      <c r="B89" t="s">
        <v>347</v>
      </c>
      <c r="C89">
        <f>HYPERLINK("https://finance.naver.com/item/coinfo.nhn?code=100030", "A100030")</f>
        <v>0</v>
      </c>
      <c r="D89">
        <f>HYPERLINK("http://comp.fnguide.com/SVO2/ASP/SVD_Consensus.asp?pGB=1&amp;gicode=A100030&amp;cID=&amp;MenuYn=Y&amp;ReportGB=&amp;NewMenuID=108&amp;stkGb=701", "인지소프트")</f>
        <v>0</v>
      </c>
      <c r="E89">
        <v>3</v>
      </c>
      <c r="F89">
        <v>17020</v>
      </c>
      <c r="G89">
        <v>0</v>
      </c>
      <c r="H89">
        <v>3.07</v>
      </c>
      <c r="I89">
        <v>53647</v>
      </c>
      <c r="J89">
        <v>39787</v>
      </c>
      <c r="K89">
        <v>34930</v>
      </c>
      <c r="L89">
        <v>-215.2</v>
      </c>
      <c r="M89">
        <v>-133.77</v>
      </c>
      <c r="N89">
        <v>-105.23</v>
      </c>
      <c r="O89">
        <v>20.94</v>
      </c>
      <c r="P89" t="b">
        <v>1</v>
      </c>
      <c r="Q89">
        <v>0</v>
      </c>
      <c r="R89">
        <v>6513</v>
      </c>
      <c r="U89" t="s">
        <v>571</v>
      </c>
      <c r="V89" t="s">
        <v>795</v>
      </c>
      <c r="W89">
        <v>0</v>
      </c>
      <c r="X89">
        <v>513.5</v>
      </c>
      <c r="Y89" t="s">
        <v>1018</v>
      </c>
      <c r="Z89">
        <v>69.06223956450437</v>
      </c>
      <c r="AA89">
        <v>559</v>
      </c>
      <c r="AB89">
        <v>9675</v>
      </c>
      <c r="AC89" t="s">
        <v>1241</v>
      </c>
      <c r="AD89">
        <v>35.67</v>
      </c>
      <c r="AE89" t="s">
        <v>1465</v>
      </c>
      <c r="AF89" t="s">
        <v>1687</v>
      </c>
      <c r="AG89">
        <v>189</v>
      </c>
      <c r="AH89">
        <v>23</v>
      </c>
      <c r="AI89">
        <v>769157</v>
      </c>
      <c r="AJ89">
        <v>5.64</v>
      </c>
      <c r="AK89" t="b">
        <v>1</v>
      </c>
    </row>
    <row r="90" spans="1:37">
      <c r="A90" s="1" t="s">
        <v>124</v>
      </c>
      <c r="B90" t="s">
        <v>348</v>
      </c>
      <c r="C90">
        <f>HYPERLINK("https://finance.naver.com/item/coinfo.nhn?code=051370", "A051370")</f>
        <v>0</v>
      </c>
      <c r="D90">
        <f>HYPERLINK("http://comp.fnguide.com/SVO2/ASP/SVD_Consensus.asp?pGB=1&amp;gicode=A051370&amp;cID=&amp;MenuYn=Y&amp;ReportGB=&amp;NewMenuID=108&amp;stkGb=701", "인터플렉스")</f>
        <v>0</v>
      </c>
      <c r="E90">
        <v>3</v>
      </c>
      <c r="F90">
        <v>9350</v>
      </c>
      <c r="G90">
        <v>-0.98</v>
      </c>
      <c r="H90">
        <v>7.5</v>
      </c>
      <c r="I90">
        <v>18558</v>
      </c>
      <c r="J90">
        <v>15759</v>
      </c>
      <c r="K90">
        <v>14778</v>
      </c>
      <c r="L90">
        <v>-98.48</v>
      </c>
      <c r="M90">
        <v>-68.55</v>
      </c>
      <c r="N90">
        <v>-58.06</v>
      </c>
      <c r="O90">
        <v>15.05</v>
      </c>
      <c r="P90" t="b">
        <v>0</v>
      </c>
      <c r="Q90">
        <v>0</v>
      </c>
      <c r="R90">
        <v>1410</v>
      </c>
      <c r="S90">
        <v>922</v>
      </c>
      <c r="T90">
        <v>-34.6</v>
      </c>
      <c r="U90" t="s">
        <v>572</v>
      </c>
      <c r="V90" t="s">
        <v>796</v>
      </c>
      <c r="W90">
        <v>-7.638478100244351</v>
      </c>
      <c r="X90">
        <v>22.3</v>
      </c>
      <c r="Y90" t="s">
        <v>1019</v>
      </c>
      <c r="Z90">
        <v>0</v>
      </c>
      <c r="AA90">
        <v>2181</v>
      </c>
      <c r="AB90">
        <v>170380</v>
      </c>
      <c r="AC90" t="s">
        <v>1242</v>
      </c>
      <c r="AD90">
        <v>47.72</v>
      </c>
      <c r="AE90" t="s">
        <v>1466</v>
      </c>
      <c r="AF90" t="s">
        <v>1688</v>
      </c>
      <c r="AG90">
        <v>4680</v>
      </c>
      <c r="AH90">
        <v>286</v>
      </c>
      <c r="AK90" t="b">
        <v>1</v>
      </c>
    </row>
    <row r="91" spans="1:37">
      <c r="A91" s="1" t="s">
        <v>125</v>
      </c>
      <c r="B91" t="s">
        <v>349</v>
      </c>
      <c r="C91">
        <f>HYPERLINK("https://finance.naver.com/item/coinfo.nhn?code=071200", "A071200")</f>
        <v>0</v>
      </c>
      <c r="D91">
        <f>HYPERLINK("http://comp.fnguide.com/SVO2/ASP/SVD_Consensus.asp?pGB=1&amp;gicode=A071200&amp;cID=&amp;MenuYn=Y&amp;ReportGB=&amp;NewMenuID=108&amp;stkGb=701", "인피니트헬스케어")</f>
        <v>0</v>
      </c>
      <c r="E91">
        <v>3</v>
      </c>
      <c r="F91">
        <v>7290</v>
      </c>
      <c r="G91">
        <v>0</v>
      </c>
      <c r="H91">
        <v>5.5</v>
      </c>
      <c r="I91">
        <v>13090</v>
      </c>
      <c r="J91">
        <v>10305</v>
      </c>
      <c r="K91">
        <v>9329</v>
      </c>
      <c r="L91">
        <v>-79.56</v>
      </c>
      <c r="M91">
        <v>-41.36</v>
      </c>
      <c r="N91">
        <v>-27.97</v>
      </c>
      <c r="O91">
        <v>17.96</v>
      </c>
      <c r="P91" t="b">
        <v>1</v>
      </c>
      <c r="Q91">
        <v>0</v>
      </c>
      <c r="R91">
        <v>1082</v>
      </c>
      <c r="U91" t="s">
        <v>573</v>
      </c>
      <c r="V91" t="s">
        <v>797</v>
      </c>
      <c r="W91">
        <v>0</v>
      </c>
      <c r="Y91" t="s">
        <v>1020</v>
      </c>
      <c r="Z91">
        <v>0</v>
      </c>
      <c r="AA91">
        <v>1779</v>
      </c>
      <c r="AB91">
        <v>46784</v>
      </c>
      <c r="AC91" t="s">
        <v>1243</v>
      </c>
      <c r="AD91">
        <v>50.6</v>
      </c>
      <c r="AE91" t="s">
        <v>1467</v>
      </c>
      <c r="AF91" t="s">
        <v>1689</v>
      </c>
      <c r="AG91">
        <v>1024</v>
      </c>
      <c r="AH91">
        <v>142</v>
      </c>
      <c r="AI91">
        <v>20005</v>
      </c>
      <c r="AJ91">
        <v>3.36</v>
      </c>
      <c r="AK91" t="b">
        <v>1</v>
      </c>
    </row>
    <row r="92" spans="1:37">
      <c r="A92" s="1" t="s">
        <v>126</v>
      </c>
      <c r="B92" t="s">
        <v>350</v>
      </c>
      <c r="C92">
        <f>HYPERLINK("https://finance.naver.com/item/coinfo.nhn?code=178780", "A178780")</f>
        <v>0</v>
      </c>
      <c r="D92">
        <f>HYPERLINK("http://comp.fnguide.com/SVO2/ASP/SVD_Consensus.asp?pGB=1&amp;gicode=A178780&amp;cID=&amp;MenuYn=Y&amp;ReportGB=&amp;NewMenuID=108&amp;stkGb=701", "일월지엠엘")</f>
        <v>0</v>
      </c>
      <c r="E92">
        <v>3</v>
      </c>
      <c r="F92">
        <v>2325</v>
      </c>
      <c r="G92">
        <v>0</v>
      </c>
      <c r="H92">
        <v>9.869999999999999</v>
      </c>
      <c r="I92">
        <v>3681</v>
      </c>
      <c r="J92">
        <v>2918</v>
      </c>
      <c r="K92">
        <v>2650</v>
      </c>
      <c r="L92">
        <v>-58.34</v>
      </c>
      <c r="M92">
        <v>-25.49</v>
      </c>
      <c r="N92">
        <v>-13.98</v>
      </c>
      <c r="O92">
        <v>17.67</v>
      </c>
      <c r="P92" t="b">
        <v>1</v>
      </c>
      <c r="Q92">
        <v>0</v>
      </c>
      <c r="R92">
        <v>284</v>
      </c>
      <c r="U92" t="s">
        <v>574</v>
      </c>
      <c r="V92" t="s">
        <v>798</v>
      </c>
      <c r="W92">
        <v>0</v>
      </c>
      <c r="X92">
        <v>-7.6</v>
      </c>
      <c r="Y92" t="s">
        <v>1021</v>
      </c>
      <c r="Z92">
        <v>0</v>
      </c>
      <c r="AA92">
        <v>433</v>
      </c>
      <c r="AB92">
        <v>9340</v>
      </c>
      <c r="AC92" t="s">
        <v>1244</v>
      </c>
      <c r="AD92">
        <v>45.69</v>
      </c>
      <c r="AE92" t="s">
        <v>1468</v>
      </c>
      <c r="AF92" t="s">
        <v>1690</v>
      </c>
      <c r="AG92">
        <v>339</v>
      </c>
      <c r="AH92">
        <v>20</v>
      </c>
      <c r="AI92">
        <v>2215</v>
      </c>
      <c r="AJ92">
        <v>8.93</v>
      </c>
      <c r="AK92" t="b">
        <v>1</v>
      </c>
    </row>
    <row r="93" spans="1:37">
      <c r="A93" s="1" t="s">
        <v>127</v>
      </c>
      <c r="B93" t="s">
        <v>351</v>
      </c>
      <c r="C93">
        <f>HYPERLINK("https://finance.naver.com/item/coinfo.nhn?code=019540", "A019540")</f>
        <v>0</v>
      </c>
      <c r="D93">
        <f>HYPERLINK("http://comp.fnguide.com/SVO2/ASP/SVD_Consensus.asp?pGB=1&amp;gicode=A019540&amp;cID=&amp;MenuYn=Y&amp;ReportGB=&amp;NewMenuID=108&amp;stkGb=701", "일지테크")</f>
        <v>0</v>
      </c>
      <c r="E93">
        <v>3</v>
      </c>
      <c r="F93">
        <v>5900</v>
      </c>
      <c r="G93">
        <v>0</v>
      </c>
      <c r="H93">
        <v>1.24</v>
      </c>
      <c r="I93">
        <v>32065</v>
      </c>
      <c r="J93">
        <v>22713</v>
      </c>
      <c r="K93">
        <v>19436</v>
      </c>
      <c r="L93">
        <v>-443.48</v>
      </c>
      <c r="M93">
        <v>-284.97</v>
      </c>
      <c r="N93">
        <v>-229.42</v>
      </c>
      <c r="O93">
        <v>23.83</v>
      </c>
      <c r="P93" t="b">
        <v>1</v>
      </c>
      <c r="Q93">
        <v>0</v>
      </c>
      <c r="R93">
        <v>3380</v>
      </c>
      <c r="U93" t="s">
        <v>575</v>
      </c>
      <c r="V93" t="s">
        <v>799</v>
      </c>
      <c r="W93">
        <v>0</v>
      </c>
      <c r="X93">
        <v>103</v>
      </c>
      <c r="Y93" t="s">
        <v>1022</v>
      </c>
      <c r="Z93">
        <v>0</v>
      </c>
      <c r="AA93">
        <v>797</v>
      </c>
      <c r="AB93">
        <v>71208</v>
      </c>
      <c r="AC93" t="s">
        <v>1245</v>
      </c>
      <c r="AD93">
        <v>46.48</v>
      </c>
      <c r="AE93" t="s">
        <v>1469</v>
      </c>
      <c r="AF93" t="s">
        <v>1691</v>
      </c>
      <c r="AG93">
        <v>8551</v>
      </c>
      <c r="AH93">
        <v>480</v>
      </c>
      <c r="AI93">
        <v>300374</v>
      </c>
      <c r="AJ93">
        <v>3.58</v>
      </c>
      <c r="AK93" t="b">
        <v>1</v>
      </c>
    </row>
    <row r="94" spans="1:37">
      <c r="A94" s="1" t="s">
        <v>128</v>
      </c>
      <c r="B94" t="s">
        <v>352</v>
      </c>
      <c r="C94">
        <f>HYPERLINK("https://finance.naver.com/item/coinfo.nhn?code=950140", "A950140")</f>
        <v>0</v>
      </c>
      <c r="D94">
        <f>HYPERLINK("http://comp.fnguide.com/SVO2/ASP/SVD_Consensus.asp?pGB=1&amp;gicode=A950140&amp;cID=&amp;MenuYn=Y&amp;ReportGB=&amp;NewMenuID=108&amp;stkGb=701", "잉글우드랩")</f>
        <v>0</v>
      </c>
      <c r="E94">
        <v>3</v>
      </c>
      <c r="F94">
        <v>9090</v>
      </c>
      <c r="G94">
        <v>0</v>
      </c>
      <c r="H94">
        <v>9.02</v>
      </c>
      <c r="I94">
        <v>12613</v>
      </c>
      <c r="J94">
        <v>10306</v>
      </c>
      <c r="K94">
        <v>9498</v>
      </c>
      <c r="L94">
        <v>-38.75</v>
      </c>
      <c r="M94">
        <v>-13.38</v>
      </c>
      <c r="N94">
        <v>-4.49</v>
      </c>
      <c r="O94">
        <v>16.43</v>
      </c>
      <c r="P94" t="b">
        <v>0</v>
      </c>
      <c r="Q94">
        <v>0</v>
      </c>
      <c r="R94">
        <v>1249</v>
      </c>
      <c r="U94" t="s">
        <v>576</v>
      </c>
      <c r="V94" t="s">
        <v>800</v>
      </c>
      <c r="W94">
        <v>0</v>
      </c>
      <c r="X94">
        <v>117.7</v>
      </c>
      <c r="Y94" t="s">
        <v>1023</v>
      </c>
      <c r="Z94">
        <v>29.17831720397908</v>
      </c>
      <c r="AA94">
        <v>1806</v>
      </c>
      <c r="AB94">
        <v>16983</v>
      </c>
      <c r="AC94" t="s">
        <v>1246</v>
      </c>
      <c r="AD94">
        <v>71.75</v>
      </c>
      <c r="AE94" t="s">
        <v>1470</v>
      </c>
      <c r="AF94" t="s">
        <v>1692</v>
      </c>
      <c r="AG94">
        <v>2168</v>
      </c>
      <c r="AH94">
        <v>374</v>
      </c>
      <c r="AK94" t="b">
        <v>1</v>
      </c>
    </row>
    <row r="95" spans="1:37">
      <c r="A95" s="1" t="s">
        <v>129</v>
      </c>
      <c r="B95" t="s">
        <v>353</v>
      </c>
      <c r="C95">
        <f>HYPERLINK("https://finance.naver.com/item/coinfo.nhn?code=038010", "A038010")</f>
        <v>0</v>
      </c>
      <c r="D95">
        <f>HYPERLINK("http://comp.fnguide.com/SVO2/ASP/SVD_Consensus.asp?pGB=1&amp;gicode=A038010&amp;cID=&amp;MenuYn=Y&amp;ReportGB=&amp;NewMenuID=108&amp;stkGb=701", "제일테크노스")</f>
        <v>0</v>
      </c>
      <c r="E95">
        <v>3</v>
      </c>
      <c r="F95">
        <v>5900</v>
      </c>
      <c r="G95">
        <v>0</v>
      </c>
      <c r="H95">
        <v>5.29</v>
      </c>
      <c r="I95">
        <v>21481</v>
      </c>
      <c r="J95">
        <v>19095</v>
      </c>
      <c r="K95">
        <v>18259</v>
      </c>
      <c r="L95">
        <v>-264.09</v>
      </c>
      <c r="M95">
        <v>-223.64</v>
      </c>
      <c r="N95">
        <v>-209.47</v>
      </c>
      <c r="O95">
        <v>13.63</v>
      </c>
      <c r="P95" t="b">
        <v>1</v>
      </c>
      <c r="Q95">
        <v>0</v>
      </c>
      <c r="R95">
        <v>1104</v>
      </c>
      <c r="U95" t="s">
        <v>577</v>
      </c>
      <c r="V95" t="s">
        <v>801</v>
      </c>
      <c r="W95">
        <v>0</v>
      </c>
      <c r="X95">
        <v>154.4</v>
      </c>
      <c r="Y95" t="s">
        <v>1024</v>
      </c>
      <c r="Z95">
        <v>102.2217093440422</v>
      </c>
      <c r="AA95">
        <v>531</v>
      </c>
      <c r="AB95">
        <v>14100</v>
      </c>
      <c r="AC95" t="s">
        <v>1247</v>
      </c>
      <c r="AD95">
        <v>44.92</v>
      </c>
      <c r="AE95" t="s">
        <v>1471</v>
      </c>
      <c r="AF95" t="s">
        <v>1693</v>
      </c>
      <c r="AG95">
        <v>1336</v>
      </c>
      <c r="AH95">
        <v>71</v>
      </c>
      <c r="AI95">
        <v>684000</v>
      </c>
      <c r="AJ95">
        <v>2.05</v>
      </c>
      <c r="AK95" t="b">
        <v>1</v>
      </c>
    </row>
    <row r="96" spans="1:37">
      <c r="A96" s="1" t="s">
        <v>130</v>
      </c>
      <c r="B96" t="s">
        <v>354</v>
      </c>
      <c r="C96">
        <f>HYPERLINK("https://finance.naver.com/item/coinfo.nhn?code=337930", "A337930")</f>
        <v>0</v>
      </c>
      <c r="D96">
        <f>HYPERLINK("http://comp.fnguide.com/SVO2/ASP/SVD_Consensus.asp?pGB=1&amp;gicode=A337930&amp;cID=&amp;MenuYn=Y&amp;ReportGB=&amp;NewMenuID=108&amp;stkGb=701", "젝시믹스")</f>
        <v>0</v>
      </c>
      <c r="E96">
        <v>3</v>
      </c>
      <c r="F96">
        <v>3040</v>
      </c>
      <c r="G96">
        <v>0</v>
      </c>
      <c r="H96">
        <v>13.08</v>
      </c>
      <c r="I96">
        <v>5202</v>
      </c>
      <c r="J96">
        <v>4516</v>
      </c>
      <c r="K96">
        <v>4276</v>
      </c>
      <c r="L96">
        <v>-71.12</v>
      </c>
      <c r="M96">
        <v>-48.57</v>
      </c>
      <c r="N96">
        <v>-40.66</v>
      </c>
      <c r="O96">
        <v>14.33</v>
      </c>
      <c r="P96" t="b">
        <v>1</v>
      </c>
      <c r="Q96">
        <v>0</v>
      </c>
      <c r="R96">
        <v>395</v>
      </c>
      <c r="U96" t="s">
        <v>578</v>
      </c>
      <c r="V96" t="s">
        <v>802</v>
      </c>
      <c r="W96">
        <v>0</v>
      </c>
      <c r="X96">
        <v>1.9</v>
      </c>
      <c r="Y96" t="s">
        <v>1025</v>
      </c>
      <c r="Z96">
        <v>8.685512623327751</v>
      </c>
      <c r="AA96">
        <v>902</v>
      </c>
      <c r="AB96">
        <v>157426</v>
      </c>
      <c r="AC96" t="s">
        <v>1248</v>
      </c>
      <c r="AD96">
        <v>45.5</v>
      </c>
      <c r="AE96" t="s">
        <v>1472</v>
      </c>
      <c r="AF96" t="s">
        <v>1694</v>
      </c>
      <c r="AG96">
        <v>2741</v>
      </c>
      <c r="AH96">
        <v>173</v>
      </c>
      <c r="AJ96">
        <v>3.87</v>
      </c>
      <c r="AK96" t="b">
        <v>1</v>
      </c>
    </row>
    <row r="97" spans="1:37">
      <c r="A97" s="1" t="s">
        <v>131</v>
      </c>
      <c r="B97" t="s">
        <v>355</v>
      </c>
      <c r="C97">
        <f>HYPERLINK("https://finance.naver.com/item/coinfo.nhn?code=036890", "A036890")</f>
        <v>0</v>
      </c>
      <c r="D97">
        <f>HYPERLINK("http://comp.fnguide.com/SVO2/ASP/SVD_Consensus.asp?pGB=1&amp;gicode=A036890&amp;cID=&amp;MenuYn=Y&amp;ReportGB=&amp;NewMenuID=108&amp;stkGb=701", "진성티이씨")</f>
        <v>0</v>
      </c>
      <c r="E97">
        <v>3</v>
      </c>
      <c r="F97">
        <v>13970</v>
      </c>
      <c r="G97">
        <v>0.97</v>
      </c>
      <c r="H97">
        <v>9.24</v>
      </c>
      <c r="I97">
        <v>14716</v>
      </c>
      <c r="J97">
        <v>14709</v>
      </c>
      <c r="K97">
        <v>14707</v>
      </c>
      <c r="L97">
        <v>-5.34</v>
      </c>
      <c r="M97">
        <v>-5.29</v>
      </c>
      <c r="N97">
        <v>-5.27</v>
      </c>
      <c r="O97">
        <v>10.8</v>
      </c>
      <c r="P97" t="b">
        <v>1</v>
      </c>
      <c r="Q97">
        <v>2</v>
      </c>
      <c r="R97">
        <v>1461</v>
      </c>
      <c r="S97">
        <v>1659</v>
      </c>
      <c r="T97">
        <v>13.6</v>
      </c>
      <c r="U97" t="s">
        <v>579</v>
      </c>
      <c r="V97" t="s">
        <v>803</v>
      </c>
      <c r="W97">
        <v>9.495757527645265</v>
      </c>
      <c r="X97">
        <v>114.8</v>
      </c>
      <c r="Y97" t="s">
        <v>1026</v>
      </c>
      <c r="Z97">
        <v>32.81271972751445</v>
      </c>
      <c r="AA97">
        <v>3078</v>
      </c>
      <c r="AB97">
        <v>99926</v>
      </c>
      <c r="AC97" t="s">
        <v>1249</v>
      </c>
      <c r="AD97">
        <v>37.28</v>
      </c>
      <c r="AE97" t="s">
        <v>1473</v>
      </c>
      <c r="AF97" t="s">
        <v>1695</v>
      </c>
      <c r="AG97">
        <v>4638</v>
      </c>
      <c r="AH97">
        <v>479</v>
      </c>
      <c r="AI97">
        <v>1798343</v>
      </c>
      <c r="AJ97">
        <v>2.44</v>
      </c>
      <c r="AK97" t="b">
        <v>1</v>
      </c>
    </row>
    <row r="98" spans="1:37">
      <c r="A98" s="1" t="s">
        <v>132</v>
      </c>
      <c r="B98" t="s">
        <v>356</v>
      </c>
      <c r="C98">
        <f>HYPERLINK("https://finance.naver.com/item/coinfo.nhn?code=005710", "A005710")</f>
        <v>0</v>
      </c>
      <c r="D98">
        <f>HYPERLINK("http://comp.fnguide.com/SVO2/ASP/SVD_Consensus.asp?pGB=1&amp;gicode=A005710&amp;cID=&amp;MenuYn=Y&amp;ReportGB=&amp;NewMenuID=108&amp;stkGb=701", "대원산업")</f>
        <v>0</v>
      </c>
      <c r="E98">
        <v>3</v>
      </c>
      <c r="F98">
        <v>10230</v>
      </c>
      <c r="G98">
        <v>0</v>
      </c>
      <c r="H98">
        <v>3.69</v>
      </c>
      <c r="I98">
        <v>36330</v>
      </c>
      <c r="J98">
        <v>32514</v>
      </c>
      <c r="K98">
        <v>31177</v>
      </c>
      <c r="L98">
        <v>-255.13</v>
      </c>
      <c r="M98">
        <v>-217.83</v>
      </c>
      <c r="N98">
        <v>-204.76</v>
      </c>
      <c r="O98">
        <v>13.44</v>
      </c>
      <c r="P98" t="b">
        <v>1</v>
      </c>
      <c r="Q98">
        <v>0</v>
      </c>
      <c r="R98">
        <v>3836</v>
      </c>
      <c r="U98" t="s">
        <v>580</v>
      </c>
      <c r="V98" t="s">
        <v>804</v>
      </c>
      <c r="W98">
        <v>0</v>
      </c>
      <c r="X98">
        <v>-23.9</v>
      </c>
      <c r="Y98" t="s">
        <v>1027</v>
      </c>
      <c r="Z98">
        <v>12.31394309999496</v>
      </c>
      <c r="AA98">
        <v>2050</v>
      </c>
      <c r="AB98">
        <v>10342</v>
      </c>
      <c r="AC98" t="s">
        <v>1250</v>
      </c>
      <c r="AD98">
        <v>62.95</v>
      </c>
      <c r="AE98" t="s">
        <v>1474</v>
      </c>
      <c r="AF98" t="s">
        <v>1696</v>
      </c>
      <c r="AG98">
        <v>10589</v>
      </c>
      <c r="AH98">
        <v>708</v>
      </c>
      <c r="AJ98">
        <v>1.77</v>
      </c>
      <c r="AK98" t="b">
        <v>1</v>
      </c>
    </row>
    <row r="99" spans="1:37">
      <c r="A99" s="1" t="s">
        <v>133</v>
      </c>
      <c r="B99" t="s">
        <v>357</v>
      </c>
      <c r="C99">
        <f>HYPERLINK("https://finance.naver.com/item/coinfo.nhn?code=037440", "A037440")</f>
        <v>0</v>
      </c>
      <c r="D99">
        <f>HYPERLINK("http://comp.fnguide.com/SVO2/ASP/SVD_Consensus.asp?pGB=1&amp;gicode=A037440&amp;cID=&amp;MenuYn=Y&amp;ReportGB=&amp;NewMenuID=108&amp;stkGb=701", "희림")</f>
        <v>0</v>
      </c>
      <c r="E99">
        <v>3</v>
      </c>
      <c r="F99">
        <v>5000</v>
      </c>
      <c r="G99">
        <v>2.17</v>
      </c>
      <c r="H99">
        <v>8.220000000000001</v>
      </c>
      <c r="I99">
        <v>7390</v>
      </c>
      <c r="J99">
        <v>7062</v>
      </c>
      <c r="K99">
        <v>6947</v>
      </c>
      <c r="L99">
        <v>-47.8</v>
      </c>
      <c r="M99">
        <v>-41.24</v>
      </c>
      <c r="N99">
        <v>-38.94</v>
      </c>
      <c r="O99">
        <v>11.77</v>
      </c>
      <c r="P99" t="b">
        <v>0</v>
      </c>
      <c r="Q99">
        <v>0</v>
      </c>
      <c r="R99">
        <v>561</v>
      </c>
      <c r="S99">
        <v>496</v>
      </c>
      <c r="T99">
        <v>-11.6</v>
      </c>
      <c r="U99" t="s">
        <v>581</v>
      </c>
      <c r="V99" t="s">
        <v>805</v>
      </c>
      <c r="W99">
        <v>3.781029669670066</v>
      </c>
      <c r="X99">
        <v>-66.3</v>
      </c>
      <c r="Y99" t="s">
        <v>1028</v>
      </c>
      <c r="Z99">
        <v>-15.70211226043352</v>
      </c>
      <c r="AA99">
        <v>696</v>
      </c>
      <c r="AB99">
        <v>229685</v>
      </c>
      <c r="AC99" t="s">
        <v>1251</v>
      </c>
      <c r="AD99">
        <v>19.27</v>
      </c>
      <c r="AE99" t="s">
        <v>1475</v>
      </c>
      <c r="AF99" t="s">
        <v>1697</v>
      </c>
      <c r="AG99">
        <v>2319</v>
      </c>
      <c r="AH99">
        <v>91</v>
      </c>
      <c r="AI99">
        <v>1006555</v>
      </c>
      <c r="AJ99">
        <v>2.17</v>
      </c>
      <c r="AK99" t="b">
        <v>1</v>
      </c>
    </row>
    <row r="100" spans="1:37">
      <c r="A100" s="1" t="s">
        <v>134</v>
      </c>
      <c r="B100" t="s">
        <v>358</v>
      </c>
      <c r="C100">
        <f>HYPERLINK("https://finance.naver.com/item/coinfo.nhn?code=032190", "A032190")</f>
        <v>0</v>
      </c>
      <c r="D100">
        <f>HYPERLINK("http://comp.fnguide.com/SVO2/ASP/SVD_Consensus.asp?pGB=1&amp;gicode=A032190&amp;cID=&amp;MenuYn=Y&amp;ReportGB=&amp;NewMenuID=108&amp;stkGb=701", "다우데이타")</f>
        <v>0</v>
      </c>
      <c r="E100">
        <v>3</v>
      </c>
      <c r="F100">
        <v>19330</v>
      </c>
      <c r="G100">
        <v>0</v>
      </c>
      <c r="H100">
        <v>3.22</v>
      </c>
      <c r="I100">
        <v>49159</v>
      </c>
      <c r="J100">
        <v>45369</v>
      </c>
      <c r="K100">
        <v>44041</v>
      </c>
      <c r="L100">
        <v>-154.31</v>
      </c>
      <c r="M100">
        <v>-134.71</v>
      </c>
      <c r="N100">
        <v>-127.84</v>
      </c>
      <c r="O100">
        <v>12.62</v>
      </c>
      <c r="P100" t="b">
        <v>1</v>
      </c>
      <c r="Q100">
        <v>0</v>
      </c>
      <c r="R100">
        <v>5713</v>
      </c>
      <c r="U100" t="s">
        <v>582</v>
      </c>
      <c r="V100" t="s">
        <v>806</v>
      </c>
      <c r="W100">
        <v>0</v>
      </c>
      <c r="X100">
        <v>82.40000000000001</v>
      </c>
      <c r="Y100" t="s">
        <v>1029</v>
      </c>
      <c r="Z100">
        <v>22.11850701721445</v>
      </c>
      <c r="AA100">
        <v>7403</v>
      </c>
      <c r="AB100">
        <v>113349</v>
      </c>
      <c r="AC100" t="s">
        <v>1252</v>
      </c>
      <c r="AD100">
        <v>63.29</v>
      </c>
      <c r="AE100" t="s">
        <v>1476</v>
      </c>
      <c r="AF100" t="s">
        <v>1698</v>
      </c>
      <c r="AG100">
        <v>180520</v>
      </c>
      <c r="AH100">
        <v>15999</v>
      </c>
      <c r="AJ100">
        <v>2.99</v>
      </c>
      <c r="AK100" t="b">
        <v>1</v>
      </c>
    </row>
    <row r="101" spans="1:37">
      <c r="A101" s="1" t="s">
        <v>135</v>
      </c>
      <c r="B101" t="s">
        <v>359</v>
      </c>
      <c r="C101">
        <f>HYPERLINK("https://finance.naver.com/item/coinfo.nhn?code=071320", "A071320")</f>
        <v>0</v>
      </c>
      <c r="D101">
        <f>HYPERLINK("http://comp.fnguide.com/SVO2/ASP/SVD_Consensus.asp?pGB=1&amp;gicode=A071320&amp;cID=&amp;MenuYn=Y&amp;ReportGB=&amp;NewMenuID=108&amp;stkGb=701", "지역난방공사")</f>
        <v>0</v>
      </c>
      <c r="E101">
        <v>3</v>
      </c>
      <c r="F101">
        <v>68300</v>
      </c>
      <c r="G101">
        <v>0.63</v>
      </c>
      <c r="H101">
        <v>3.29</v>
      </c>
      <c r="I101">
        <v>228572</v>
      </c>
      <c r="J101">
        <v>212685</v>
      </c>
      <c r="K101">
        <v>207118</v>
      </c>
      <c r="L101">
        <v>-234.66</v>
      </c>
      <c r="M101">
        <v>-211.4</v>
      </c>
      <c r="N101">
        <v>-203.25</v>
      </c>
      <c r="O101">
        <v>12.41</v>
      </c>
      <c r="P101" t="b">
        <v>1</v>
      </c>
      <c r="Q101">
        <v>0</v>
      </c>
      <c r="R101">
        <v>29268</v>
      </c>
      <c r="S101">
        <v>20089</v>
      </c>
      <c r="T101">
        <v>-31.4</v>
      </c>
      <c r="U101" t="s">
        <v>583</v>
      </c>
      <c r="V101" t="s">
        <v>807</v>
      </c>
      <c r="W101">
        <v>5.23896978947147</v>
      </c>
      <c r="X101">
        <v>-7.4</v>
      </c>
      <c r="Y101" t="s">
        <v>1030</v>
      </c>
      <c r="Z101">
        <v>0</v>
      </c>
      <c r="AA101">
        <v>7908</v>
      </c>
      <c r="AB101">
        <v>9005</v>
      </c>
      <c r="AC101" t="s">
        <v>1253</v>
      </c>
      <c r="AD101">
        <v>64.63</v>
      </c>
      <c r="AE101" t="s">
        <v>1477</v>
      </c>
      <c r="AF101" t="s">
        <v>1699</v>
      </c>
      <c r="AG101">
        <v>39982</v>
      </c>
      <c r="AH101">
        <v>5296</v>
      </c>
      <c r="AJ101">
        <v>6.39</v>
      </c>
      <c r="AK101" t="b">
        <v>1</v>
      </c>
    </row>
    <row r="102" spans="1:37">
      <c r="A102" s="1" t="s">
        <v>136</v>
      </c>
      <c r="B102" t="s">
        <v>360</v>
      </c>
      <c r="C102">
        <f>HYPERLINK("https://finance.naver.com/item/coinfo.nhn?code=009970", "A009970")</f>
        <v>0</v>
      </c>
      <c r="D102">
        <f>HYPERLINK("http://comp.fnguide.com/SVO2/ASP/SVD_Consensus.asp?pGB=1&amp;gicode=A009970&amp;cID=&amp;MenuYn=Y&amp;ReportGB=&amp;NewMenuID=108&amp;stkGb=701", "영원무역홀딩스")</f>
        <v>0</v>
      </c>
      <c r="E102">
        <v>3</v>
      </c>
      <c r="F102">
        <v>186000</v>
      </c>
      <c r="G102">
        <v>0</v>
      </c>
      <c r="H102">
        <v>7.06</v>
      </c>
      <c r="I102">
        <v>344099</v>
      </c>
      <c r="J102">
        <v>306016</v>
      </c>
      <c r="K102">
        <v>292670</v>
      </c>
      <c r="L102">
        <v>-85</v>
      </c>
      <c r="M102">
        <v>-64.52</v>
      </c>
      <c r="N102">
        <v>-57.35</v>
      </c>
      <c r="O102">
        <v>13.62</v>
      </c>
      <c r="P102" t="b">
        <v>1</v>
      </c>
      <c r="Q102">
        <v>0</v>
      </c>
      <c r="R102">
        <v>27133</v>
      </c>
      <c r="U102" t="s">
        <v>584</v>
      </c>
      <c r="V102" t="s">
        <v>808</v>
      </c>
      <c r="W102">
        <v>0</v>
      </c>
      <c r="X102">
        <v>40.4</v>
      </c>
      <c r="Y102" t="s">
        <v>1031</v>
      </c>
      <c r="Z102">
        <v>18.65273923852675</v>
      </c>
      <c r="AA102">
        <v>25109</v>
      </c>
      <c r="AB102">
        <v>15850</v>
      </c>
      <c r="AC102" t="s">
        <v>1254</v>
      </c>
      <c r="AD102">
        <v>46.75</v>
      </c>
      <c r="AE102" t="s">
        <v>1478</v>
      </c>
      <c r="AF102" t="s">
        <v>1700</v>
      </c>
      <c r="AG102">
        <v>48950</v>
      </c>
      <c r="AH102">
        <v>7355</v>
      </c>
      <c r="AI102">
        <v>1894339</v>
      </c>
      <c r="AJ102">
        <v>3.43</v>
      </c>
      <c r="AK102" t="b">
        <v>1</v>
      </c>
    </row>
    <row r="103" spans="1:37">
      <c r="A103" s="1" t="s">
        <v>137</v>
      </c>
      <c r="B103" t="s">
        <v>361</v>
      </c>
      <c r="C103">
        <f>HYPERLINK("https://finance.naver.com/item/coinfo.nhn?code=012280", "A012280")</f>
        <v>0</v>
      </c>
      <c r="D103">
        <f>HYPERLINK("http://comp.fnguide.com/SVO2/ASP/SVD_Consensus.asp?pGB=1&amp;gicode=A012280&amp;cID=&amp;MenuYn=Y&amp;ReportGB=&amp;NewMenuID=108&amp;stkGb=701", "영화금속")</f>
        <v>0</v>
      </c>
      <c r="E103">
        <v>3</v>
      </c>
      <c r="F103">
        <v>855</v>
      </c>
      <c r="G103">
        <v>0</v>
      </c>
      <c r="H103">
        <v>4.04</v>
      </c>
      <c r="I103">
        <v>2161</v>
      </c>
      <c r="J103">
        <v>1903</v>
      </c>
      <c r="K103">
        <v>1813</v>
      </c>
      <c r="L103">
        <v>-152.79</v>
      </c>
      <c r="M103">
        <v>-122.61</v>
      </c>
      <c r="N103">
        <v>-112.03</v>
      </c>
      <c r="O103">
        <v>13.91</v>
      </c>
      <c r="P103" t="b">
        <v>1</v>
      </c>
      <c r="Q103">
        <v>0</v>
      </c>
      <c r="R103">
        <v>235</v>
      </c>
      <c r="U103" t="s">
        <v>585</v>
      </c>
      <c r="V103" t="s">
        <v>809</v>
      </c>
      <c r="W103">
        <v>0</v>
      </c>
      <c r="X103">
        <v>33.1</v>
      </c>
      <c r="Y103" t="s">
        <v>1032</v>
      </c>
      <c r="Z103">
        <v>0</v>
      </c>
      <c r="AA103">
        <v>423</v>
      </c>
      <c r="AB103">
        <v>117341</v>
      </c>
      <c r="AC103" t="s">
        <v>1255</v>
      </c>
      <c r="AD103">
        <v>27.17</v>
      </c>
      <c r="AE103" t="s">
        <v>1479</v>
      </c>
      <c r="AF103" t="s">
        <v>1701</v>
      </c>
      <c r="AG103">
        <v>3514</v>
      </c>
      <c r="AH103">
        <v>152</v>
      </c>
      <c r="AI103">
        <v>930000</v>
      </c>
      <c r="AJ103">
        <v>3.68</v>
      </c>
      <c r="AK103" t="b">
        <v>1</v>
      </c>
    </row>
    <row r="104" spans="1:37">
      <c r="A104" s="1" t="s">
        <v>138</v>
      </c>
      <c r="B104" t="s">
        <v>362</v>
      </c>
      <c r="C104">
        <f>HYPERLINK("https://finance.naver.com/item/coinfo.nhn?code=017370", "A017370")</f>
        <v>0</v>
      </c>
      <c r="D104">
        <f>HYPERLINK("http://comp.fnguide.com/SVO2/ASP/SVD_Consensus.asp?pGB=1&amp;gicode=A017370&amp;cID=&amp;MenuYn=Y&amp;ReportGB=&amp;NewMenuID=108&amp;stkGb=701", "우신시스템")</f>
        <v>0</v>
      </c>
      <c r="E104">
        <v>3</v>
      </c>
      <c r="F104">
        <v>4370</v>
      </c>
      <c r="G104">
        <v>0.21</v>
      </c>
      <c r="H104">
        <v>7.57</v>
      </c>
      <c r="I104">
        <v>16737</v>
      </c>
      <c r="J104">
        <v>13658</v>
      </c>
      <c r="K104">
        <v>12579</v>
      </c>
      <c r="L104">
        <v>-282.99</v>
      </c>
      <c r="M104">
        <v>-212.54</v>
      </c>
      <c r="N104">
        <v>-187.85</v>
      </c>
      <c r="O104">
        <v>16.48</v>
      </c>
      <c r="P104" t="b">
        <v>1</v>
      </c>
      <c r="Q104">
        <v>1</v>
      </c>
      <c r="R104">
        <v>819</v>
      </c>
      <c r="S104">
        <v>1005</v>
      </c>
      <c r="T104">
        <v>22.7</v>
      </c>
      <c r="U104" t="s">
        <v>586</v>
      </c>
      <c r="V104" t="s">
        <v>810</v>
      </c>
      <c r="W104">
        <v>35.22141454527548</v>
      </c>
      <c r="X104">
        <v>-74.7</v>
      </c>
      <c r="Y104" t="s">
        <v>1033</v>
      </c>
      <c r="Z104">
        <v>0</v>
      </c>
      <c r="AA104">
        <v>800</v>
      </c>
      <c r="AB104">
        <v>35685</v>
      </c>
      <c r="AC104" t="s">
        <v>1256</v>
      </c>
      <c r="AD104">
        <v>36.69</v>
      </c>
      <c r="AE104" t="s">
        <v>1480</v>
      </c>
      <c r="AF104" t="s">
        <v>1702</v>
      </c>
      <c r="AG104">
        <v>3886</v>
      </c>
      <c r="AH104">
        <v>209</v>
      </c>
      <c r="AI104">
        <v>3112273</v>
      </c>
      <c r="AJ104">
        <v>0.48</v>
      </c>
      <c r="AK104" t="b">
        <v>1</v>
      </c>
    </row>
    <row r="105" spans="1:37">
      <c r="A105" s="1" t="s">
        <v>139</v>
      </c>
      <c r="B105" t="s">
        <v>363</v>
      </c>
      <c r="C105">
        <f>HYPERLINK("https://finance.naver.com/item/coinfo.nhn?code=016880", "A016880")</f>
        <v>0</v>
      </c>
      <c r="D105">
        <f>HYPERLINK("http://comp.fnguide.com/SVO2/ASP/SVD_Consensus.asp?pGB=1&amp;gicode=A016880&amp;cID=&amp;MenuYn=Y&amp;ReportGB=&amp;NewMenuID=108&amp;stkGb=701", "웅진")</f>
        <v>0</v>
      </c>
      <c r="E105">
        <v>3</v>
      </c>
      <c r="F105">
        <v>2070</v>
      </c>
      <c r="G105">
        <v>0</v>
      </c>
      <c r="H105">
        <v>1.55</v>
      </c>
      <c r="I105">
        <v>10495</v>
      </c>
      <c r="J105">
        <v>6110</v>
      </c>
      <c r="K105">
        <v>4574</v>
      </c>
      <c r="L105">
        <v>-407.01</v>
      </c>
      <c r="M105">
        <v>-195.19</v>
      </c>
      <c r="N105">
        <v>-120.96</v>
      </c>
      <c r="O105">
        <v>49.95</v>
      </c>
      <c r="P105" t="b">
        <v>1</v>
      </c>
      <c r="Q105">
        <v>0</v>
      </c>
      <c r="R105">
        <v>1511</v>
      </c>
      <c r="U105" t="s">
        <v>587</v>
      </c>
      <c r="V105" t="s">
        <v>811</v>
      </c>
      <c r="W105">
        <v>0</v>
      </c>
      <c r="X105">
        <v>-90.8</v>
      </c>
      <c r="Y105" t="s">
        <v>1034</v>
      </c>
      <c r="Z105">
        <v>0</v>
      </c>
      <c r="AA105">
        <v>1654</v>
      </c>
      <c r="AB105">
        <v>490929</v>
      </c>
      <c r="AC105" t="s">
        <v>1257</v>
      </c>
      <c r="AD105">
        <v>30.18</v>
      </c>
      <c r="AE105" t="s">
        <v>1481</v>
      </c>
      <c r="AF105" t="s">
        <v>1703</v>
      </c>
      <c r="AG105">
        <v>11507</v>
      </c>
      <c r="AH105">
        <v>781</v>
      </c>
      <c r="AI105">
        <v>1464509</v>
      </c>
      <c r="AK105" t="b">
        <v>1</v>
      </c>
    </row>
    <row r="106" spans="1:37">
      <c r="A106" s="1" t="s">
        <v>140</v>
      </c>
      <c r="B106" t="s">
        <v>364</v>
      </c>
      <c r="C106">
        <f>HYPERLINK("https://finance.naver.com/item/coinfo.nhn?code=194370", "A194370")</f>
        <v>0</v>
      </c>
      <c r="D106">
        <f>HYPERLINK("http://comp.fnguide.com/SVO2/ASP/SVD_Consensus.asp?pGB=1&amp;gicode=A194370&amp;cID=&amp;MenuYn=Y&amp;ReportGB=&amp;NewMenuID=108&amp;stkGb=701", "제이에스코퍼레이션")</f>
        <v>0</v>
      </c>
      <c r="E106">
        <v>3</v>
      </c>
      <c r="F106">
        <v>10400</v>
      </c>
      <c r="G106">
        <v>-0.98</v>
      </c>
      <c r="H106">
        <v>4.86</v>
      </c>
      <c r="I106">
        <v>36068</v>
      </c>
      <c r="J106">
        <v>26533</v>
      </c>
      <c r="K106">
        <v>23192</v>
      </c>
      <c r="L106">
        <v>-246.81</v>
      </c>
      <c r="M106">
        <v>-155.13</v>
      </c>
      <c r="N106">
        <v>-123</v>
      </c>
      <c r="O106">
        <v>21.41</v>
      </c>
      <c r="P106" t="b">
        <v>1</v>
      </c>
      <c r="Q106">
        <v>1</v>
      </c>
      <c r="R106">
        <v>2638</v>
      </c>
      <c r="S106">
        <v>3536</v>
      </c>
      <c r="T106">
        <v>34</v>
      </c>
      <c r="U106" t="s">
        <v>588</v>
      </c>
      <c r="V106" t="s">
        <v>812</v>
      </c>
      <c r="W106">
        <v>-4.943962885357611</v>
      </c>
      <c r="X106">
        <v>-3</v>
      </c>
      <c r="Y106" t="s">
        <v>1035</v>
      </c>
      <c r="Z106">
        <v>7.164541059792895</v>
      </c>
      <c r="AA106">
        <v>3018</v>
      </c>
      <c r="AB106">
        <v>128174</v>
      </c>
      <c r="AC106" t="s">
        <v>1258</v>
      </c>
      <c r="AD106">
        <v>56.18</v>
      </c>
      <c r="AE106" t="s">
        <v>1482</v>
      </c>
      <c r="AF106" t="s">
        <v>1704</v>
      </c>
      <c r="AG106">
        <v>12882</v>
      </c>
      <c r="AH106">
        <v>1405</v>
      </c>
      <c r="AJ106">
        <v>4.68</v>
      </c>
      <c r="AK106" t="b">
        <v>1</v>
      </c>
    </row>
    <row r="107" spans="1:37">
      <c r="A107" s="1" t="s">
        <v>141</v>
      </c>
      <c r="B107" t="s">
        <v>365</v>
      </c>
      <c r="C107">
        <f>HYPERLINK("https://finance.naver.com/item/coinfo.nhn?code=085670", "A085670")</f>
        <v>0</v>
      </c>
      <c r="D107">
        <f>HYPERLINK("http://comp.fnguide.com/SVO2/ASP/SVD_Consensus.asp?pGB=1&amp;gicode=A085670&amp;cID=&amp;MenuYn=Y&amp;ReportGB=&amp;NewMenuID=108&amp;stkGb=701", "뉴프렉스")</f>
        <v>0</v>
      </c>
      <c r="E107">
        <v>3</v>
      </c>
      <c r="F107">
        <v>4235</v>
      </c>
      <c r="G107">
        <v>0</v>
      </c>
      <c r="H107">
        <v>13.82</v>
      </c>
      <c r="I107">
        <v>4906</v>
      </c>
      <c r="J107">
        <v>4649</v>
      </c>
      <c r="K107">
        <v>4560</v>
      </c>
      <c r="L107">
        <v>-15.85</v>
      </c>
      <c r="M107">
        <v>-9.789999999999999</v>
      </c>
      <c r="N107">
        <v>-7.66</v>
      </c>
      <c r="O107">
        <v>11.96</v>
      </c>
      <c r="P107" t="b">
        <v>0</v>
      </c>
      <c r="Q107">
        <v>0</v>
      </c>
      <c r="R107">
        <v>360</v>
      </c>
      <c r="U107" t="s">
        <v>589</v>
      </c>
      <c r="V107" t="s">
        <v>813</v>
      </c>
      <c r="W107">
        <v>0</v>
      </c>
      <c r="X107">
        <v>98.40000000000001</v>
      </c>
      <c r="Y107" t="s">
        <v>1036</v>
      </c>
      <c r="Z107">
        <v>48.2776316736576</v>
      </c>
      <c r="AA107">
        <v>1038</v>
      </c>
      <c r="AB107">
        <v>284033</v>
      </c>
      <c r="AC107" t="s">
        <v>1259</v>
      </c>
      <c r="AD107">
        <v>31.43</v>
      </c>
      <c r="AE107" t="s">
        <v>1483</v>
      </c>
      <c r="AF107" t="s">
        <v>1705</v>
      </c>
      <c r="AG107">
        <v>1541</v>
      </c>
      <c r="AH107">
        <v>92</v>
      </c>
      <c r="AI107">
        <v>477</v>
      </c>
      <c r="AJ107">
        <v>2.01</v>
      </c>
      <c r="AK107" t="b">
        <v>1</v>
      </c>
    </row>
    <row r="108" spans="1:37">
      <c r="A108" s="1" t="s">
        <v>142</v>
      </c>
      <c r="B108" t="s">
        <v>366</v>
      </c>
      <c r="C108">
        <f>HYPERLINK("https://finance.naver.com/item/coinfo.nhn?code=185750", "A185750")</f>
        <v>0</v>
      </c>
      <c r="D108">
        <f>HYPERLINK("http://comp.fnguide.com/SVO2/ASP/SVD_Consensus.asp?pGB=1&amp;gicode=A185750&amp;cID=&amp;MenuYn=Y&amp;ReportGB=&amp;NewMenuID=108&amp;stkGb=701", "종근당")</f>
        <v>0</v>
      </c>
      <c r="E108">
        <v>3</v>
      </c>
      <c r="F108">
        <v>74400</v>
      </c>
      <c r="G108">
        <v>-0.44</v>
      </c>
      <c r="H108">
        <v>14.76</v>
      </c>
      <c r="I108">
        <v>93658</v>
      </c>
      <c r="J108">
        <v>84346</v>
      </c>
      <c r="K108">
        <v>81083</v>
      </c>
      <c r="L108">
        <v>-25.89</v>
      </c>
      <c r="M108">
        <v>-13.37</v>
      </c>
      <c r="N108">
        <v>-8.98</v>
      </c>
      <c r="O108">
        <v>13.27</v>
      </c>
      <c r="P108" t="b">
        <v>1</v>
      </c>
      <c r="Q108">
        <v>0</v>
      </c>
      <c r="R108">
        <v>5615</v>
      </c>
      <c r="S108">
        <v>4564</v>
      </c>
      <c r="T108">
        <v>-18.7</v>
      </c>
      <c r="U108" t="s">
        <v>590</v>
      </c>
      <c r="V108" t="s">
        <v>814</v>
      </c>
      <c r="W108">
        <v>-33.31535597877047</v>
      </c>
      <c r="X108">
        <v>8.800000000000001</v>
      </c>
      <c r="Y108" t="s">
        <v>1037</v>
      </c>
      <c r="Z108">
        <v>14.56999038607076</v>
      </c>
      <c r="AA108">
        <v>10269</v>
      </c>
      <c r="AB108">
        <v>27982</v>
      </c>
      <c r="AC108" t="s">
        <v>1260</v>
      </c>
      <c r="AD108">
        <v>40.15</v>
      </c>
      <c r="AE108" t="s">
        <v>1484</v>
      </c>
      <c r="AF108" t="s">
        <v>1706</v>
      </c>
      <c r="AG108">
        <v>16924</v>
      </c>
      <c r="AH108">
        <v>806</v>
      </c>
      <c r="AI108">
        <v>626712</v>
      </c>
      <c r="AJ108">
        <v>0.6</v>
      </c>
      <c r="AK108" t="b">
        <v>1</v>
      </c>
    </row>
    <row r="109" spans="1:37">
      <c r="A109" s="1" t="s">
        <v>143</v>
      </c>
      <c r="B109" t="s">
        <v>367</v>
      </c>
      <c r="C109">
        <f>HYPERLINK("https://finance.naver.com/item/coinfo.nhn?code=007980", "A007980")</f>
        <v>0</v>
      </c>
      <c r="D109">
        <f>HYPERLINK("http://comp.fnguide.com/SVO2/ASP/SVD_Consensus.asp?pGB=1&amp;gicode=A007980&amp;cID=&amp;MenuYn=Y&amp;ReportGB=&amp;NewMenuID=108&amp;stkGb=701", "TP")</f>
        <v>0</v>
      </c>
      <c r="E109">
        <v>3</v>
      </c>
      <c r="F109">
        <v>1737</v>
      </c>
      <c r="G109">
        <v>0</v>
      </c>
      <c r="H109">
        <v>2.52</v>
      </c>
      <c r="I109">
        <v>6472</v>
      </c>
      <c r="J109">
        <v>6388</v>
      </c>
      <c r="K109">
        <v>6359</v>
      </c>
      <c r="L109">
        <v>-272.58</v>
      </c>
      <c r="M109">
        <v>-267.79</v>
      </c>
      <c r="N109">
        <v>-266.11</v>
      </c>
      <c r="O109">
        <v>11.06</v>
      </c>
      <c r="P109" t="b">
        <v>1</v>
      </c>
      <c r="Q109">
        <v>0</v>
      </c>
      <c r="R109">
        <v>747</v>
      </c>
      <c r="U109" t="s">
        <v>591</v>
      </c>
      <c r="V109" t="s">
        <v>815</v>
      </c>
      <c r="W109">
        <v>0</v>
      </c>
      <c r="X109">
        <v>44.1</v>
      </c>
      <c r="Y109" t="s">
        <v>1038</v>
      </c>
      <c r="Z109">
        <v>0</v>
      </c>
      <c r="AA109">
        <v>815</v>
      </c>
      <c r="AB109">
        <v>259396</v>
      </c>
      <c r="AC109" t="s">
        <v>1261</v>
      </c>
      <c r="AD109">
        <v>33.25</v>
      </c>
      <c r="AE109" t="s">
        <v>1485</v>
      </c>
      <c r="AF109" t="s">
        <v>1707</v>
      </c>
      <c r="AG109">
        <v>10290</v>
      </c>
      <c r="AH109">
        <v>620</v>
      </c>
      <c r="AI109">
        <v>1834070</v>
      </c>
      <c r="AJ109">
        <v>3.98</v>
      </c>
      <c r="AK109" t="b">
        <v>1</v>
      </c>
    </row>
    <row r="110" spans="1:37">
      <c r="A110" s="1" t="s">
        <v>144</v>
      </c>
      <c r="B110" t="s">
        <v>368</v>
      </c>
      <c r="C110">
        <f>HYPERLINK("https://finance.naver.com/item/coinfo.nhn?code=003780", "A003780")</f>
        <v>0</v>
      </c>
      <c r="D110">
        <f>HYPERLINK("http://comp.fnguide.com/SVO2/ASP/SVD_Consensus.asp?pGB=1&amp;gicode=A003780&amp;cID=&amp;MenuYn=Y&amp;ReportGB=&amp;NewMenuID=108&amp;stkGb=701", "진양산업")</f>
        <v>0</v>
      </c>
      <c r="E110">
        <v>3</v>
      </c>
      <c r="F110">
        <v>4785</v>
      </c>
      <c r="G110">
        <v>0</v>
      </c>
      <c r="H110">
        <v>12.61</v>
      </c>
      <c r="I110">
        <v>6419</v>
      </c>
      <c r="J110">
        <v>5749</v>
      </c>
      <c r="K110">
        <v>5514</v>
      </c>
      <c r="L110">
        <v>-34.14</v>
      </c>
      <c r="M110">
        <v>-20.14</v>
      </c>
      <c r="N110">
        <v>-15.24</v>
      </c>
      <c r="O110">
        <v>13.42</v>
      </c>
      <c r="P110" t="b">
        <v>0</v>
      </c>
      <c r="Q110">
        <v>0</v>
      </c>
      <c r="R110">
        <v>534</v>
      </c>
      <c r="U110" t="s">
        <v>592</v>
      </c>
      <c r="V110" t="s">
        <v>816</v>
      </c>
      <c r="W110">
        <v>0</v>
      </c>
      <c r="X110">
        <v>-9.4</v>
      </c>
      <c r="Y110" t="s">
        <v>1039</v>
      </c>
      <c r="Z110">
        <v>0.2909483277879321</v>
      </c>
      <c r="AA110">
        <v>622</v>
      </c>
      <c r="AB110">
        <v>1105604</v>
      </c>
      <c r="AC110" t="s">
        <v>1262</v>
      </c>
      <c r="AD110">
        <v>51.21</v>
      </c>
      <c r="AE110" t="s">
        <v>1486</v>
      </c>
      <c r="AF110" t="s">
        <v>1708</v>
      </c>
      <c r="AG110">
        <v>907</v>
      </c>
      <c r="AH110">
        <v>84</v>
      </c>
      <c r="AJ110">
        <v>5.31</v>
      </c>
      <c r="AK110" t="b">
        <v>1</v>
      </c>
    </row>
    <row r="111" spans="1:37">
      <c r="A111" s="1" t="s">
        <v>145</v>
      </c>
      <c r="B111" t="s">
        <v>369</v>
      </c>
      <c r="C111">
        <f>HYPERLINK("https://finance.naver.com/item/coinfo.nhn?code=097520", "A097520")</f>
        <v>0</v>
      </c>
      <c r="D111">
        <f>HYPERLINK("http://comp.fnguide.com/SVO2/ASP/SVD_Consensus.asp?pGB=1&amp;gicode=A097520&amp;cID=&amp;MenuYn=Y&amp;ReportGB=&amp;NewMenuID=108&amp;stkGb=701", "엠씨넥스")</f>
        <v>0</v>
      </c>
      <c r="E111">
        <v>3</v>
      </c>
      <c r="F111">
        <v>20600</v>
      </c>
      <c r="G111">
        <v>0.54</v>
      </c>
      <c r="H111">
        <v>10.03</v>
      </c>
      <c r="I111">
        <v>31586</v>
      </c>
      <c r="J111">
        <v>27393</v>
      </c>
      <c r="K111">
        <v>25923</v>
      </c>
      <c r="L111">
        <v>-53.33</v>
      </c>
      <c r="M111">
        <v>-32.97</v>
      </c>
      <c r="N111">
        <v>-25.84</v>
      </c>
      <c r="O111">
        <v>14.37</v>
      </c>
      <c r="P111" t="b">
        <v>1</v>
      </c>
      <c r="Q111">
        <v>0</v>
      </c>
      <c r="R111">
        <v>2877</v>
      </c>
      <c r="S111">
        <v>2583</v>
      </c>
      <c r="T111">
        <v>-10.2</v>
      </c>
      <c r="U111" t="s">
        <v>593</v>
      </c>
      <c r="V111" t="s">
        <v>817</v>
      </c>
      <c r="W111">
        <v>18.47867828384231</v>
      </c>
      <c r="X111">
        <v>-24.8</v>
      </c>
      <c r="Y111" t="s">
        <v>1040</v>
      </c>
      <c r="Z111">
        <v>-0.4082440900370465</v>
      </c>
      <c r="AA111">
        <v>3585</v>
      </c>
      <c r="AB111">
        <v>59441</v>
      </c>
      <c r="AC111" t="s">
        <v>1263</v>
      </c>
      <c r="AD111">
        <v>31.03</v>
      </c>
      <c r="AE111" t="s">
        <v>1487</v>
      </c>
      <c r="AF111" t="s">
        <v>1709</v>
      </c>
      <c r="AG111">
        <v>12792</v>
      </c>
      <c r="AH111">
        <v>520</v>
      </c>
      <c r="AI111">
        <v>1147328</v>
      </c>
      <c r="AJ111">
        <v>3.47</v>
      </c>
      <c r="AK111" t="b">
        <v>1</v>
      </c>
    </row>
    <row r="112" spans="1:37">
      <c r="A112" s="1" t="s">
        <v>146</v>
      </c>
      <c r="B112" t="s">
        <v>370</v>
      </c>
      <c r="C112">
        <f>HYPERLINK("https://finance.naver.com/item/coinfo.nhn?code=033250", "A033250")</f>
        <v>0</v>
      </c>
      <c r="D112">
        <f>HYPERLINK("http://comp.fnguide.com/SVO2/ASP/SVD_Consensus.asp?pGB=1&amp;gicode=A033250&amp;cID=&amp;MenuYn=Y&amp;ReportGB=&amp;NewMenuID=108&amp;stkGb=701", "체시스")</f>
        <v>0</v>
      </c>
      <c r="E112">
        <v>3</v>
      </c>
      <c r="F112">
        <v>4235</v>
      </c>
      <c r="G112">
        <v>0</v>
      </c>
      <c r="H112">
        <v>5.11</v>
      </c>
      <c r="I112">
        <v>9760</v>
      </c>
      <c r="J112">
        <v>8339</v>
      </c>
      <c r="K112">
        <v>7841</v>
      </c>
      <c r="L112">
        <v>-130.45</v>
      </c>
      <c r="M112">
        <v>-96.91</v>
      </c>
      <c r="N112">
        <v>-85.15000000000001</v>
      </c>
      <c r="O112">
        <v>14.84</v>
      </c>
      <c r="P112" t="b">
        <v>1</v>
      </c>
      <c r="Q112">
        <v>0</v>
      </c>
      <c r="R112">
        <v>985</v>
      </c>
      <c r="U112" t="s">
        <v>594</v>
      </c>
      <c r="V112" t="s">
        <v>818</v>
      </c>
      <c r="W112">
        <v>0</v>
      </c>
      <c r="X112">
        <v>-8.699999999999999</v>
      </c>
      <c r="Y112" t="s">
        <v>1041</v>
      </c>
      <c r="Z112">
        <v>0</v>
      </c>
      <c r="AA112">
        <v>271</v>
      </c>
      <c r="AB112">
        <v>72158</v>
      </c>
      <c r="AC112" t="s">
        <v>1264</v>
      </c>
      <c r="AD112">
        <v>35.09</v>
      </c>
      <c r="AE112" t="s">
        <v>1488</v>
      </c>
      <c r="AF112" t="s">
        <v>1710</v>
      </c>
      <c r="AG112">
        <v>938</v>
      </c>
      <c r="AH112">
        <v>75</v>
      </c>
      <c r="AK112" t="b">
        <v>1</v>
      </c>
    </row>
    <row r="113" spans="1:37">
      <c r="A113" s="1" t="s">
        <v>147</v>
      </c>
      <c r="B113" t="s">
        <v>371</v>
      </c>
      <c r="C113">
        <f>HYPERLINK("https://finance.naver.com/item/coinfo.nhn?code=001620", "A001620")</f>
        <v>0</v>
      </c>
      <c r="D113">
        <f>HYPERLINK("http://comp.fnguide.com/SVO2/ASP/SVD_Consensus.asp?pGB=1&amp;gicode=A001620&amp;cID=&amp;MenuYn=Y&amp;ReportGB=&amp;NewMenuID=108&amp;stkGb=701", "케이비아이동국실업")</f>
        <v>0</v>
      </c>
      <c r="E113">
        <v>3</v>
      </c>
      <c r="F113">
        <v>2420</v>
      </c>
      <c r="G113">
        <v>0</v>
      </c>
      <c r="H113">
        <v>1.74</v>
      </c>
      <c r="I113">
        <v>12394</v>
      </c>
      <c r="J113">
        <v>12093</v>
      </c>
      <c r="K113">
        <v>11987</v>
      </c>
      <c r="L113">
        <v>-412.14</v>
      </c>
      <c r="M113">
        <v>-399.7</v>
      </c>
      <c r="N113">
        <v>-395.35</v>
      </c>
      <c r="O113">
        <v>11.3</v>
      </c>
      <c r="P113" t="b">
        <v>1</v>
      </c>
      <c r="Q113">
        <v>0</v>
      </c>
      <c r="R113">
        <v>1417</v>
      </c>
      <c r="U113" t="s">
        <v>595</v>
      </c>
      <c r="V113" t="s">
        <v>819</v>
      </c>
      <c r="W113">
        <v>0</v>
      </c>
      <c r="Y113" t="s">
        <v>1042</v>
      </c>
      <c r="Z113">
        <v>0</v>
      </c>
      <c r="AA113">
        <v>539</v>
      </c>
      <c r="AB113">
        <v>82309</v>
      </c>
      <c r="AC113" t="s">
        <v>1265</v>
      </c>
      <c r="AD113">
        <v>48.46</v>
      </c>
      <c r="AE113" t="s">
        <v>1489</v>
      </c>
      <c r="AF113" t="s">
        <v>1711</v>
      </c>
      <c r="AG113">
        <v>8080</v>
      </c>
      <c r="AH113">
        <v>186</v>
      </c>
      <c r="AK113" t="b">
        <v>1</v>
      </c>
    </row>
    <row r="114" spans="1:37">
      <c r="A114" s="1" t="s">
        <v>148</v>
      </c>
      <c r="B114" t="s">
        <v>372</v>
      </c>
      <c r="C114">
        <f>HYPERLINK("https://finance.naver.com/item/coinfo.nhn?code=192400", "A192400")</f>
        <v>0</v>
      </c>
      <c r="D114">
        <f>HYPERLINK("http://comp.fnguide.com/SVO2/ASP/SVD_Consensus.asp?pGB=1&amp;gicode=A192400&amp;cID=&amp;MenuYn=Y&amp;ReportGB=&amp;NewMenuID=108&amp;stkGb=701", "쿠쿠홀딩스")</f>
        <v>0</v>
      </c>
      <c r="E114">
        <v>3</v>
      </c>
      <c r="F114">
        <v>24500</v>
      </c>
      <c r="G114">
        <v>0</v>
      </c>
      <c r="H114">
        <v>7.08</v>
      </c>
      <c r="I114">
        <v>47008</v>
      </c>
      <c r="J114">
        <v>44621</v>
      </c>
      <c r="K114">
        <v>43784</v>
      </c>
      <c r="L114">
        <v>-91.87</v>
      </c>
      <c r="M114">
        <v>-82.12</v>
      </c>
      <c r="N114">
        <v>-78.70999999999999</v>
      </c>
      <c r="O114">
        <v>11.93</v>
      </c>
      <c r="P114" t="b">
        <v>1</v>
      </c>
      <c r="Q114">
        <v>0</v>
      </c>
      <c r="R114">
        <v>4094</v>
      </c>
      <c r="U114" t="s">
        <v>596</v>
      </c>
      <c r="V114" t="s">
        <v>820</v>
      </c>
      <c r="W114">
        <v>0</v>
      </c>
      <c r="X114">
        <v>18.1</v>
      </c>
      <c r="Y114" t="s">
        <v>1043</v>
      </c>
      <c r="Z114">
        <v>5.84197264666475</v>
      </c>
      <c r="AA114">
        <v>8713</v>
      </c>
      <c r="AB114">
        <v>23454</v>
      </c>
      <c r="AC114" t="s">
        <v>1266</v>
      </c>
      <c r="AD114">
        <v>64.86</v>
      </c>
      <c r="AE114" t="s">
        <v>1490</v>
      </c>
      <c r="AF114" t="s">
        <v>1712</v>
      </c>
      <c r="AG114">
        <v>9209</v>
      </c>
      <c r="AH114">
        <v>1140</v>
      </c>
      <c r="AI114">
        <v>4483800</v>
      </c>
      <c r="AJ114">
        <v>5.34</v>
      </c>
      <c r="AK114" t="b">
        <v>1</v>
      </c>
    </row>
    <row r="115" spans="1:37">
      <c r="A115" s="1" t="s">
        <v>149</v>
      </c>
      <c r="B115" t="s">
        <v>373</v>
      </c>
      <c r="C115">
        <f>HYPERLINK("https://finance.naver.com/item/coinfo.nhn?code=003090", "A003090")</f>
        <v>0</v>
      </c>
      <c r="D115">
        <f>HYPERLINK("http://comp.fnguide.com/SVO2/ASP/SVD_Consensus.asp?pGB=1&amp;gicode=A003090&amp;cID=&amp;MenuYn=Y&amp;ReportGB=&amp;NewMenuID=108&amp;stkGb=701", "대웅")</f>
        <v>0</v>
      </c>
      <c r="E115">
        <v>3</v>
      </c>
      <c r="F115">
        <v>17850</v>
      </c>
      <c r="G115">
        <v>0</v>
      </c>
      <c r="H115">
        <v>7.32</v>
      </c>
      <c r="I115">
        <v>34015</v>
      </c>
      <c r="J115">
        <v>31007</v>
      </c>
      <c r="K115">
        <v>29953</v>
      </c>
      <c r="L115">
        <v>-90.56</v>
      </c>
      <c r="M115">
        <v>-73.70999999999999</v>
      </c>
      <c r="N115">
        <v>-67.81</v>
      </c>
      <c r="O115">
        <v>12.94</v>
      </c>
      <c r="P115" t="b">
        <v>1</v>
      </c>
      <c r="Q115">
        <v>0</v>
      </c>
      <c r="R115">
        <v>3011</v>
      </c>
      <c r="U115" t="s">
        <v>597</v>
      </c>
      <c r="V115" t="s">
        <v>821</v>
      </c>
      <c r="W115">
        <v>0</v>
      </c>
      <c r="X115">
        <v>34.8</v>
      </c>
      <c r="Y115" t="s">
        <v>1044</v>
      </c>
      <c r="Z115">
        <v>24.55179777145538</v>
      </c>
      <c r="AA115">
        <v>10378</v>
      </c>
      <c r="AB115">
        <v>61674</v>
      </c>
      <c r="AC115" t="s">
        <v>1267</v>
      </c>
      <c r="AD115">
        <v>38.04</v>
      </c>
      <c r="AE115" t="s">
        <v>1491</v>
      </c>
      <c r="AF115" t="s">
        <v>1713</v>
      </c>
      <c r="AG115">
        <v>20684</v>
      </c>
      <c r="AH115">
        <v>2618</v>
      </c>
      <c r="AI115">
        <v>16669850</v>
      </c>
      <c r="AJ115">
        <v>0.91</v>
      </c>
      <c r="AK115" t="b">
        <v>1</v>
      </c>
    </row>
    <row r="116" spans="1:37">
      <c r="A116" s="1" t="s">
        <v>150</v>
      </c>
      <c r="B116" t="s">
        <v>374</v>
      </c>
      <c r="C116">
        <f>HYPERLINK("https://finance.naver.com/item/coinfo.nhn?code=003080", "A003080")</f>
        <v>0</v>
      </c>
      <c r="D116">
        <f>HYPERLINK("http://comp.fnguide.com/SVO2/ASP/SVD_Consensus.asp?pGB=1&amp;gicode=A003080&amp;cID=&amp;MenuYn=Y&amp;ReportGB=&amp;NewMenuID=108&amp;stkGb=701", "SB성보")</f>
        <v>0</v>
      </c>
      <c r="E116">
        <v>3</v>
      </c>
      <c r="F116">
        <v>2215</v>
      </c>
      <c r="G116">
        <v>0</v>
      </c>
      <c r="H116">
        <v>1.63</v>
      </c>
      <c r="I116">
        <v>9076</v>
      </c>
      <c r="J116">
        <v>8418</v>
      </c>
      <c r="K116">
        <v>8188</v>
      </c>
      <c r="L116">
        <v>-309.74</v>
      </c>
      <c r="M116">
        <v>-280.05</v>
      </c>
      <c r="N116">
        <v>-269.64</v>
      </c>
      <c r="O116">
        <v>12.49</v>
      </c>
      <c r="P116" t="b">
        <v>0</v>
      </c>
      <c r="Q116">
        <v>0</v>
      </c>
      <c r="R116">
        <v>1721</v>
      </c>
      <c r="U116" t="s">
        <v>598</v>
      </c>
      <c r="V116" t="s">
        <v>822</v>
      </c>
      <c r="W116">
        <v>0</v>
      </c>
      <c r="X116">
        <v>-12.2</v>
      </c>
      <c r="Y116" t="s">
        <v>1045</v>
      </c>
      <c r="Z116">
        <v>0</v>
      </c>
      <c r="AA116">
        <v>443</v>
      </c>
      <c r="AB116">
        <v>251446</v>
      </c>
      <c r="AC116" t="s">
        <v>1268</v>
      </c>
      <c r="AD116">
        <v>48.62</v>
      </c>
      <c r="AE116" t="s">
        <v>1492</v>
      </c>
      <c r="AF116" t="s">
        <v>1714</v>
      </c>
      <c r="AG116">
        <v>643</v>
      </c>
      <c r="AH116">
        <v>-81</v>
      </c>
      <c r="AI116">
        <v>431979</v>
      </c>
      <c r="AJ116">
        <v>7.32</v>
      </c>
      <c r="AK116" t="b">
        <v>1</v>
      </c>
    </row>
    <row r="117" spans="1:37">
      <c r="A117" s="1" t="s">
        <v>151</v>
      </c>
      <c r="B117" t="s">
        <v>375</v>
      </c>
      <c r="C117">
        <f>HYPERLINK("https://finance.naver.com/item/coinfo.nhn?code=014580", "A014580")</f>
        <v>0</v>
      </c>
      <c r="D117">
        <f>HYPERLINK("http://comp.fnguide.com/SVO2/ASP/SVD_Consensus.asp?pGB=1&amp;gicode=A014580&amp;cID=&amp;MenuYn=Y&amp;ReportGB=&amp;NewMenuID=108&amp;stkGb=701", "태경비케이")</f>
        <v>0</v>
      </c>
      <c r="E117">
        <v>3</v>
      </c>
      <c r="F117">
        <v>3985</v>
      </c>
      <c r="G117">
        <v>0</v>
      </c>
      <c r="H117">
        <v>5.31</v>
      </c>
      <c r="I117">
        <v>9381</v>
      </c>
      <c r="J117">
        <v>8931</v>
      </c>
      <c r="K117">
        <v>8774</v>
      </c>
      <c r="L117">
        <v>-135.4</v>
      </c>
      <c r="M117">
        <v>-124.13</v>
      </c>
      <c r="N117">
        <v>-120.18</v>
      </c>
      <c r="O117">
        <v>11.85</v>
      </c>
      <c r="P117" t="b">
        <v>1</v>
      </c>
      <c r="Q117">
        <v>0</v>
      </c>
      <c r="R117">
        <v>866</v>
      </c>
      <c r="U117" t="s">
        <v>599</v>
      </c>
      <c r="V117" t="s">
        <v>823</v>
      </c>
      <c r="W117">
        <v>0</v>
      </c>
      <c r="X117">
        <v>53.5</v>
      </c>
      <c r="Y117" t="s">
        <v>1046</v>
      </c>
      <c r="Z117">
        <v>31.48780057591836</v>
      </c>
      <c r="AA117">
        <v>1099</v>
      </c>
      <c r="AB117">
        <v>191920</v>
      </c>
      <c r="AC117" t="s">
        <v>1269</v>
      </c>
      <c r="AD117">
        <v>47.23</v>
      </c>
      <c r="AE117" t="s">
        <v>1493</v>
      </c>
      <c r="AF117" t="s">
        <v>1715</v>
      </c>
      <c r="AG117">
        <v>3859</v>
      </c>
      <c r="AH117">
        <v>408</v>
      </c>
      <c r="AJ117">
        <v>3.26</v>
      </c>
      <c r="AK117" t="b">
        <v>1</v>
      </c>
    </row>
    <row r="118" spans="1:37">
      <c r="A118" s="1" t="s">
        <v>152</v>
      </c>
      <c r="B118" t="s">
        <v>376</v>
      </c>
      <c r="C118">
        <f>HYPERLINK("https://finance.naver.com/item/coinfo.nhn?code=019180", "A019180")</f>
        <v>0</v>
      </c>
      <c r="D118">
        <f>HYPERLINK("http://comp.fnguide.com/SVO2/ASP/SVD_Consensus.asp?pGB=1&amp;gicode=A019180&amp;cID=&amp;MenuYn=Y&amp;ReportGB=&amp;NewMenuID=108&amp;stkGb=701", "티에이치엔")</f>
        <v>0</v>
      </c>
      <c r="E118">
        <v>3</v>
      </c>
      <c r="F118">
        <v>7140</v>
      </c>
      <c r="G118">
        <v>0</v>
      </c>
      <c r="H118">
        <v>2.08</v>
      </c>
      <c r="I118">
        <v>36305</v>
      </c>
      <c r="J118">
        <v>23610</v>
      </c>
      <c r="K118">
        <v>19162</v>
      </c>
      <c r="L118">
        <v>-408.47</v>
      </c>
      <c r="M118">
        <v>-230.68</v>
      </c>
      <c r="N118">
        <v>-168.37</v>
      </c>
      <c r="O118">
        <v>31.38</v>
      </c>
      <c r="P118" t="b">
        <v>1</v>
      </c>
      <c r="Q118">
        <v>0</v>
      </c>
      <c r="R118">
        <v>3815</v>
      </c>
      <c r="U118" t="s">
        <v>600</v>
      </c>
      <c r="V118" t="s">
        <v>824</v>
      </c>
      <c r="W118">
        <v>0</v>
      </c>
      <c r="X118">
        <v>312</v>
      </c>
      <c r="Y118" t="s">
        <v>1047</v>
      </c>
      <c r="Z118">
        <v>0</v>
      </c>
      <c r="AA118">
        <v>1285</v>
      </c>
      <c r="AB118">
        <v>338382</v>
      </c>
      <c r="AC118" t="s">
        <v>1270</v>
      </c>
      <c r="AD118">
        <v>37.16</v>
      </c>
      <c r="AE118" t="s">
        <v>1494</v>
      </c>
      <c r="AF118" t="s">
        <v>1716</v>
      </c>
      <c r="AG118">
        <v>9891</v>
      </c>
      <c r="AH118">
        <v>701</v>
      </c>
      <c r="AJ118">
        <v>1.51</v>
      </c>
      <c r="AK118" t="b">
        <v>1</v>
      </c>
    </row>
    <row r="119" spans="1:37">
      <c r="A119" s="1" t="s">
        <v>153</v>
      </c>
      <c r="B119" t="s">
        <v>377</v>
      </c>
      <c r="C119">
        <f>HYPERLINK("https://finance.naver.com/item/coinfo.nhn?code=090080", "A090080")</f>
        <v>0</v>
      </c>
      <c r="D119">
        <f>HYPERLINK("http://comp.fnguide.com/SVO2/ASP/SVD_Consensus.asp?pGB=1&amp;gicode=A090080&amp;cID=&amp;MenuYn=Y&amp;ReportGB=&amp;NewMenuID=108&amp;stkGb=701", "평화산업")</f>
        <v>0</v>
      </c>
      <c r="E119">
        <v>3</v>
      </c>
      <c r="F119">
        <v>865</v>
      </c>
      <c r="G119">
        <v>0</v>
      </c>
      <c r="H119">
        <v>3.29</v>
      </c>
      <c r="I119">
        <v>1971</v>
      </c>
      <c r="J119">
        <v>1523</v>
      </c>
      <c r="K119">
        <v>1367</v>
      </c>
      <c r="L119">
        <v>-127.84</v>
      </c>
      <c r="M119">
        <v>-76.11</v>
      </c>
      <c r="N119">
        <v>-57.98</v>
      </c>
      <c r="O119">
        <v>18.8</v>
      </c>
      <c r="P119" t="b">
        <v>1</v>
      </c>
      <c r="Q119">
        <v>0</v>
      </c>
      <c r="R119">
        <v>286</v>
      </c>
      <c r="U119" t="s">
        <v>601</v>
      </c>
      <c r="V119" t="s">
        <v>825</v>
      </c>
      <c r="W119">
        <v>0</v>
      </c>
      <c r="X119">
        <v>488.3</v>
      </c>
      <c r="Y119" t="s">
        <v>1048</v>
      </c>
      <c r="Z119">
        <v>239.3923377123871</v>
      </c>
      <c r="AA119">
        <v>475</v>
      </c>
      <c r="AB119">
        <v>189524</v>
      </c>
      <c r="AC119" t="s">
        <v>1271</v>
      </c>
      <c r="AD119">
        <v>55.64</v>
      </c>
      <c r="AE119" t="s">
        <v>1495</v>
      </c>
      <c r="AF119" t="s">
        <v>1717</v>
      </c>
      <c r="AG119">
        <v>6261</v>
      </c>
      <c r="AH119">
        <v>133</v>
      </c>
      <c r="AK119" t="b">
        <v>1</v>
      </c>
    </row>
    <row r="120" spans="1:37">
      <c r="A120" s="1" t="s">
        <v>154</v>
      </c>
      <c r="B120" t="s">
        <v>378</v>
      </c>
      <c r="C120">
        <f>HYPERLINK("https://finance.naver.com/item/coinfo.nhn?code=111770", "A111770")</f>
        <v>0</v>
      </c>
      <c r="D120">
        <f>HYPERLINK("http://comp.fnguide.com/SVO2/ASP/SVD_Consensus.asp?pGB=1&amp;gicode=A111770&amp;cID=&amp;MenuYn=Y&amp;ReportGB=&amp;NewMenuID=108&amp;stkGb=701", "영원무역")</f>
        <v>0</v>
      </c>
      <c r="E120">
        <v>3</v>
      </c>
      <c r="F120">
        <v>79800</v>
      </c>
      <c r="G120">
        <v>1.73</v>
      </c>
      <c r="H120">
        <v>7.36</v>
      </c>
      <c r="I120">
        <v>118298</v>
      </c>
      <c r="J120">
        <v>106497</v>
      </c>
      <c r="K120">
        <v>102362</v>
      </c>
      <c r="L120">
        <v>-48.24</v>
      </c>
      <c r="M120">
        <v>-33.46</v>
      </c>
      <c r="N120">
        <v>-28.27</v>
      </c>
      <c r="O120">
        <v>13.28</v>
      </c>
      <c r="P120" t="b">
        <v>1</v>
      </c>
      <c r="Q120">
        <v>2</v>
      </c>
      <c r="R120">
        <v>11109</v>
      </c>
      <c r="S120">
        <v>13181</v>
      </c>
      <c r="T120">
        <v>18.7</v>
      </c>
      <c r="U120" t="s">
        <v>602</v>
      </c>
      <c r="V120" t="s">
        <v>826</v>
      </c>
      <c r="W120">
        <v>4.256575193862466</v>
      </c>
      <c r="X120">
        <v>68.90000000000001</v>
      </c>
      <c r="Y120" t="s">
        <v>1049</v>
      </c>
      <c r="Z120">
        <v>22.79114711174488</v>
      </c>
      <c r="AA120">
        <v>35361</v>
      </c>
      <c r="AB120">
        <v>61541</v>
      </c>
      <c r="AC120" t="s">
        <v>1272</v>
      </c>
      <c r="AD120">
        <v>50.75</v>
      </c>
      <c r="AE120" t="s">
        <v>1496</v>
      </c>
      <c r="AF120" t="s">
        <v>1718</v>
      </c>
      <c r="AG120">
        <v>40636</v>
      </c>
      <c r="AH120">
        <v>5144</v>
      </c>
      <c r="AI120">
        <v>1751356</v>
      </c>
      <c r="AJ120">
        <v>2.57</v>
      </c>
      <c r="AK120" t="b">
        <v>1</v>
      </c>
    </row>
    <row r="121" spans="1:37">
      <c r="A121" s="1" t="s">
        <v>155</v>
      </c>
      <c r="B121" t="s">
        <v>379</v>
      </c>
      <c r="C121">
        <f>HYPERLINK("https://finance.naver.com/item/coinfo.nhn?code=031820", "A031820")</f>
        <v>0</v>
      </c>
      <c r="D121">
        <f>HYPERLINK("http://comp.fnguide.com/SVO2/ASP/SVD_Consensus.asp?pGB=1&amp;gicode=A031820&amp;cID=&amp;MenuYn=Y&amp;ReportGB=&amp;NewMenuID=108&amp;stkGb=701", "아이티센씨티에스")</f>
        <v>0</v>
      </c>
      <c r="E121">
        <v>3</v>
      </c>
      <c r="F121">
        <v>6150</v>
      </c>
      <c r="G121">
        <v>0</v>
      </c>
      <c r="H121">
        <v>1.36</v>
      </c>
      <c r="I121">
        <v>29928</v>
      </c>
      <c r="J121">
        <v>24061</v>
      </c>
      <c r="K121">
        <v>22004</v>
      </c>
      <c r="L121">
        <v>-386.63</v>
      </c>
      <c r="M121">
        <v>-291.23</v>
      </c>
      <c r="N121">
        <v>-257.79</v>
      </c>
      <c r="O121">
        <v>17.07</v>
      </c>
      <c r="P121" t="b">
        <v>1</v>
      </c>
      <c r="Q121">
        <v>0</v>
      </c>
      <c r="R121">
        <v>4364</v>
      </c>
      <c r="U121" t="s">
        <v>603</v>
      </c>
      <c r="V121" t="s">
        <v>827</v>
      </c>
      <c r="W121">
        <v>0</v>
      </c>
      <c r="Y121" t="s">
        <v>1050</v>
      </c>
      <c r="Z121">
        <v>0</v>
      </c>
      <c r="AA121">
        <v>744</v>
      </c>
      <c r="AB121">
        <v>27481</v>
      </c>
      <c r="AC121" t="s">
        <v>1273</v>
      </c>
      <c r="AD121">
        <v>25.03</v>
      </c>
      <c r="AE121" t="s">
        <v>1497</v>
      </c>
      <c r="AF121" t="s">
        <v>1719</v>
      </c>
      <c r="AG121">
        <v>10952</v>
      </c>
      <c r="AH121">
        <v>236</v>
      </c>
      <c r="AK121" t="b">
        <v>1</v>
      </c>
    </row>
    <row r="122" spans="1:37">
      <c r="A122" s="1" t="s">
        <v>156</v>
      </c>
      <c r="B122" t="s">
        <v>380</v>
      </c>
      <c r="C122">
        <f>HYPERLINK("https://finance.naver.com/item/coinfo.nhn?code=071050", "A071050")</f>
        <v>0</v>
      </c>
      <c r="D122">
        <f>HYPERLINK("http://comp.fnguide.com/SVO2/ASP/SVD_Consensus.asp?pGB=1&amp;gicode=A071050&amp;cID=&amp;MenuYn=Y&amp;ReportGB=&amp;NewMenuID=108&amp;stkGb=701", "한국금융지주")</f>
        <v>0</v>
      </c>
      <c r="E122">
        <v>3</v>
      </c>
      <c r="F122">
        <v>246500</v>
      </c>
      <c r="G122">
        <v>0.09</v>
      </c>
      <c r="H122">
        <v>4.93</v>
      </c>
      <c r="I122">
        <v>309096</v>
      </c>
      <c r="J122">
        <v>265738</v>
      </c>
      <c r="K122">
        <v>250543</v>
      </c>
      <c r="L122">
        <v>-25.39</v>
      </c>
      <c r="M122">
        <v>-7.8</v>
      </c>
      <c r="N122">
        <v>-1.64</v>
      </c>
      <c r="O122">
        <v>14.65</v>
      </c>
      <c r="P122" t="b">
        <v>1</v>
      </c>
      <c r="Q122">
        <v>3</v>
      </c>
      <c r="R122">
        <v>32808</v>
      </c>
      <c r="S122">
        <v>43853</v>
      </c>
      <c r="T122">
        <v>33.7</v>
      </c>
      <c r="U122" t="s">
        <v>604</v>
      </c>
      <c r="V122" t="s">
        <v>828</v>
      </c>
      <c r="W122">
        <v>56.34078689883295</v>
      </c>
      <c r="X122">
        <v>-1.9</v>
      </c>
      <c r="Y122" t="s">
        <v>1051</v>
      </c>
      <c r="Z122">
        <v>-1.862985086075064</v>
      </c>
      <c r="AA122">
        <v>137365</v>
      </c>
      <c r="AB122">
        <v>417721</v>
      </c>
      <c r="AC122" t="s">
        <v>1274</v>
      </c>
      <c r="AD122">
        <v>21.3</v>
      </c>
      <c r="AE122" t="s">
        <v>1498</v>
      </c>
      <c r="AF122" t="s">
        <v>1720</v>
      </c>
      <c r="AG122">
        <v>40358</v>
      </c>
      <c r="AH122">
        <v>23453</v>
      </c>
      <c r="AI122">
        <v>2987479</v>
      </c>
      <c r="AJ122">
        <v>5.37</v>
      </c>
      <c r="AK122" t="b">
        <v>1</v>
      </c>
    </row>
    <row r="123" spans="1:37">
      <c r="A123" s="1" t="s">
        <v>157</v>
      </c>
      <c r="B123" t="s">
        <v>381</v>
      </c>
      <c r="C123">
        <f>HYPERLINK("https://finance.naver.com/item/coinfo.nhn?code=268280", "A268280")</f>
        <v>0</v>
      </c>
      <c r="D123">
        <f>HYPERLINK("http://comp.fnguide.com/SVO2/ASP/SVD_Consensus.asp?pGB=1&amp;gicode=A268280&amp;cID=&amp;MenuYn=Y&amp;ReportGB=&amp;NewMenuID=108&amp;stkGb=701", "미원에스씨")</f>
        <v>0</v>
      </c>
      <c r="E123">
        <v>3</v>
      </c>
      <c r="F123">
        <v>96200</v>
      </c>
      <c r="G123">
        <v>0</v>
      </c>
      <c r="H123">
        <v>11.44</v>
      </c>
      <c r="I123">
        <v>109317</v>
      </c>
      <c r="J123">
        <v>100705</v>
      </c>
      <c r="K123">
        <v>97688</v>
      </c>
      <c r="L123">
        <v>-13.63</v>
      </c>
      <c r="M123">
        <v>-4.68</v>
      </c>
      <c r="N123">
        <v>-1.55</v>
      </c>
      <c r="O123">
        <v>12.66</v>
      </c>
      <c r="P123" t="b">
        <v>0</v>
      </c>
      <c r="Q123">
        <v>0</v>
      </c>
      <c r="R123">
        <v>12261</v>
      </c>
      <c r="U123" t="s">
        <v>605</v>
      </c>
      <c r="V123" t="s">
        <v>829</v>
      </c>
      <c r="W123">
        <v>0</v>
      </c>
      <c r="X123">
        <v>31.2</v>
      </c>
      <c r="Y123" t="s">
        <v>1052</v>
      </c>
      <c r="Z123">
        <v>0.5429047728179759</v>
      </c>
      <c r="AA123">
        <v>4810</v>
      </c>
      <c r="AB123">
        <v>1693</v>
      </c>
      <c r="AC123" t="s">
        <v>1275</v>
      </c>
      <c r="AD123">
        <v>73.54000000000001</v>
      </c>
      <c r="AE123" t="s">
        <v>1499</v>
      </c>
      <c r="AF123" t="s">
        <v>1721</v>
      </c>
      <c r="AG123">
        <v>5321</v>
      </c>
      <c r="AH123">
        <v>655</v>
      </c>
      <c r="AI123">
        <v>185569</v>
      </c>
      <c r="AJ123">
        <v>2.28</v>
      </c>
      <c r="AK123" t="b">
        <v>1</v>
      </c>
    </row>
    <row r="124" spans="1:37">
      <c r="A124" s="1" t="s">
        <v>158</v>
      </c>
      <c r="B124" t="s">
        <v>382</v>
      </c>
      <c r="C124">
        <f>HYPERLINK("https://finance.naver.com/item/coinfo.nhn?code=023590", "A023590")</f>
        <v>0</v>
      </c>
      <c r="D124">
        <f>HYPERLINK("http://comp.fnguide.com/SVO2/ASP/SVD_Consensus.asp?pGB=1&amp;gicode=A023590&amp;cID=&amp;MenuYn=Y&amp;ReportGB=&amp;NewMenuID=108&amp;stkGb=701", "다우기술")</f>
        <v>0</v>
      </c>
      <c r="E124">
        <v>3</v>
      </c>
      <c r="F124">
        <v>39100</v>
      </c>
      <c r="G124">
        <v>0</v>
      </c>
      <c r="H124">
        <v>3.45</v>
      </c>
      <c r="I124">
        <v>103037</v>
      </c>
      <c r="J124">
        <v>90691</v>
      </c>
      <c r="K124">
        <v>86364</v>
      </c>
      <c r="L124">
        <v>-163.52</v>
      </c>
      <c r="M124">
        <v>-131.95</v>
      </c>
      <c r="N124">
        <v>-120.88</v>
      </c>
      <c r="O124">
        <v>13.92</v>
      </c>
      <c r="P124" t="b">
        <v>1</v>
      </c>
      <c r="Q124">
        <v>0</v>
      </c>
      <c r="R124">
        <v>11260</v>
      </c>
      <c r="U124" t="s">
        <v>606</v>
      </c>
      <c r="V124" t="s">
        <v>830</v>
      </c>
      <c r="W124">
        <v>0</v>
      </c>
      <c r="X124">
        <v>106.2</v>
      </c>
      <c r="Y124" t="s">
        <v>1053</v>
      </c>
      <c r="Z124">
        <v>22.59726125326411</v>
      </c>
      <c r="AA124">
        <v>16925</v>
      </c>
      <c r="AB124">
        <v>46517</v>
      </c>
      <c r="AC124" t="s">
        <v>1276</v>
      </c>
      <c r="AD124">
        <v>49.02</v>
      </c>
      <c r="AE124" t="s">
        <v>1500</v>
      </c>
      <c r="AF124" t="s">
        <v>1722</v>
      </c>
      <c r="AG124">
        <v>174950</v>
      </c>
      <c r="AH124">
        <v>15593</v>
      </c>
      <c r="AI124">
        <v>136463</v>
      </c>
      <c r="AJ124">
        <v>4.63</v>
      </c>
      <c r="AK124" t="b">
        <v>1</v>
      </c>
    </row>
    <row r="125" spans="1:37">
      <c r="A125" s="1" t="s">
        <v>159</v>
      </c>
      <c r="B125" t="s">
        <v>383</v>
      </c>
      <c r="C125">
        <f>HYPERLINK("https://finance.naver.com/item/coinfo.nhn?code=004140", "A004140")</f>
        <v>0</v>
      </c>
      <c r="D125">
        <f>HYPERLINK("http://comp.fnguide.com/SVO2/ASP/SVD_Consensus.asp?pGB=1&amp;gicode=A004140&amp;cID=&amp;MenuYn=Y&amp;ReportGB=&amp;NewMenuID=108&amp;stkGb=701", "동방")</f>
        <v>0</v>
      </c>
      <c r="E125">
        <v>3</v>
      </c>
      <c r="F125">
        <v>1960</v>
      </c>
      <c r="G125">
        <v>0</v>
      </c>
      <c r="H125">
        <v>7.12</v>
      </c>
      <c r="I125">
        <v>3947</v>
      </c>
      <c r="J125">
        <v>3803</v>
      </c>
      <c r="K125">
        <v>3752</v>
      </c>
      <c r="L125">
        <v>-101.38</v>
      </c>
      <c r="M125">
        <v>-94.01000000000001</v>
      </c>
      <c r="N125">
        <v>-91.43000000000001</v>
      </c>
      <c r="O125">
        <v>11.58</v>
      </c>
      <c r="P125" t="b">
        <v>1</v>
      </c>
      <c r="Q125">
        <v>0</v>
      </c>
      <c r="R125">
        <v>359</v>
      </c>
      <c r="U125" t="s">
        <v>607</v>
      </c>
      <c r="V125" t="s">
        <v>831</v>
      </c>
      <c r="W125">
        <v>0</v>
      </c>
      <c r="X125">
        <v>-63.5</v>
      </c>
      <c r="Y125" t="s">
        <v>1054</v>
      </c>
      <c r="Z125">
        <v>0</v>
      </c>
      <c r="AA125">
        <v>940</v>
      </c>
      <c r="AB125">
        <v>301754</v>
      </c>
      <c r="AC125" t="s">
        <v>1277</v>
      </c>
      <c r="AD125">
        <v>22.83</v>
      </c>
      <c r="AE125" t="s">
        <v>1501</v>
      </c>
      <c r="AF125" t="s">
        <v>1723</v>
      </c>
      <c r="AG125">
        <v>9156</v>
      </c>
      <c r="AH125">
        <v>320</v>
      </c>
      <c r="AI125">
        <v>176960</v>
      </c>
      <c r="AJ125">
        <v>1.17</v>
      </c>
      <c r="AK125" t="b">
        <v>1</v>
      </c>
    </row>
    <row r="126" spans="1:37">
      <c r="A126" s="1" t="s">
        <v>160</v>
      </c>
      <c r="B126" t="s">
        <v>384</v>
      </c>
      <c r="C126">
        <f>HYPERLINK("https://finance.naver.com/item/coinfo.nhn?code=018500", "A018500")</f>
        <v>0</v>
      </c>
      <c r="D126">
        <f>HYPERLINK("http://comp.fnguide.com/SVO2/ASP/SVD_Consensus.asp?pGB=1&amp;gicode=A018500&amp;cID=&amp;MenuYn=Y&amp;ReportGB=&amp;NewMenuID=108&amp;stkGb=701", "동원금속")</f>
        <v>0</v>
      </c>
      <c r="E126">
        <v>3</v>
      </c>
      <c r="F126">
        <v>1398</v>
      </c>
      <c r="G126">
        <v>0</v>
      </c>
      <c r="H126">
        <v>3.52</v>
      </c>
      <c r="I126">
        <v>5025</v>
      </c>
      <c r="J126">
        <v>3863</v>
      </c>
      <c r="K126">
        <v>3456</v>
      </c>
      <c r="L126">
        <v>-259.45</v>
      </c>
      <c r="M126">
        <v>-176.36</v>
      </c>
      <c r="N126">
        <v>-147.24</v>
      </c>
      <c r="O126">
        <v>19.06</v>
      </c>
      <c r="P126" t="b">
        <v>1</v>
      </c>
      <c r="Q126">
        <v>0</v>
      </c>
      <c r="R126">
        <v>453</v>
      </c>
      <c r="U126" t="s">
        <v>608</v>
      </c>
      <c r="V126" t="s">
        <v>832</v>
      </c>
      <c r="W126">
        <v>0</v>
      </c>
      <c r="X126">
        <v>223.8</v>
      </c>
      <c r="Y126" t="s">
        <v>1055</v>
      </c>
      <c r="Z126">
        <v>0</v>
      </c>
      <c r="AA126">
        <v>654</v>
      </c>
      <c r="AB126">
        <v>88454</v>
      </c>
      <c r="AC126" t="s">
        <v>1278</v>
      </c>
      <c r="AD126">
        <v>22.28</v>
      </c>
      <c r="AE126" t="s">
        <v>1502</v>
      </c>
      <c r="AF126" t="s">
        <v>1724</v>
      </c>
      <c r="AG126">
        <v>6262</v>
      </c>
      <c r="AH126">
        <v>420</v>
      </c>
      <c r="AI126">
        <v>10128</v>
      </c>
      <c r="AJ126">
        <v>3.13</v>
      </c>
      <c r="AK126" t="b">
        <v>1</v>
      </c>
    </row>
    <row r="127" spans="1:37">
      <c r="A127" s="1" t="s">
        <v>161</v>
      </c>
      <c r="B127" t="s">
        <v>385</v>
      </c>
      <c r="C127">
        <f>HYPERLINK("https://finance.naver.com/item/coinfo.nhn?code=030720", "A030720")</f>
        <v>0</v>
      </c>
      <c r="D127">
        <f>HYPERLINK("http://comp.fnguide.com/SVO2/ASP/SVD_Consensus.asp?pGB=1&amp;gicode=A030720&amp;cID=&amp;MenuYn=Y&amp;ReportGB=&amp;NewMenuID=108&amp;stkGb=701", "동원수산")</f>
        <v>0</v>
      </c>
      <c r="E127">
        <v>3</v>
      </c>
      <c r="F127">
        <v>5680</v>
      </c>
      <c r="G127">
        <v>0</v>
      </c>
      <c r="H127">
        <v>3.65</v>
      </c>
      <c r="I127">
        <v>12454</v>
      </c>
      <c r="J127">
        <v>12276</v>
      </c>
      <c r="K127">
        <v>12213</v>
      </c>
      <c r="L127">
        <v>-119.26</v>
      </c>
      <c r="M127">
        <v>-116.12</v>
      </c>
      <c r="N127">
        <v>-115.02</v>
      </c>
      <c r="O127">
        <v>11.09</v>
      </c>
      <c r="P127" t="b">
        <v>0</v>
      </c>
      <c r="Q127">
        <v>0</v>
      </c>
      <c r="R127">
        <v>1664</v>
      </c>
      <c r="U127" t="s">
        <v>609</v>
      </c>
      <c r="V127" t="s">
        <v>833</v>
      </c>
      <c r="W127">
        <v>0</v>
      </c>
      <c r="X127">
        <v>78.59999999999999</v>
      </c>
      <c r="Y127" t="s">
        <v>1056</v>
      </c>
      <c r="Z127">
        <v>0</v>
      </c>
      <c r="AA127">
        <v>264</v>
      </c>
      <c r="AB127">
        <v>19322</v>
      </c>
      <c r="AC127" t="s">
        <v>1279</v>
      </c>
      <c r="AD127">
        <v>20.51</v>
      </c>
      <c r="AE127" t="s">
        <v>1503</v>
      </c>
      <c r="AF127" t="s">
        <v>1725</v>
      </c>
      <c r="AG127">
        <v>1726</v>
      </c>
      <c r="AH127">
        <v>88</v>
      </c>
      <c r="AK127" t="b">
        <v>1</v>
      </c>
    </row>
    <row r="128" spans="1:37">
      <c r="A128" s="1" t="s">
        <v>162</v>
      </c>
      <c r="B128" t="s">
        <v>386</v>
      </c>
      <c r="C128">
        <f>HYPERLINK("https://finance.naver.com/item/coinfo.nhn?code=111380", "A111380")</f>
        <v>0</v>
      </c>
      <c r="D128">
        <f>HYPERLINK("http://comp.fnguide.com/SVO2/ASP/SVD_Consensus.asp?pGB=1&amp;gicode=A111380&amp;cID=&amp;MenuYn=Y&amp;ReportGB=&amp;NewMenuID=108&amp;stkGb=701", "동인기연")</f>
        <v>0</v>
      </c>
      <c r="E128">
        <v>3</v>
      </c>
      <c r="F128">
        <v>13050</v>
      </c>
      <c r="G128">
        <v>-2.24</v>
      </c>
      <c r="H128">
        <v>7.3</v>
      </c>
      <c r="I128">
        <v>27786</v>
      </c>
      <c r="J128">
        <v>26667</v>
      </c>
      <c r="K128">
        <v>26275</v>
      </c>
      <c r="L128">
        <v>-112.92</v>
      </c>
      <c r="M128">
        <v>-104.35</v>
      </c>
      <c r="N128">
        <v>-101.34</v>
      </c>
      <c r="O128">
        <v>11.67</v>
      </c>
      <c r="P128" t="b">
        <v>1</v>
      </c>
      <c r="Q128">
        <v>1</v>
      </c>
      <c r="R128">
        <v>1880</v>
      </c>
      <c r="S128">
        <v>3585</v>
      </c>
      <c r="T128">
        <v>90.7</v>
      </c>
      <c r="U128" t="s">
        <v>610</v>
      </c>
      <c r="V128" t="s">
        <v>834</v>
      </c>
      <c r="W128">
        <v>-3.263044631396139</v>
      </c>
      <c r="X128">
        <v>353.3</v>
      </c>
      <c r="Y128" t="s">
        <v>1057</v>
      </c>
      <c r="Z128">
        <v>23.74405249548861</v>
      </c>
      <c r="AA128">
        <v>800</v>
      </c>
      <c r="AB128">
        <v>7656</v>
      </c>
      <c r="AC128" t="s">
        <v>1280</v>
      </c>
      <c r="AD128">
        <v>68.52</v>
      </c>
      <c r="AE128" t="s">
        <v>1504</v>
      </c>
      <c r="AF128" t="s">
        <v>1726</v>
      </c>
      <c r="AG128">
        <v>2441</v>
      </c>
      <c r="AH128">
        <v>226</v>
      </c>
      <c r="AI128">
        <v>202778</v>
      </c>
      <c r="AJ128">
        <v>4.95</v>
      </c>
      <c r="AK128" t="b">
        <v>1</v>
      </c>
    </row>
    <row r="129" spans="1:37">
      <c r="A129" s="1" t="s">
        <v>163</v>
      </c>
      <c r="B129" t="s">
        <v>387</v>
      </c>
      <c r="C129">
        <f>HYPERLINK("https://finance.naver.com/item/coinfo.nhn?code=009900", "A009900")</f>
        <v>0</v>
      </c>
      <c r="D129">
        <f>HYPERLINK("http://comp.fnguide.com/SVO2/ASP/SVD_Consensus.asp?pGB=1&amp;gicode=A009900&amp;cID=&amp;MenuYn=Y&amp;ReportGB=&amp;NewMenuID=108&amp;stkGb=701", "명신산업")</f>
        <v>0</v>
      </c>
      <c r="E129">
        <v>3</v>
      </c>
      <c r="F129">
        <v>8690</v>
      </c>
      <c r="G129">
        <v>-0.46</v>
      </c>
      <c r="H129">
        <v>6.89</v>
      </c>
      <c r="I129">
        <v>22991</v>
      </c>
      <c r="J129">
        <v>18416</v>
      </c>
      <c r="K129">
        <v>16813</v>
      </c>
      <c r="L129">
        <v>-164.57</v>
      </c>
      <c r="M129">
        <v>-111.93</v>
      </c>
      <c r="N129">
        <v>-93.48</v>
      </c>
      <c r="O129">
        <v>17.22</v>
      </c>
      <c r="P129" t="b">
        <v>1</v>
      </c>
      <c r="Q129">
        <v>1</v>
      </c>
      <c r="R129">
        <v>1302</v>
      </c>
      <c r="S129">
        <v>1798</v>
      </c>
      <c r="T129">
        <v>38.1</v>
      </c>
      <c r="U129" t="s">
        <v>611</v>
      </c>
      <c r="V129" t="s">
        <v>835</v>
      </c>
      <c r="W129">
        <v>-14.81955500697646</v>
      </c>
      <c r="X129">
        <v>30</v>
      </c>
      <c r="Y129" t="s">
        <v>1058</v>
      </c>
      <c r="Z129">
        <v>14.39972148584114</v>
      </c>
      <c r="AA129">
        <v>4560</v>
      </c>
      <c r="AB129">
        <v>156766</v>
      </c>
      <c r="AC129" t="s">
        <v>1281</v>
      </c>
      <c r="AD129">
        <v>45.45</v>
      </c>
      <c r="AE129" t="s">
        <v>1505</v>
      </c>
      <c r="AF129" t="s">
        <v>1727</v>
      </c>
      <c r="AG129">
        <v>16192</v>
      </c>
      <c r="AH129">
        <v>1026</v>
      </c>
      <c r="AJ129">
        <v>1.11</v>
      </c>
      <c r="AK129" t="b">
        <v>1</v>
      </c>
    </row>
    <row r="130" spans="1:37">
      <c r="A130" s="1" t="s">
        <v>164</v>
      </c>
      <c r="B130" t="s">
        <v>388</v>
      </c>
      <c r="C130">
        <f>HYPERLINK("https://finance.naver.com/item/coinfo.nhn?code=317450", "A317450")</f>
        <v>0</v>
      </c>
      <c r="D130">
        <f>HYPERLINK("http://comp.fnguide.com/SVO2/ASP/SVD_Consensus.asp?pGB=1&amp;gicode=A317450&amp;cID=&amp;MenuYn=Y&amp;ReportGB=&amp;NewMenuID=108&amp;stkGb=701", "명인제약")</f>
        <v>0</v>
      </c>
      <c r="E130">
        <v>3</v>
      </c>
      <c r="F130">
        <v>44100</v>
      </c>
      <c r="G130">
        <v>0</v>
      </c>
      <c r="H130">
        <v>10.26</v>
      </c>
      <c r="I130">
        <v>67934</v>
      </c>
      <c r="J130">
        <v>60727</v>
      </c>
      <c r="K130">
        <v>58202</v>
      </c>
      <c r="L130">
        <v>-54.05</v>
      </c>
      <c r="M130">
        <v>-37.7</v>
      </c>
      <c r="N130">
        <v>-31.98</v>
      </c>
      <c r="O130">
        <v>13.47</v>
      </c>
      <c r="P130" t="b">
        <v>1</v>
      </c>
      <c r="Q130">
        <v>0</v>
      </c>
      <c r="R130">
        <v>6718</v>
      </c>
      <c r="U130" t="s">
        <v>612</v>
      </c>
      <c r="V130" t="s">
        <v>836</v>
      </c>
      <c r="W130">
        <v>0</v>
      </c>
      <c r="X130">
        <v>-6.4</v>
      </c>
      <c r="Y130" t="s">
        <v>1059</v>
      </c>
      <c r="Z130">
        <v>3.346586720458045</v>
      </c>
      <c r="AA130">
        <v>6439</v>
      </c>
      <c r="AB130">
        <v>15938</v>
      </c>
      <c r="AC130" t="s">
        <v>1282</v>
      </c>
      <c r="AD130">
        <v>73.47</v>
      </c>
      <c r="AE130" t="s">
        <v>1506</v>
      </c>
      <c r="AF130" t="s">
        <v>1728</v>
      </c>
      <c r="AG130">
        <v>2873</v>
      </c>
      <c r="AH130">
        <v>925</v>
      </c>
      <c r="AJ130">
        <v>2.18</v>
      </c>
      <c r="AK130" t="b">
        <v>1</v>
      </c>
    </row>
    <row r="131" spans="1:37">
      <c r="A131" s="1" t="s">
        <v>165</v>
      </c>
      <c r="B131" t="s">
        <v>389</v>
      </c>
      <c r="C131">
        <f>HYPERLINK("https://finance.naver.com/item/coinfo.nhn?code=000270", "A000270")</f>
        <v>0</v>
      </c>
      <c r="D131">
        <f>HYPERLINK("http://comp.fnguide.com/SVO2/ASP/SVD_Consensus.asp?pGB=1&amp;gicode=A000270&amp;cID=&amp;MenuYn=Y&amp;ReportGB=&amp;NewMenuID=108&amp;stkGb=701", "기아")</f>
        <v>0</v>
      </c>
      <c r="E131">
        <v>3</v>
      </c>
      <c r="F131">
        <v>161100</v>
      </c>
      <c r="G131">
        <v>-8.9</v>
      </c>
      <c r="H131">
        <v>6.37</v>
      </c>
      <c r="I131">
        <v>236808</v>
      </c>
      <c r="J131">
        <v>194510</v>
      </c>
      <c r="K131">
        <v>179687</v>
      </c>
      <c r="L131">
        <v>-46.99</v>
      </c>
      <c r="M131">
        <v>-20.74</v>
      </c>
      <c r="N131">
        <v>-11.54</v>
      </c>
      <c r="O131">
        <v>16.23</v>
      </c>
      <c r="P131" t="b">
        <v>1</v>
      </c>
      <c r="Q131">
        <v>1</v>
      </c>
      <c r="R131">
        <v>19111</v>
      </c>
      <c r="S131">
        <v>21310</v>
      </c>
      <c r="T131">
        <v>11.5</v>
      </c>
      <c r="U131" t="s">
        <v>613</v>
      </c>
      <c r="V131" t="s">
        <v>837</v>
      </c>
      <c r="W131">
        <v>-0.7156613266420586</v>
      </c>
      <c r="X131">
        <v>-22</v>
      </c>
      <c r="Y131" t="s">
        <v>1060</v>
      </c>
      <c r="Z131">
        <v>4.871831810635907</v>
      </c>
      <c r="AA131">
        <v>628955</v>
      </c>
      <c r="AB131">
        <v>1077583</v>
      </c>
      <c r="AC131" t="s">
        <v>1283</v>
      </c>
      <c r="AD131">
        <v>36.99</v>
      </c>
      <c r="AE131" t="s">
        <v>1507</v>
      </c>
      <c r="AF131" t="s">
        <v>1729</v>
      </c>
      <c r="AG131">
        <v>1141409</v>
      </c>
      <c r="AH131">
        <v>90781</v>
      </c>
      <c r="AI131">
        <v>1756955</v>
      </c>
      <c r="AJ131">
        <v>5.58</v>
      </c>
      <c r="AK131" t="b">
        <v>1</v>
      </c>
    </row>
    <row r="132" spans="1:37">
      <c r="A132" s="1" t="s">
        <v>166</v>
      </c>
      <c r="B132" t="s">
        <v>390</v>
      </c>
      <c r="C132">
        <f>HYPERLINK("https://finance.naver.com/item/coinfo.nhn?code=073240", "A073240")</f>
        <v>0</v>
      </c>
      <c r="D132">
        <f>HYPERLINK("http://comp.fnguide.com/SVO2/ASP/SVD_Consensus.asp?pGB=1&amp;gicode=A073240&amp;cID=&amp;MenuYn=Y&amp;ReportGB=&amp;NewMenuID=108&amp;stkGb=701", "금호타이어")</f>
        <v>0</v>
      </c>
      <c r="E132">
        <v>3</v>
      </c>
      <c r="F132">
        <v>4650</v>
      </c>
      <c r="G132">
        <v>0.14</v>
      </c>
      <c r="H132">
        <v>4.85</v>
      </c>
      <c r="I132">
        <v>12258</v>
      </c>
      <c r="J132">
        <v>9490</v>
      </c>
      <c r="K132">
        <v>8521</v>
      </c>
      <c r="L132">
        <v>-163.61</v>
      </c>
      <c r="M132">
        <v>-104.09</v>
      </c>
      <c r="N132">
        <v>-83.23999999999999</v>
      </c>
      <c r="O132">
        <v>18.72</v>
      </c>
      <c r="P132" t="b">
        <v>0</v>
      </c>
      <c r="Q132">
        <v>3</v>
      </c>
      <c r="R132">
        <v>1209</v>
      </c>
      <c r="S132">
        <v>1370</v>
      </c>
      <c r="T132">
        <v>13.3</v>
      </c>
      <c r="U132" t="s">
        <v>614</v>
      </c>
      <c r="V132" t="s">
        <v>838</v>
      </c>
      <c r="W132">
        <v>35.63078597499298</v>
      </c>
      <c r="X132">
        <v>-1.5</v>
      </c>
      <c r="Y132" t="s">
        <v>1061</v>
      </c>
      <c r="Z132">
        <v>0</v>
      </c>
      <c r="AA132">
        <v>13358</v>
      </c>
      <c r="AB132">
        <v>896020</v>
      </c>
      <c r="AC132" t="s">
        <v>1284</v>
      </c>
      <c r="AD132">
        <v>60.49</v>
      </c>
      <c r="AE132" t="s">
        <v>1508</v>
      </c>
      <c r="AF132" t="s">
        <v>1730</v>
      </c>
      <c r="AG132">
        <v>47013</v>
      </c>
      <c r="AH132">
        <v>5759</v>
      </c>
      <c r="AK132" t="b">
        <v>1</v>
      </c>
    </row>
    <row r="133" spans="1:37">
      <c r="A133" s="1" t="s">
        <v>167</v>
      </c>
      <c r="B133" t="s">
        <v>391</v>
      </c>
      <c r="C133">
        <f>HYPERLINK("https://finance.naver.com/item/coinfo.nhn?code=004920", "A004920")</f>
        <v>0</v>
      </c>
      <c r="D133">
        <f>HYPERLINK("http://comp.fnguide.com/SVO2/ASP/SVD_Consensus.asp?pGB=1&amp;gicode=A004920&amp;cID=&amp;MenuYn=Y&amp;ReportGB=&amp;NewMenuID=108&amp;stkGb=701", "씨아이테크")</f>
        <v>0</v>
      </c>
      <c r="E133">
        <v>3</v>
      </c>
      <c r="F133">
        <v>970</v>
      </c>
      <c r="G133">
        <v>0</v>
      </c>
      <c r="H133">
        <v>3.69</v>
      </c>
      <c r="I133">
        <v>1491</v>
      </c>
      <c r="J133">
        <v>1447</v>
      </c>
      <c r="K133">
        <v>1431</v>
      </c>
      <c r="L133">
        <v>-53.66</v>
      </c>
      <c r="M133">
        <v>-49.15</v>
      </c>
      <c r="N133">
        <v>-47.56</v>
      </c>
      <c r="O133">
        <v>11.42</v>
      </c>
      <c r="P133" t="b">
        <v>1</v>
      </c>
      <c r="Q133">
        <v>0</v>
      </c>
      <c r="R133">
        <v>290</v>
      </c>
      <c r="U133" t="s">
        <v>615</v>
      </c>
      <c r="V133" t="s">
        <v>839</v>
      </c>
      <c r="W133">
        <v>0</v>
      </c>
      <c r="X133">
        <v>2255.2</v>
      </c>
      <c r="Y133" t="s">
        <v>1062</v>
      </c>
      <c r="Z133">
        <v>0</v>
      </c>
      <c r="AA133">
        <v>506</v>
      </c>
      <c r="AB133">
        <v>239761</v>
      </c>
      <c r="AC133" t="s">
        <v>1285</v>
      </c>
      <c r="AD133">
        <v>26.16</v>
      </c>
      <c r="AE133" t="s">
        <v>1509</v>
      </c>
      <c r="AF133" t="s">
        <v>1731</v>
      </c>
      <c r="AG133">
        <v>415</v>
      </c>
      <c r="AH133">
        <v>20</v>
      </c>
      <c r="AI133">
        <v>203092</v>
      </c>
      <c r="AK133" t="b">
        <v>1</v>
      </c>
    </row>
    <row r="134" spans="1:37">
      <c r="A134" s="1" t="s">
        <v>168</v>
      </c>
      <c r="B134" t="s">
        <v>392</v>
      </c>
      <c r="C134">
        <f>HYPERLINK("https://finance.naver.com/item/coinfo.nhn?code=003650", "A003650")</f>
        <v>0</v>
      </c>
      <c r="D134">
        <f>HYPERLINK("http://comp.fnguide.com/SVO2/ASP/SVD_Consensus.asp?pGB=1&amp;gicode=A003650&amp;cID=&amp;MenuYn=Y&amp;ReportGB=&amp;NewMenuID=108&amp;stkGb=701", "미창석유")</f>
        <v>0</v>
      </c>
      <c r="E134">
        <v>3</v>
      </c>
      <c r="F134">
        <v>121300</v>
      </c>
      <c r="G134">
        <v>0</v>
      </c>
      <c r="H134">
        <v>3.07</v>
      </c>
      <c r="I134">
        <v>427225</v>
      </c>
      <c r="J134">
        <v>368411</v>
      </c>
      <c r="K134">
        <v>347800</v>
      </c>
      <c r="L134">
        <v>-252.21</v>
      </c>
      <c r="M134">
        <v>-203.72</v>
      </c>
      <c r="N134">
        <v>-186.73</v>
      </c>
      <c r="O134">
        <v>14.55</v>
      </c>
      <c r="P134" t="b">
        <v>0</v>
      </c>
      <c r="Q134">
        <v>0</v>
      </c>
      <c r="R134">
        <v>39586</v>
      </c>
      <c r="U134" t="s">
        <v>616</v>
      </c>
      <c r="V134" t="s">
        <v>840</v>
      </c>
      <c r="W134">
        <v>0</v>
      </c>
      <c r="X134">
        <v>443.6</v>
      </c>
      <c r="Y134" t="s">
        <v>1063</v>
      </c>
      <c r="Z134">
        <v>64.81140827967647</v>
      </c>
      <c r="AA134">
        <v>2110</v>
      </c>
      <c r="AB134">
        <v>2299</v>
      </c>
      <c r="AC134" t="s">
        <v>1286</v>
      </c>
      <c r="AD134">
        <v>40.24</v>
      </c>
      <c r="AE134" t="s">
        <v>1510</v>
      </c>
      <c r="AF134" t="s">
        <v>1732</v>
      </c>
      <c r="AG134">
        <v>4055</v>
      </c>
      <c r="AH134">
        <v>346</v>
      </c>
      <c r="AI134">
        <v>226693</v>
      </c>
      <c r="AJ134">
        <v>2.88</v>
      </c>
      <c r="AK134" t="b">
        <v>1</v>
      </c>
    </row>
    <row r="135" spans="1:37">
      <c r="A135" s="1" t="s">
        <v>169</v>
      </c>
      <c r="B135" t="s">
        <v>393</v>
      </c>
      <c r="C135">
        <f>HYPERLINK("https://finance.naver.com/item/coinfo.nhn?code=035150", "A035150")</f>
        <v>0</v>
      </c>
      <c r="D135">
        <f>HYPERLINK("http://comp.fnguide.com/SVO2/ASP/SVD_Consensus.asp?pGB=1&amp;gicode=A035150&amp;cID=&amp;MenuYn=Y&amp;ReportGB=&amp;NewMenuID=108&amp;stkGb=701", "백산")</f>
        <v>0</v>
      </c>
      <c r="E135">
        <v>3</v>
      </c>
      <c r="F135">
        <v>10270</v>
      </c>
      <c r="G135">
        <v>0.86</v>
      </c>
      <c r="H135">
        <v>8.210000000000001</v>
      </c>
      <c r="I135">
        <v>23039</v>
      </c>
      <c r="J135">
        <v>17696</v>
      </c>
      <c r="K135">
        <v>15823</v>
      </c>
      <c r="L135">
        <v>-124.34</v>
      </c>
      <c r="M135">
        <v>-72.31</v>
      </c>
      <c r="N135">
        <v>-54.07</v>
      </c>
      <c r="O135">
        <v>19.11</v>
      </c>
      <c r="P135" t="b">
        <v>0</v>
      </c>
      <c r="Q135">
        <v>1</v>
      </c>
      <c r="R135">
        <v>1590</v>
      </c>
      <c r="S135">
        <v>2365</v>
      </c>
      <c r="T135">
        <v>48.7</v>
      </c>
      <c r="U135" t="s">
        <v>617</v>
      </c>
      <c r="V135" t="s">
        <v>841</v>
      </c>
      <c r="W135">
        <v>9.566127485011865</v>
      </c>
      <c r="X135">
        <v>2</v>
      </c>
      <c r="Y135" t="s">
        <v>1064</v>
      </c>
      <c r="Z135">
        <v>15.42531005227983</v>
      </c>
      <c r="AA135">
        <v>2057</v>
      </c>
      <c r="AB135">
        <v>23016</v>
      </c>
      <c r="AC135" t="s">
        <v>1287</v>
      </c>
      <c r="AD135">
        <v>61.23</v>
      </c>
      <c r="AE135" t="s">
        <v>1511</v>
      </c>
      <c r="AF135" t="s">
        <v>1733</v>
      </c>
      <c r="AG135">
        <v>5049</v>
      </c>
      <c r="AH135">
        <v>536</v>
      </c>
      <c r="AI135">
        <v>154908</v>
      </c>
      <c r="AJ135">
        <v>3.45</v>
      </c>
      <c r="AK135" t="b">
        <v>1</v>
      </c>
    </row>
    <row r="136" spans="1:37">
      <c r="A136" s="1" t="s">
        <v>170</v>
      </c>
      <c r="B136" t="s">
        <v>394</v>
      </c>
      <c r="C136">
        <f>HYPERLINK("https://finance.naver.com/item/coinfo.nhn?code=005180", "A005180")</f>
        <v>0</v>
      </c>
      <c r="D136">
        <f>HYPERLINK("http://comp.fnguide.com/SVO2/ASP/SVD_Consensus.asp?pGB=1&amp;gicode=A005180&amp;cID=&amp;MenuYn=Y&amp;ReportGB=&amp;NewMenuID=108&amp;stkGb=701", "빙그레")</f>
        <v>0</v>
      </c>
      <c r="E136">
        <v>3</v>
      </c>
      <c r="F136">
        <v>69200</v>
      </c>
      <c r="G136">
        <v>-21.98</v>
      </c>
      <c r="H136">
        <v>12.94</v>
      </c>
      <c r="I136">
        <v>87294</v>
      </c>
      <c r="J136">
        <v>85604</v>
      </c>
      <c r="K136">
        <v>85012</v>
      </c>
      <c r="L136">
        <v>-26.15</v>
      </c>
      <c r="M136">
        <v>-23.71</v>
      </c>
      <c r="N136">
        <v>-22.85</v>
      </c>
      <c r="O136">
        <v>11.2</v>
      </c>
      <c r="P136" t="b">
        <v>1</v>
      </c>
      <c r="Q136">
        <v>1</v>
      </c>
      <c r="R136">
        <v>5757</v>
      </c>
      <c r="S136">
        <v>8606</v>
      </c>
      <c r="T136">
        <v>49.5</v>
      </c>
      <c r="U136" t="s">
        <v>618</v>
      </c>
      <c r="V136" t="s">
        <v>842</v>
      </c>
      <c r="W136">
        <v>-0.5886673258576725</v>
      </c>
      <c r="X136">
        <v>-1.7</v>
      </c>
      <c r="Y136" t="s">
        <v>1065</v>
      </c>
      <c r="Z136">
        <v>0</v>
      </c>
      <c r="AA136">
        <v>6414</v>
      </c>
      <c r="AB136">
        <v>33704</v>
      </c>
      <c r="AC136" t="s">
        <v>1288</v>
      </c>
      <c r="AD136">
        <v>43.46</v>
      </c>
      <c r="AE136" t="s">
        <v>1512</v>
      </c>
      <c r="AF136" t="s">
        <v>1734</v>
      </c>
      <c r="AG136">
        <v>14896</v>
      </c>
      <c r="AH136">
        <v>884</v>
      </c>
      <c r="AI136">
        <v>427230</v>
      </c>
      <c r="AJ136">
        <v>4.43</v>
      </c>
      <c r="AK136" t="b">
        <v>1</v>
      </c>
    </row>
    <row r="137" spans="1:37">
      <c r="A137" s="1" t="s">
        <v>171</v>
      </c>
      <c r="B137" t="s">
        <v>395</v>
      </c>
      <c r="C137">
        <f>HYPERLINK("https://finance.naver.com/item/coinfo.nhn?code=009770", "A009770")</f>
        <v>0</v>
      </c>
      <c r="D137">
        <f>HYPERLINK("http://comp.fnguide.com/SVO2/ASP/SVD_Consensus.asp?pGB=1&amp;gicode=A009770&amp;cID=&amp;MenuYn=Y&amp;ReportGB=&amp;NewMenuID=108&amp;stkGb=701", "삼정펄프")</f>
        <v>0</v>
      </c>
      <c r="E137">
        <v>3</v>
      </c>
      <c r="F137">
        <v>26250</v>
      </c>
      <c r="G137">
        <v>0</v>
      </c>
      <c r="H137">
        <v>2.48</v>
      </c>
      <c r="I137">
        <v>127782</v>
      </c>
      <c r="J137">
        <v>120864</v>
      </c>
      <c r="K137">
        <v>118440</v>
      </c>
      <c r="L137">
        <v>-386.79</v>
      </c>
      <c r="M137">
        <v>-360.44</v>
      </c>
      <c r="N137">
        <v>-351.2</v>
      </c>
      <c r="O137">
        <v>12.01</v>
      </c>
      <c r="P137" t="b">
        <v>0</v>
      </c>
      <c r="Q137">
        <v>0</v>
      </c>
      <c r="R137">
        <v>12556</v>
      </c>
      <c r="U137" t="s">
        <v>619</v>
      </c>
      <c r="V137" t="s">
        <v>843</v>
      </c>
      <c r="W137">
        <v>0</v>
      </c>
      <c r="Y137" t="s">
        <v>1066</v>
      </c>
      <c r="Z137">
        <v>0</v>
      </c>
      <c r="AA137">
        <v>656</v>
      </c>
      <c r="AB137">
        <v>1041</v>
      </c>
      <c r="AC137" t="s">
        <v>1289</v>
      </c>
      <c r="AD137">
        <v>73.93000000000001</v>
      </c>
      <c r="AE137" t="s">
        <v>1513</v>
      </c>
      <c r="AF137" t="s">
        <v>1735</v>
      </c>
      <c r="AG137">
        <v>1486</v>
      </c>
      <c r="AH137">
        <v>-14</v>
      </c>
      <c r="AJ137">
        <v>3.22</v>
      </c>
      <c r="AK137" t="b">
        <v>1</v>
      </c>
    </row>
    <row r="138" spans="1:37">
      <c r="A138" s="1" t="s">
        <v>172</v>
      </c>
      <c r="B138" t="s">
        <v>396</v>
      </c>
      <c r="C138">
        <f>HYPERLINK("https://finance.naver.com/item/coinfo.nhn?code=007860", "A007860")</f>
        <v>0</v>
      </c>
      <c r="D138">
        <f>HYPERLINK("http://comp.fnguide.com/SVO2/ASP/SVD_Consensus.asp?pGB=1&amp;gicode=A007860&amp;cID=&amp;MenuYn=Y&amp;ReportGB=&amp;NewMenuID=108&amp;stkGb=701", "서연")</f>
        <v>0</v>
      </c>
      <c r="E138">
        <v>3</v>
      </c>
      <c r="F138">
        <v>8140</v>
      </c>
      <c r="G138">
        <v>0</v>
      </c>
      <c r="H138">
        <v>4.05</v>
      </c>
      <c r="I138">
        <v>47188</v>
      </c>
      <c r="J138">
        <v>43596</v>
      </c>
      <c r="K138">
        <v>42337</v>
      </c>
      <c r="L138">
        <v>-479.71</v>
      </c>
      <c r="M138">
        <v>-435.58</v>
      </c>
      <c r="N138">
        <v>-420.11</v>
      </c>
      <c r="O138">
        <v>12.59</v>
      </c>
      <c r="P138" t="b">
        <v>1</v>
      </c>
      <c r="Q138">
        <v>0</v>
      </c>
      <c r="R138">
        <v>2380</v>
      </c>
      <c r="U138" t="s">
        <v>620</v>
      </c>
      <c r="V138" t="s">
        <v>844</v>
      </c>
      <c r="W138">
        <v>0</v>
      </c>
      <c r="X138">
        <v>121.6</v>
      </c>
      <c r="Y138" t="s">
        <v>1067</v>
      </c>
      <c r="Z138">
        <v>39.22116194545631</v>
      </c>
      <c r="AA138">
        <v>1911</v>
      </c>
      <c r="AB138">
        <v>104850</v>
      </c>
      <c r="AC138" t="s">
        <v>1290</v>
      </c>
      <c r="AD138">
        <v>46.87</v>
      </c>
      <c r="AE138" t="s">
        <v>1514</v>
      </c>
      <c r="AF138" t="s">
        <v>1736</v>
      </c>
      <c r="AG138">
        <v>49161</v>
      </c>
      <c r="AH138">
        <v>1996</v>
      </c>
      <c r="AI138">
        <v>1772558</v>
      </c>
      <c r="AJ138">
        <v>2.59</v>
      </c>
      <c r="AK138" t="b">
        <v>1</v>
      </c>
    </row>
    <row r="139" spans="1:37">
      <c r="A139" s="1" t="s">
        <v>173</v>
      </c>
      <c r="B139" t="s">
        <v>397</v>
      </c>
      <c r="C139">
        <f>HYPERLINK("https://finance.naver.com/item/coinfo.nhn?code=200880", "A200880")</f>
        <v>0</v>
      </c>
      <c r="D139">
        <f>HYPERLINK("http://comp.fnguide.com/SVO2/ASP/SVD_Consensus.asp?pGB=1&amp;gicode=A200880&amp;cID=&amp;MenuYn=Y&amp;ReportGB=&amp;NewMenuID=108&amp;stkGb=701", "서연이화")</f>
        <v>0</v>
      </c>
      <c r="E139">
        <v>3</v>
      </c>
      <c r="F139">
        <v>12410</v>
      </c>
      <c r="G139">
        <v>0</v>
      </c>
      <c r="H139">
        <v>5.86</v>
      </c>
      <c r="I139">
        <v>43697</v>
      </c>
      <c r="J139">
        <v>43511</v>
      </c>
      <c r="K139">
        <v>43446</v>
      </c>
      <c r="L139">
        <v>-252.11</v>
      </c>
      <c r="M139">
        <v>-250.61</v>
      </c>
      <c r="N139">
        <v>-250.09</v>
      </c>
      <c r="O139">
        <v>10.88</v>
      </c>
      <c r="P139" t="b">
        <v>1</v>
      </c>
      <c r="Q139">
        <v>0</v>
      </c>
      <c r="R139">
        <v>2220</v>
      </c>
      <c r="U139" t="s">
        <v>621</v>
      </c>
      <c r="V139" t="s">
        <v>845</v>
      </c>
      <c r="W139">
        <v>0</v>
      </c>
      <c r="X139">
        <v>188.2</v>
      </c>
      <c r="Y139" t="s">
        <v>1068</v>
      </c>
      <c r="Z139">
        <v>45.74451277669227</v>
      </c>
      <c r="AA139">
        <v>3354</v>
      </c>
      <c r="AB139">
        <v>88276</v>
      </c>
      <c r="AC139" t="s">
        <v>1291</v>
      </c>
      <c r="AD139">
        <v>57.06</v>
      </c>
      <c r="AE139" t="s">
        <v>1515</v>
      </c>
      <c r="AF139" t="s">
        <v>1737</v>
      </c>
      <c r="AG139">
        <v>45053</v>
      </c>
      <c r="AH139">
        <v>1618</v>
      </c>
      <c r="AI139">
        <v>5686</v>
      </c>
      <c r="AJ139">
        <v>1.92</v>
      </c>
      <c r="AK139" t="b">
        <v>1</v>
      </c>
    </row>
    <row r="140" spans="1:37">
      <c r="A140" s="1" t="s">
        <v>174</v>
      </c>
      <c r="B140" t="s">
        <v>398</v>
      </c>
      <c r="C140">
        <f>HYPERLINK("https://finance.naver.com/item/coinfo.nhn?code=136490", "A136490")</f>
        <v>0</v>
      </c>
      <c r="D140">
        <f>HYPERLINK("http://comp.fnguide.com/SVO2/ASP/SVD_Consensus.asp?pGB=1&amp;gicode=A136490&amp;cID=&amp;MenuYn=Y&amp;ReportGB=&amp;NewMenuID=108&amp;stkGb=701", "선진")</f>
        <v>0</v>
      </c>
      <c r="E140">
        <v>3</v>
      </c>
      <c r="F140">
        <v>9730</v>
      </c>
      <c r="G140">
        <v>0</v>
      </c>
      <c r="H140">
        <v>1.94</v>
      </c>
      <c r="I140">
        <v>27887</v>
      </c>
      <c r="J140">
        <v>25645</v>
      </c>
      <c r="K140">
        <v>24860</v>
      </c>
      <c r="L140">
        <v>-186.61</v>
      </c>
      <c r="M140">
        <v>-163.57</v>
      </c>
      <c r="N140">
        <v>-155.49</v>
      </c>
      <c r="O140">
        <v>12.71</v>
      </c>
      <c r="P140" t="b">
        <v>1</v>
      </c>
      <c r="Q140">
        <v>0</v>
      </c>
      <c r="R140">
        <v>5002</v>
      </c>
      <c r="U140" t="s">
        <v>622</v>
      </c>
      <c r="V140" t="s">
        <v>846</v>
      </c>
      <c r="W140">
        <v>0</v>
      </c>
      <c r="X140">
        <v>-14.2</v>
      </c>
      <c r="Y140" t="s">
        <v>1069</v>
      </c>
      <c r="Z140">
        <v>26.09148639002598</v>
      </c>
      <c r="AA140">
        <v>2314</v>
      </c>
      <c r="AB140">
        <v>77622</v>
      </c>
      <c r="AC140" t="s">
        <v>1292</v>
      </c>
      <c r="AD140">
        <v>50.06</v>
      </c>
      <c r="AE140" t="s">
        <v>1516</v>
      </c>
      <c r="AF140" t="s">
        <v>1738</v>
      </c>
      <c r="AG140">
        <v>18957</v>
      </c>
      <c r="AH140">
        <v>1792</v>
      </c>
      <c r="AI140">
        <v>396</v>
      </c>
      <c r="AJ140">
        <v>2.06</v>
      </c>
      <c r="AK140" t="b">
        <v>1</v>
      </c>
    </row>
    <row r="141" spans="1:37">
      <c r="A141" s="1" t="s">
        <v>175</v>
      </c>
      <c r="B141" t="s">
        <v>399</v>
      </c>
      <c r="C141">
        <f>HYPERLINK("https://finance.naver.com/item/coinfo.nhn?code=031440", "A031440")</f>
        <v>0</v>
      </c>
      <c r="D141">
        <f>HYPERLINK("http://comp.fnguide.com/SVO2/ASP/SVD_Consensus.asp?pGB=1&amp;gicode=A031440&amp;cID=&amp;MenuYn=Y&amp;ReportGB=&amp;NewMenuID=108&amp;stkGb=701", "신세계푸드")</f>
        <v>0</v>
      </c>
      <c r="E141">
        <v>3</v>
      </c>
      <c r="F141">
        <v>44750</v>
      </c>
      <c r="G141">
        <v>0</v>
      </c>
      <c r="H141">
        <v>2.4</v>
      </c>
      <c r="I141">
        <v>126102</v>
      </c>
      <c r="J141">
        <v>111655</v>
      </c>
      <c r="K141">
        <v>106592</v>
      </c>
      <c r="L141">
        <v>-181.79</v>
      </c>
      <c r="M141">
        <v>-149.51</v>
      </c>
      <c r="N141">
        <v>-138.19</v>
      </c>
      <c r="O141">
        <v>13.74</v>
      </c>
      <c r="P141" t="b">
        <v>1</v>
      </c>
      <c r="Q141">
        <v>0</v>
      </c>
      <c r="R141">
        <v>19939</v>
      </c>
      <c r="U141" t="s">
        <v>623</v>
      </c>
      <c r="V141" t="s">
        <v>847</v>
      </c>
      <c r="W141">
        <v>0</v>
      </c>
      <c r="X141">
        <v>-23.3</v>
      </c>
      <c r="Y141" t="s">
        <v>1070</v>
      </c>
      <c r="Z141">
        <v>0</v>
      </c>
      <c r="AA141">
        <v>1733</v>
      </c>
      <c r="AB141">
        <v>16247</v>
      </c>
      <c r="AC141" t="s">
        <v>1293</v>
      </c>
      <c r="AD141">
        <v>66.45999999999999</v>
      </c>
      <c r="AE141" t="s">
        <v>1517</v>
      </c>
      <c r="AF141" t="s">
        <v>1739</v>
      </c>
      <c r="AG141">
        <v>12332</v>
      </c>
      <c r="AH141">
        <v>48</v>
      </c>
      <c r="AI141">
        <v>257029</v>
      </c>
      <c r="AJ141">
        <v>1.88</v>
      </c>
      <c r="AK141" t="b">
        <v>1</v>
      </c>
    </row>
    <row r="142" spans="1:37">
      <c r="A142" s="1" t="s">
        <v>176</v>
      </c>
      <c r="B142" t="s">
        <v>400</v>
      </c>
      <c r="C142">
        <f>HYPERLINK("https://finance.naver.com/item/coinfo.nhn?code=010770", "A010770")</f>
        <v>0</v>
      </c>
      <c r="D142">
        <f>HYPERLINK("http://comp.fnguide.com/SVO2/ASP/SVD_Consensus.asp?pGB=1&amp;gicode=A010770&amp;cID=&amp;MenuYn=Y&amp;ReportGB=&amp;NewMenuID=108&amp;stkGb=701", "평화홀딩스")</f>
        <v>0</v>
      </c>
      <c r="E142">
        <v>3</v>
      </c>
      <c r="F142">
        <v>4180</v>
      </c>
      <c r="G142">
        <v>0</v>
      </c>
      <c r="H142">
        <v>1.6</v>
      </c>
      <c r="I142">
        <v>14314</v>
      </c>
      <c r="J142">
        <v>11404</v>
      </c>
      <c r="K142">
        <v>10385</v>
      </c>
      <c r="L142">
        <v>-242.43</v>
      </c>
      <c r="M142">
        <v>-172.83</v>
      </c>
      <c r="N142">
        <v>-148.44</v>
      </c>
      <c r="O142">
        <v>17.44</v>
      </c>
      <c r="P142" t="b">
        <v>1</v>
      </c>
      <c r="Q142">
        <v>0</v>
      </c>
      <c r="R142">
        <v>2375</v>
      </c>
      <c r="U142" t="s">
        <v>624</v>
      </c>
      <c r="V142" t="s">
        <v>848</v>
      </c>
      <c r="W142">
        <v>0</v>
      </c>
      <c r="X142">
        <v>219.6</v>
      </c>
      <c r="Y142" t="s">
        <v>1071</v>
      </c>
      <c r="Z142">
        <v>0</v>
      </c>
      <c r="AA142">
        <v>611</v>
      </c>
      <c r="AB142">
        <v>84255</v>
      </c>
      <c r="AC142" t="s">
        <v>1294</v>
      </c>
      <c r="AD142">
        <v>52.07</v>
      </c>
      <c r="AE142" t="s">
        <v>1518</v>
      </c>
      <c r="AF142" t="s">
        <v>1740</v>
      </c>
      <c r="AG142">
        <v>8837</v>
      </c>
      <c r="AH142">
        <v>349</v>
      </c>
      <c r="AI142">
        <v>236505</v>
      </c>
      <c r="AJ142">
        <v>3.96</v>
      </c>
      <c r="AK142" t="b">
        <v>1</v>
      </c>
    </row>
    <row r="143" spans="1:37">
      <c r="A143" s="1" t="s">
        <v>177</v>
      </c>
      <c r="B143" t="s">
        <v>401</v>
      </c>
      <c r="C143">
        <f>HYPERLINK("https://finance.naver.com/item/coinfo.nhn?code=284740", "A284740")</f>
        <v>0</v>
      </c>
      <c r="D143">
        <f>HYPERLINK("http://comp.fnguide.com/SVO2/ASP/SVD_Consensus.asp?pGB=1&amp;gicode=A284740&amp;cID=&amp;MenuYn=Y&amp;ReportGB=&amp;NewMenuID=108&amp;stkGb=701", "쿠쿠홈시스")</f>
        <v>0</v>
      </c>
      <c r="E143">
        <v>3</v>
      </c>
      <c r="F143">
        <v>21800</v>
      </c>
      <c r="G143">
        <v>0</v>
      </c>
      <c r="H143">
        <v>4.52</v>
      </c>
      <c r="I143">
        <v>58824</v>
      </c>
      <c r="J143">
        <v>53254</v>
      </c>
      <c r="K143">
        <v>51302</v>
      </c>
      <c r="L143">
        <v>-169.84</v>
      </c>
      <c r="M143">
        <v>-144.28</v>
      </c>
      <c r="N143">
        <v>-135.33</v>
      </c>
      <c r="O143">
        <v>13.12</v>
      </c>
      <c r="P143" t="b">
        <v>1</v>
      </c>
      <c r="Q143">
        <v>0</v>
      </c>
      <c r="R143">
        <v>5327</v>
      </c>
      <c r="U143" t="s">
        <v>625</v>
      </c>
      <c r="V143" t="s">
        <v>849</v>
      </c>
      <c r="W143">
        <v>0</v>
      </c>
      <c r="X143">
        <v>14.2</v>
      </c>
      <c r="Y143" t="s">
        <v>1072</v>
      </c>
      <c r="Z143">
        <v>3.692220670123847</v>
      </c>
      <c r="AA143">
        <v>4891</v>
      </c>
      <c r="AB143">
        <v>13317</v>
      </c>
      <c r="AC143" t="s">
        <v>1295</v>
      </c>
      <c r="AD143">
        <v>70.09</v>
      </c>
      <c r="AE143" t="s">
        <v>1519</v>
      </c>
      <c r="AF143" t="s">
        <v>1741</v>
      </c>
      <c r="AG143">
        <v>11213</v>
      </c>
      <c r="AH143">
        <v>1694</v>
      </c>
      <c r="AI143">
        <v>14950</v>
      </c>
      <c r="AJ143">
        <v>4.99</v>
      </c>
      <c r="AK143" t="b">
        <v>1</v>
      </c>
    </row>
    <row r="144" spans="1:37">
      <c r="A144" s="1" t="s">
        <v>178</v>
      </c>
      <c r="B144" t="s">
        <v>402</v>
      </c>
      <c r="C144">
        <f>HYPERLINK("https://finance.naver.com/item/coinfo.nhn?code=025540", "A025540")</f>
        <v>0</v>
      </c>
      <c r="D144">
        <f>HYPERLINK("http://comp.fnguide.com/SVO2/ASP/SVD_Consensus.asp?pGB=1&amp;gicode=A025540&amp;cID=&amp;MenuYn=Y&amp;ReportGB=&amp;NewMenuID=108&amp;stkGb=701", "한국단자")</f>
        <v>0</v>
      </c>
      <c r="E144">
        <v>3</v>
      </c>
      <c r="F144">
        <v>75000</v>
      </c>
      <c r="G144">
        <v>0.31</v>
      </c>
      <c r="H144">
        <v>6.48</v>
      </c>
      <c r="I144">
        <v>114971</v>
      </c>
      <c r="J144">
        <v>114896</v>
      </c>
      <c r="K144">
        <v>114869</v>
      </c>
      <c r="L144">
        <v>-53.3</v>
      </c>
      <c r="M144">
        <v>-53.19</v>
      </c>
      <c r="N144">
        <v>-53.16</v>
      </c>
      <c r="O144">
        <v>10.8</v>
      </c>
      <c r="P144" t="b">
        <v>1</v>
      </c>
      <c r="Q144">
        <v>1</v>
      </c>
      <c r="R144">
        <v>10383</v>
      </c>
      <c r="S144">
        <v>12348</v>
      </c>
      <c r="T144">
        <v>18.9</v>
      </c>
      <c r="U144" t="s">
        <v>626</v>
      </c>
      <c r="V144" t="s">
        <v>850</v>
      </c>
      <c r="W144">
        <v>20.80481337632283</v>
      </c>
      <c r="X144">
        <v>34</v>
      </c>
      <c r="Y144" t="s">
        <v>1073</v>
      </c>
      <c r="Z144">
        <v>18.1483563493472</v>
      </c>
      <c r="AA144">
        <v>7586</v>
      </c>
      <c r="AB144">
        <v>32650</v>
      </c>
      <c r="AC144" t="s">
        <v>1296</v>
      </c>
      <c r="AD144">
        <v>38.43</v>
      </c>
      <c r="AE144" t="s">
        <v>1520</v>
      </c>
      <c r="AF144" t="s">
        <v>1742</v>
      </c>
      <c r="AG144">
        <v>14429</v>
      </c>
      <c r="AH144">
        <v>1393</v>
      </c>
      <c r="AJ144">
        <v>4.75</v>
      </c>
      <c r="AK144" t="b">
        <v>1</v>
      </c>
    </row>
    <row r="145" spans="1:37">
      <c r="A145" s="1" t="s">
        <v>179</v>
      </c>
      <c r="B145" t="s">
        <v>403</v>
      </c>
      <c r="C145">
        <f>HYPERLINK("https://finance.naver.com/item/coinfo.nhn?code=234080", "A234080")</f>
        <v>0</v>
      </c>
      <c r="D145">
        <f>HYPERLINK("http://comp.fnguide.com/SVO2/ASP/SVD_Consensus.asp?pGB=1&amp;gicode=A234080&amp;cID=&amp;MenuYn=Y&amp;ReportGB=&amp;NewMenuID=108&amp;stkGb=701", "JW생명과학")</f>
        <v>0</v>
      </c>
      <c r="E145">
        <v>3</v>
      </c>
      <c r="F145">
        <v>11040</v>
      </c>
      <c r="G145">
        <v>-7.62</v>
      </c>
      <c r="H145">
        <v>7.11</v>
      </c>
      <c r="I145">
        <v>23865</v>
      </c>
      <c r="J145">
        <v>18739</v>
      </c>
      <c r="K145">
        <v>16943</v>
      </c>
      <c r="L145">
        <v>-116.17</v>
      </c>
      <c r="M145">
        <v>-69.73999999999999</v>
      </c>
      <c r="N145">
        <v>-53.47</v>
      </c>
      <c r="O145">
        <v>18.07</v>
      </c>
      <c r="P145" t="b">
        <v>1</v>
      </c>
      <c r="Q145">
        <v>0</v>
      </c>
      <c r="R145">
        <v>1807</v>
      </c>
      <c r="S145">
        <v>1730</v>
      </c>
      <c r="T145">
        <v>-4.3</v>
      </c>
      <c r="U145" t="s">
        <v>627</v>
      </c>
      <c r="V145" t="s">
        <v>851</v>
      </c>
      <c r="W145">
        <v>-0.9332100528641196</v>
      </c>
      <c r="X145">
        <v>9.5</v>
      </c>
      <c r="Y145" t="s">
        <v>1074</v>
      </c>
      <c r="Z145">
        <v>19.3855424533091</v>
      </c>
      <c r="AA145">
        <v>1748</v>
      </c>
      <c r="AB145">
        <v>67244</v>
      </c>
      <c r="AC145" t="s">
        <v>1297</v>
      </c>
      <c r="AD145">
        <v>43.09</v>
      </c>
      <c r="AE145" t="s">
        <v>1521</v>
      </c>
      <c r="AF145" t="s">
        <v>1743</v>
      </c>
      <c r="AG145">
        <v>2578</v>
      </c>
      <c r="AH145">
        <v>332</v>
      </c>
      <c r="AI145">
        <v>350000</v>
      </c>
      <c r="AJ145">
        <v>4.28</v>
      </c>
      <c r="AK145" t="b">
        <v>1</v>
      </c>
    </row>
    <row r="146" spans="1:37">
      <c r="A146" s="1" t="s">
        <v>180</v>
      </c>
      <c r="B146" t="s">
        <v>404</v>
      </c>
      <c r="C146">
        <f>HYPERLINK("https://finance.naver.com/item/coinfo.nhn?code=051500", "A051500")</f>
        <v>0</v>
      </c>
      <c r="D146">
        <f>HYPERLINK("http://comp.fnguide.com/SVO2/ASP/SVD_Consensus.asp?pGB=1&amp;gicode=A051500&amp;cID=&amp;MenuYn=Y&amp;ReportGB=&amp;NewMenuID=108&amp;stkGb=701", "CJ프레시웨이")</f>
        <v>0</v>
      </c>
      <c r="E146">
        <v>3</v>
      </c>
      <c r="F146">
        <v>23700</v>
      </c>
      <c r="G146">
        <v>1.7</v>
      </c>
      <c r="H146">
        <v>6.34</v>
      </c>
      <c r="I146">
        <v>39972</v>
      </c>
      <c r="J146">
        <v>39104</v>
      </c>
      <c r="K146">
        <v>38800</v>
      </c>
      <c r="L146">
        <v>-68.66</v>
      </c>
      <c r="M146">
        <v>-65</v>
      </c>
      <c r="N146">
        <v>-63.71</v>
      </c>
      <c r="O146">
        <v>11.25</v>
      </c>
      <c r="P146" t="b">
        <v>1</v>
      </c>
      <c r="Q146">
        <v>2</v>
      </c>
      <c r="R146">
        <v>4221</v>
      </c>
      <c r="S146">
        <v>5119</v>
      </c>
      <c r="T146">
        <v>21.3</v>
      </c>
      <c r="U146" t="s">
        <v>628</v>
      </c>
      <c r="V146" t="s">
        <v>852</v>
      </c>
      <c r="W146">
        <v>3.728923117742644</v>
      </c>
      <c r="X146">
        <v>95.8</v>
      </c>
      <c r="Y146" t="s">
        <v>1075</v>
      </c>
      <c r="Z146">
        <v>29.79346295198639</v>
      </c>
      <c r="AA146">
        <v>2814</v>
      </c>
      <c r="AB146">
        <v>90406</v>
      </c>
      <c r="AC146" t="s">
        <v>1298</v>
      </c>
      <c r="AD146">
        <v>47.95</v>
      </c>
      <c r="AE146" t="s">
        <v>1522</v>
      </c>
      <c r="AF146" t="s">
        <v>1744</v>
      </c>
      <c r="AG146">
        <v>34811</v>
      </c>
      <c r="AH146">
        <v>1017</v>
      </c>
      <c r="AJ146">
        <v>1.87</v>
      </c>
      <c r="AK146" t="b">
        <v>1</v>
      </c>
    </row>
    <row r="147" spans="1:37">
      <c r="A147" s="1" t="s">
        <v>181</v>
      </c>
      <c r="B147" t="s">
        <v>405</v>
      </c>
      <c r="C147">
        <f>HYPERLINK("https://finance.naver.com/item/coinfo.nhn?code=015760", "A015760")</f>
        <v>0</v>
      </c>
      <c r="D147">
        <f>HYPERLINK("http://comp.fnguide.com/SVO2/ASP/SVD_Consensus.asp?pGB=1&amp;gicode=A015760&amp;cID=&amp;MenuYn=Y&amp;ReportGB=&amp;NewMenuID=108&amp;stkGb=701", "한국전력")</f>
        <v>0</v>
      </c>
      <c r="E147">
        <v>3</v>
      </c>
      <c r="F147">
        <v>38100</v>
      </c>
      <c r="G147">
        <v>0</v>
      </c>
      <c r="H147">
        <v>3.55</v>
      </c>
      <c r="I147">
        <v>88828</v>
      </c>
      <c r="J147">
        <v>81478</v>
      </c>
      <c r="K147">
        <v>78902</v>
      </c>
      <c r="L147">
        <v>-133.14</v>
      </c>
      <c r="M147">
        <v>-113.85</v>
      </c>
      <c r="N147">
        <v>-107.09</v>
      </c>
      <c r="O147">
        <v>12.77</v>
      </c>
      <c r="P147" t="b">
        <v>1</v>
      </c>
      <c r="Q147">
        <v>0</v>
      </c>
      <c r="R147">
        <v>13311</v>
      </c>
      <c r="S147">
        <v>8903</v>
      </c>
      <c r="T147">
        <v>-33.1</v>
      </c>
      <c r="U147" t="s">
        <v>629</v>
      </c>
      <c r="V147" t="s">
        <v>853</v>
      </c>
      <c r="W147">
        <v>0</v>
      </c>
      <c r="X147">
        <v>7.1</v>
      </c>
      <c r="Y147" t="s">
        <v>1076</v>
      </c>
      <c r="Z147">
        <v>0</v>
      </c>
      <c r="AA147">
        <v>244588</v>
      </c>
      <c r="AB147">
        <v>2208549</v>
      </c>
      <c r="AC147" t="s">
        <v>1299</v>
      </c>
      <c r="AD147">
        <v>51.11</v>
      </c>
      <c r="AE147" t="s">
        <v>1523</v>
      </c>
      <c r="AF147" t="s">
        <v>1745</v>
      </c>
      <c r="AG147">
        <v>974293</v>
      </c>
      <c r="AH147">
        <v>134906</v>
      </c>
      <c r="AJ147">
        <v>3.27</v>
      </c>
      <c r="AK147" t="b">
        <v>1</v>
      </c>
    </row>
    <row r="148" spans="1:37">
      <c r="A148" s="1" t="s">
        <v>182</v>
      </c>
      <c r="B148" t="s">
        <v>406</v>
      </c>
      <c r="C148">
        <f>HYPERLINK("https://finance.naver.com/item/coinfo.nhn?code=297890", "A297890")</f>
        <v>0</v>
      </c>
      <c r="D148">
        <f>HYPERLINK("http://comp.fnguide.com/SVO2/ASP/SVD_Consensus.asp?pGB=1&amp;gicode=A297890&amp;cID=&amp;MenuYn=Y&amp;ReportGB=&amp;NewMenuID=108&amp;stkGb=701", "HB솔루션")</f>
        <v>0</v>
      </c>
      <c r="E148">
        <v>3</v>
      </c>
      <c r="F148">
        <v>1856</v>
      </c>
      <c r="G148">
        <v>0</v>
      </c>
      <c r="H148">
        <v>5.8</v>
      </c>
      <c r="I148">
        <v>3878</v>
      </c>
      <c r="J148">
        <v>3605</v>
      </c>
      <c r="K148">
        <v>3510</v>
      </c>
      <c r="L148">
        <v>-108.96</v>
      </c>
      <c r="M148">
        <v>-94.25</v>
      </c>
      <c r="N148">
        <v>-89.09999999999999</v>
      </c>
      <c r="O148">
        <v>12.43</v>
      </c>
      <c r="P148" t="b">
        <v>1</v>
      </c>
      <c r="Q148">
        <v>0</v>
      </c>
      <c r="R148">
        <v>362</v>
      </c>
      <c r="U148" t="s">
        <v>630</v>
      </c>
      <c r="V148" t="s">
        <v>854</v>
      </c>
      <c r="W148">
        <v>0</v>
      </c>
      <c r="X148">
        <v>360.6</v>
      </c>
      <c r="Y148" t="s">
        <v>1077</v>
      </c>
      <c r="Z148">
        <v>0</v>
      </c>
      <c r="AA148">
        <v>1358</v>
      </c>
      <c r="AB148">
        <v>379658</v>
      </c>
      <c r="AC148" t="s">
        <v>1300</v>
      </c>
      <c r="AD148">
        <v>27.93</v>
      </c>
      <c r="AE148" t="s">
        <v>1524</v>
      </c>
      <c r="AF148" t="s">
        <v>1746</v>
      </c>
      <c r="AG148">
        <v>628</v>
      </c>
      <c r="AH148">
        <v>44</v>
      </c>
      <c r="AJ148">
        <v>1.43</v>
      </c>
      <c r="AK148" t="b">
        <v>1</v>
      </c>
    </row>
    <row r="149" spans="1:37">
      <c r="A149" s="1" t="s">
        <v>183</v>
      </c>
      <c r="B149" t="s">
        <v>407</v>
      </c>
      <c r="C149">
        <f>HYPERLINK("https://finance.naver.com/item/coinfo.nhn?code=036640", "A036640")</f>
        <v>0</v>
      </c>
      <c r="D149">
        <f>HYPERLINK("http://comp.fnguide.com/SVO2/ASP/SVD_Consensus.asp?pGB=1&amp;gicode=A036640&amp;cID=&amp;MenuYn=Y&amp;ReportGB=&amp;NewMenuID=108&amp;stkGb=701", "HRS")</f>
        <v>0</v>
      </c>
      <c r="E149">
        <v>3</v>
      </c>
      <c r="F149">
        <v>4620</v>
      </c>
      <c r="G149">
        <v>0</v>
      </c>
      <c r="H149">
        <v>6.25</v>
      </c>
      <c r="I149">
        <v>8397</v>
      </c>
      <c r="J149">
        <v>8145</v>
      </c>
      <c r="K149">
        <v>8057</v>
      </c>
      <c r="L149">
        <v>-81.75</v>
      </c>
      <c r="M149">
        <v>-76.3</v>
      </c>
      <c r="N149">
        <v>-74.39</v>
      </c>
      <c r="O149">
        <v>11.43</v>
      </c>
      <c r="P149" t="b">
        <v>1</v>
      </c>
      <c r="Q149">
        <v>0</v>
      </c>
      <c r="R149">
        <v>827</v>
      </c>
      <c r="U149" t="s">
        <v>631</v>
      </c>
      <c r="V149" t="s">
        <v>855</v>
      </c>
      <c r="W149">
        <v>0</v>
      </c>
      <c r="X149">
        <v>-6.8</v>
      </c>
      <c r="Y149" t="s">
        <v>1078</v>
      </c>
      <c r="Z149">
        <v>-9.543127477061919</v>
      </c>
      <c r="AA149">
        <v>756</v>
      </c>
      <c r="AB149">
        <v>58364</v>
      </c>
      <c r="AC149" t="s">
        <v>1301</v>
      </c>
      <c r="AD149">
        <v>45.04</v>
      </c>
      <c r="AE149" t="s">
        <v>1525</v>
      </c>
      <c r="AF149" t="s">
        <v>1747</v>
      </c>
      <c r="AG149">
        <v>789</v>
      </c>
      <c r="AH149">
        <v>134</v>
      </c>
      <c r="AJ149">
        <v>5.8</v>
      </c>
      <c r="AK149" t="b">
        <v>1</v>
      </c>
    </row>
    <row r="150" spans="1:37">
      <c r="A150" s="1" t="s">
        <v>184</v>
      </c>
      <c r="B150" t="s">
        <v>408</v>
      </c>
      <c r="C150">
        <f>HYPERLINK("https://finance.naver.com/item/coinfo.nhn?code=418470", "A418470")</f>
        <v>0</v>
      </c>
      <c r="D150">
        <f>HYPERLINK("http://comp.fnguide.com/SVO2/ASP/SVD_Consensus.asp?pGB=1&amp;gicode=A418470&amp;cID=&amp;MenuYn=Y&amp;ReportGB=&amp;NewMenuID=108&amp;stkGb=701", "KT밀리의서재")</f>
        <v>0</v>
      </c>
      <c r="E150">
        <v>3</v>
      </c>
      <c r="F150">
        <v>10310</v>
      </c>
      <c r="G150">
        <v>0</v>
      </c>
      <c r="H150">
        <v>7.44</v>
      </c>
      <c r="I150">
        <v>22023</v>
      </c>
      <c r="J150">
        <v>15693</v>
      </c>
      <c r="K150">
        <v>13475</v>
      </c>
      <c r="L150">
        <v>-113.61</v>
      </c>
      <c r="M150">
        <v>-52.21</v>
      </c>
      <c r="N150">
        <v>-30.7</v>
      </c>
      <c r="O150">
        <v>23.42</v>
      </c>
      <c r="P150" t="b">
        <v>1</v>
      </c>
      <c r="Q150">
        <v>0</v>
      </c>
      <c r="R150">
        <v>1847</v>
      </c>
      <c r="U150" t="s">
        <v>632</v>
      </c>
      <c r="V150" t="s">
        <v>856</v>
      </c>
      <c r="W150">
        <v>0</v>
      </c>
      <c r="X150">
        <v>19.2</v>
      </c>
      <c r="Y150" t="s">
        <v>1079</v>
      </c>
      <c r="Z150">
        <v>0</v>
      </c>
      <c r="AA150">
        <v>883</v>
      </c>
      <c r="AB150">
        <v>85603</v>
      </c>
      <c r="AC150" t="s">
        <v>1302</v>
      </c>
      <c r="AD150">
        <v>38.59</v>
      </c>
      <c r="AE150" t="s">
        <v>1526</v>
      </c>
      <c r="AF150" t="s">
        <v>1748</v>
      </c>
      <c r="AG150">
        <v>882</v>
      </c>
      <c r="AH150">
        <v>144</v>
      </c>
      <c r="AJ150">
        <v>4</v>
      </c>
      <c r="AK150" t="b">
        <v>1</v>
      </c>
    </row>
    <row r="151" spans="1:37">
      <c r="A151" s="1" t="s">
        <v>185</v>
      </c>
      <c r="B151" t="s">
        <v>409</v>
      </c>
      <c r="C151">
        <f>HYPERLINK("https://finance.naver.com/item/coinfo.nhn?code=122450", "A122450")</f>
        <v>0</v>
      </c>
      <c r="D151">
        <f>HYPERLINK("http://comp.fnguide.com/SVO2/ASP/SVD_Consensus.asp?pGB=1&amp;gicode=A122450&amp;cID=&amp;MenuYn=Y&amp;ReportGB=&amp;NewMenuID=108&amp;stkGb=701", "KX")</f>
        <v>0</v>
      </c>
      <c r="E151">
        <v>3</v>
      </c>
      <c r="F151">
        <v>2810</v>
      </c>
      <c r="G151">
        <v>0.35</v>
      </c>
      <c r="H151">
        <v>8.43</v>
      </c>
      <c r="I151">
        <v>10120</v>
      </c>
      <c r="J151">
        <v>9239</v>
      </c>
      <c r="K151">
        <v>8931</v>
      </c>
      <c r="L151">
        <v>-260.16</v>
      </c>
      <c r="M151">
        <v>-228.81</v>
      </c>
      <c r="N151">
        <v>-217.82</v>
      </c>
      <c r="O151">
        <v>12.9</v>
      </c>
      <c r="P151" t="b">
        <v>1</v>
      </c>
      <c r="Q151">
        <v>1</v>
      </c>
      <c r="R151">
        <v>442</v>
      </c>
      <c r="S151">
        <v>739</v>
      </c>
      <c r="T151">
        <v>67.2</v>
      </c>
      <c r="U151" t="s">
        <v>633</v>
      </c>
      <c r="V151" t="s">
        <v>857</v>
      </c>
      <c r="W151">
        <v>24.34521976091866</v>
      </c>
      <c r="Y151" t="s">
        <v>1080</v>
      </c>
      <c r="Z151">
        <v>0</v>
      </c>
      <c r="AA151">
        <v>1259</v>
      </c>
      <c r="AB151">
        <v>76540</v>
      </c>
      <c r="AC151" t="s">
        <v>1303</v>
      </c>
      <c r="AD151">
        <v>53.81</v>
      </c>
      <c r="AE151" t="s">
        <v>1527</v>
      </c>
      <c r="AF151" t="s">
        <v>1749</v>
      </c>
      <c r="AG151">
        <v>3461</v>
      </c>
      <c r="AH151">
        <v>384</v>
      </c>
      <c r="AK151" t="b">
        <v>1</v>
      </c>
    </row>
    <row r="152" spans="1:37">
      <c r="A152" s="1" t="s">
        <v>186</v>
      </c>
      <c r="B152" t="s">
        <v>410</v>
      </c>
      <c r="C152">
        <f>HYPERLINK("https://finance.naver.com/item/coinfo.nhn?code=067160", "A067160")</f>
        <v>0</v>
      </c>
      <c r="D152">
        <f>HYPERLINK("http://comp.fnguide.com/SVO2/ASP/SVD_Consensus.asp?pGB=1&amp;gicode=A067160&amp;cID=&amp;MenuYn=Y&amp;ReportGB=&amp;NewMenuID=108&amp;stkGb=701", "SOOP")</f>
        <v>0</v>
      </c>
      <c r="E152">
        <v>3</v>
      </c>
      <c r="F152">
        <v>48250</v>
      </c>
      <c r="G152">
        <v>0.87</v>
      </c>
      <c r="H152">
        <v>7.65</v>
      </c>
      <c r="I152">
        <v>108761</v>
      </c>
      <c r="J152">
        <v>74155</v>
      </c>
      <c r="K152">
        <v>62027</v>
      </c>
      <c r="L152">
        <v>-125.41</v>
      </c>
      <c r="M152">
        <v>-53.69</v>
      </c>
      <c r="N152">
        <v>-28.55</v>
      </c>
      <c r="O152">
        <v>26.78</v>
      </c>
      <c r="P152" t="b">
        <v>1</v>
      </c>
      <c r="Q152">
        <v>0</v>
      </c>
      <c r="R152">
        <v>8860</v>
      </c>
      <c r="S152">
        <v>8343</v>
      </c>
      <c r="T152">
        <v>-5.8</v>
      </c>
      <c r="U152" t="s">
        <v>634</v>
      </c>
      <c r="V152" t="s">
        <v>858</v>
      </c>
      <c r="W152">
        <v>8.745069973363218</v>
      </c>
      <c r="X152">
        <v>-2.9</v>
      </c>
      <c r="Y152" t="s">
        <v>1081</v>
      </c>
      <c r="Z152">
        <v>6.844236134106185</v>
      </c>
      <c r="AA152">
        <v>5546</v>
      </c>
      <c r="AB152">
        <v>35917</v>
      </c>
      <c r="AC152" t="s">
        <v>1304</v>
      </c>
      <c r="AD152">
        <v>25.81</v>
      </c>
      <c r="AE152" t="s">
        <v>1528</v>
      </c>
      <c r="AF152" t="s">
        <v>1750</v>
      </c>
      <c r="AG152">
        <v>4666</v>
      </c>
      <c r="AH152">
        <v>1248</v>
      </c>
      <c r="AI152">
        <v>837863</v>
      </c>
      <c r="AJ152">
        <v>4.99</v>
      </c>
      <c r="AK152" t="b">
        <v>1</v>
      </c>
    </row>
    <row r="153" spans="1:37">
      <c r="A153" s="1" t="s">
        <v>187</v>
      </c>
      <c r="B153" t="s">
        <v>411</v>
      </c>
      <c r="C153">
        <f>HYPERLINK("https://finance.naver.com/item/coinfo.nhn?code=041930", "A041930")</f>
        <v>0</v>
      </c>
      <c r="D153">
        <f>HYPERLINK("http://comp.fnguide.com/SVO2/ASP/SVD_Consensus.asp?pGB=1&amp;gicode=A041930&amp;cID=&amp;MenuYn=Y&amp;ReportGB=&amp;NewMenuID=108&amp;stkGb=701", "SY동아")</f>
        <v>0</v>
      </c>
      <c r="E153">
        <v>3</v>
      </c>
      <c r="F153">
        <v>5510</v>
      </c>
      <c r="G153">
        <v>0</v>
      </c>
      <c r="H153">
        <v>3.95</v>
      </c>
      <c r="I153">
        <v>14845</v>
      </c>
      <c r="J153">
        <v>13759</v>
      </c>
      <c r="K153">
        <v>13378</v>
      </c>
      <c r="L153">
        <v>-169.41</v>
      </c>
      <c r="M153">
        <v>-149.71</v>
      </c>
      <c r="N153">
        <v>-142.8</v>
      </c>
      <c r="O153">
        <v>12.51</v>
      </c>
      <c r="P153" t="b">
        <v>1</v>
      </c>
      <c r="Q153">
        <v>0</v>
      </c>
      <c r="R153">
        <v>1743</v>
      </c>
      <c r="U153" t="s">
        <v>635</v>
      </c>
      <c r="V153" t="s">
        <v>859</v>
      </c>
      <c r="W153">
        <v>0</v>
      </c>
      <c r="X153">
        <v>-69.8</v>
      </c>
      <c r="Y153" t="s">
        <v>1082</v>
      </c>
      <c r="Z153">
        <v>-8.704383308860697</v>
      </c>
      <c r="AA153">
        <v>838</v>
      </c>
      <c r="AB153">
        <v>68706</v>
      </c>
      <c r="AC153" t="s">
        <v>1305</v>
      </c>
      <c r="AD153">
        <v>45.21</v>
      </c>
      <c r="AE153" t="s">
        <v>1529</v>
      </c>
      <c r="AF153" t="s">
        <v>1751</v>
      </c>
      <c r="AG153">
        <v>4034</v>
      </c>
      <c r="AH153">
        <v>172</v>
      </c>
      <c r="AI153">
        <v>614367</v>
      </c>
      <c r="AJ153">
        <v>4.36</v>
      </c>
      <c r="AK153" t="b">
        <v>1</v>
      </c>
    </row>
    <row r="154" spans="1:37">
      <c r="A154" s="1" t="s">
        <v>188</v>
      </c>
      <c r="B154" t="s">
        <v>412</v>
      </c>
      <c r="C154">
        <f>HYPERLINK("https://finance.naver.com/item/coinfo.nhn?code=175330", "A175330")</f>
        <v>0</v>
      </c>
      <c r="D154">
        <f>HYPERLINK("http://comp.fnguide.com/SVO2/ASP/SVD_Consensus.asp?pGB=1&amp;gicode=A175330&amp;cID=&amp;MenuYn=Y&amp;ReportGB=&amp;NewMenuID=108&amp;stkGb=701", "JB금융지주")</f>
        <v>0</v>
      </c>
      <c r="E154">
        <v>3</v>
      </c>
      <c r="F154">
        <v>25750</v>
      </c>
      <c r="G154">
        <v>0.72</v>
      </c>
      <c r="H154">
        <v>6.96</v>
      </c>
      <c r="I154">
        <v>37186</v>
      </c>
      <c r="J154">
        <v>34496</v>
      </c>
      <c r="K154">
        <v>33553</v>
      </c>
      <c r="L154">
        <v>-44.41</v>
      </c>
      <c r="M154">
        <v>-33.97</v>
      </c>
      <c r="N154">
        <v>-30.3</v>
      </c>
      <c r="O154">
        <v>12.48</v>
      </c>
      <c r="P154" t="b">
        <v>1</v>
      </c>
      <c r="Q154">
        <v>3</v>
      </c>
      <c r="R154">
        <v>3688</v>
      </c>
      <c r="S154">
        <v>3933</v>
      </c>
      <c r="T154">
        <v>6.6</v>
      </c>
      <c r="U154" t="s">
        <v>636</v>
      </c>
      <c r="V154" t="s">
        <v>860</v>
      </c>
      <c r="W154">
        <v>9.731084942008227</v>
      </c>
      <c r="X154">
        <v>4.1</v>
      </c>
      <c r="Y154" t="s">
        <v>1083</v>
      </c>
      <c r="Z154">
        <v>3.959737809948738</v>
      </c>
      <c r="AA154">
        <v>48475</v>
      </c>
      <c r="AB154">
        <v>542090</v>
      </c>
      <c r="AC154" t="s">
        <v>1306</v>
      </c>
      <c r="AD154">
        <v>14.99</v>
      </c>
      <c r="AE154" t="s">
        <v>1530</v>
      </c>
      <c r="AF154" t="s">
        <v>1752</v>
      </c>
      <c r="AG154">
        <v>35719</v>
      </c>
      <c r="AH154">
        <v>9523</v>
      </c>
      <c r="AI154">
        <v>4215140</v>
      </c>
      <c r="AJ154">
        <v>4.44</v>
      </c>
      <c r="AK154" t="b">
        <v>1</v>
      </c>
    </row>
    <row r="155" spans="1:37">
      <c r="A155" s="1" t="s">
        <v>189</v>
      </c>
      <c r="B155" t="s">
        <v>413</v>
      </c>
      <c r="C155">
        <f>HYPERLINK("https://finance.naver.com/item/coinfo.nhn?code=265520", "A265520")</f>
        <v>0</v>
      </c>
      <c r="D155">
        <f>HYPERLINK("http://comp.fnguide.com/SVO2/ASP/SVD_Consensus.asp?pGB=1&amp;gicode=A265520&amp;cID=&amp;MenuYn=Y&amp;ReportGB=&amp;NewMenuID=108&amp;stkGb=701", "AP시스템")</f>
        <v>0</v>
      </c>
      <c r="E155">
        <v>3</v>
      </c>
      <c r="F155">
        <v>22750</v>
      </c>
      <c r="G155">
        <v>0</v>
      </c>
      <c r="H155">
        <v>12.38</v>
      </c>
      <c r="I155">
        <v>27749</v>
      </c>
      <c r="J155">
        <v>26247</v>
      </c>
      <c r="K155">
        <v>25721</v>
      </c>
      <c r="L155">
        <v>-21.98</v>
      </c>
      <c r="M155">
        <v>-15.37</v>
      </c>
      <c r="N155">
        <v>-13.06</v>
      </c>
      <c r="O155">
        <v>12.01</v>
      </c>
      <c r="P155" t="b">
        <v>1</v>
      </c>
      <c r="Q155">
        <v>0</v>
      </c>
      <c r="R155">
        <v>1565</v>
      </c>
      <c r="U155" t="s">
        <v>637</v>
      </c>
      <c r="V155" t="s">
        <v>861</v>
      </c>
      <c r="W155">
        <v>0</v>
      </c>
      <c r="X155">
        <v>247.5</v>
      </c>
      <c r="Y155" t="s">
        <v>1084</v>
      </c>
      <c r="Z155">
        <v>7.794908162445724</v>
      </c>
      <c r="AA155">
        <v>3424</v>
      </c>
      <c r="AB155">
        <v>67380</v>
      </c>
      <c r="AC155" t="s">
        <v>1307</v>
      </c>
      <c r="AD155">
        <v>25.57</v>
      </c>
      <c r="AE155" t="s">
        <v>1531</v>
      </c>
      <c r="AF155" t="s">
        <v>1753</v>
      </c>
      <c r="AG155">
        <v>4601</v>
      </c>
      <c r="AH155">
        <v>333</v>
      </c>
      <c r="AI155">
        <v>305887</v>
      </c>
      <c r="AJ155">
        <v>1.76</v>
      </c>
      <c r="AK155" t="b">
        <v>1</v>
      </c>
    </row>
    <row r="156" spans="1:37">
      <c r="A156" s="1" t="s">
        <v>190</v>
      </c>
      <c r="B156" t="s">
        <v>414</v>
      </c>
      <c r="C156">
        <f>HYPERLINK("https://finance.naver.com/item/coinfo.nhn?code=053270", "A053270")</f>
        <v>0</v>
      </c>
      <c r="D156">
        <f>HYPERLINK("http://comp.fnguide.com/SVO2/ASP/SVD_Consensus.asp?pGB=1&amp;gicode=A053270&amp;cID=&amp;MenuYn=Y&amp;ReportGB=&amp;NewMenuID=108&amp;stkGb=701", "구영테크")</f>
        <v>0</v>
      </c>
      <c r="E156">
        <v>3</v>
      </c>
      <c r="F156">
        <v>1922</v>
      </c>
      <c r="G156">
        <v>0</v>
      </c>
      <c r="H156">
        <v>2.5</v>
      </c>
      <c r="I156">
        <v>8503</v>
      </c>
      <c r="J156">
        <v>6966</v>
      </c>
      <c r="K156">
        <v>6427</v>
      </c>
      <c r="L156">
        <v>-342.4</v>
      </c>
      <c r="M156">
        <v>-262.42</v>
      </c>
      <c r="N156">
        <v>-234.39</v>
      </c>
      <c r="O156">
        <v>16.33</v>
      </c>
      <c r="P156" t="b">
        <v>1</v>
      </c>
      <c r="Q156">
        <v>0</v>
      </c>
      <c r="R156">
        <v>823</v>
      </c>
      <c r="U156" t="s">
        <v>638</v>
      </c>
      <c r="V156" t="s">
        <v>862</v>
      </c>
      <c r="W156">
        <v>0</v>
      </c>
      <c r="X156">
        <v>42.9</v>
      </c>
      <c r="Y156" t="s">
        <v>1085</v>
      </c>
      <c r="Z156">
        <v>58.23813315821038</v>
      </c>
      <c r="AA156">
        <v>527</v>
      </c>
      <c r="AB156">
        <v>167123</v>
      </c>
      <c r="AC156" t="s">
        <v>1308</v>
      </c>
      <c r="AD156">
        <v>45.7</v>
      </c>
      <c r="AE156" t="s">
        <v>1532</v>
      </c>
      <c r="AF156" t="s">
        <v>1754</v>
      </c>
      <c r="AG156">
        <v>4262</v>
      </c>
      <c r="AH156">
        <v>243</v>
      </c>
      <c r="AJ156">
        <v>3.4</v>
      </c>
      <c r="AK156" t="b">
        <v>1</v>
      </c>
    </row>
    <row r="157" spans="1:37">
      <c r="A157" s="1" t="s">
        <v>191</v>
      </c>
      <c r="B157" t="s">
        <v>415</v>
      </c>
      <c r="C157">
        <f>HYPERLINK("https://finance.naver.com/item/coinfo.nhn?code=066620", "A066620")</f>
        <v>0</v>
      </c>
      <c r="D157">
        <f>HYPERLINK("http://comp.fnguide.com/SVO2/ASP/SVD_Consensus.asp?pGB=1&amp;gicode=A066620&amp;cID=&amp;MenuYn=Y&amp;ReportGB=&amp;NewMenuID=108&amp;stkGb=701", "국보디자인")</f>
        <v>0</v>
      </c>
      <c r="E157">
        <v>3</v>
      </c>
      <c r="F157">
        <v>25850</v>
      </c>
      <c r="G157">
        <v>0</v>
      </c>
      <c r="H157">
        <v>4.42</v>
      </c>
      <c r="I157">
        <v>65198</v>
      </c>
      <c r="J157">
        <v>55962</v>
      </c>
      <c r="K157">
        <v>52726</v>
      </c>
      <c r="L157">
        <v>-152.22</v>
      </c>
      <c r="M157">
        <v>-116.49</v>
      </c>
      <c r="N157">
        <v>-103.97</v>
      </c>
      <c r="O157">
        <v>14.7</v>
      </c>
      <c r="P157" t="b">
        <v>1</v>
      </c>
      <c r="Q157">
        <v>0</v>
      </c>
      <c r="R157">
        <v>5293</v>
      </c>
      <c r="U157" t="s">
        <v>639</v>
      </c>
      <c r="V157" t="s">
        <v>863</v>
      </c>
      <c r="W157">
        <v>0</v>
      </c>
      <c r="X157">
        <v>78.09999999999999</v>
      </c>
      <c r="Y157" t="s">
        <v>1086</v>
      </c>
      <c r="Z157">
        <v>29.33767547045088</v>
      </c>
      <c r="AA157">
        <v>1939</v>
      </c>
      <c r="AB157">
        <v>11441</v>
      </c>
      <c r="AC157" t="s">
        <v>1309</v>
      </c>
      <c r="AD157">
        <v>53.11</v>
      </c>
      <c r="AE157" t="s">
        <v>1533</v>
      </c>
      <c r="AF157" t="s">
        <v>1755</v>
      </c>
      <c r="AG157">
        <v>4389</v>
      </c>
      <c r="AH157">
        <v>458</v>
      </c>
      <c r="AI157">
        <v>733339</v>
      </c>
      <c r="AJ157">
        <v>2.14</v>
      </c>
      <c r="AK157" t="b">
        <v>1</v>
      </c>
    </row>
    <row r="158" spans="1:37">
      <c r="A158" s="1" t="s">
        <v>192</v>
      </c>
      <c r="B158" t="s">
        <v>416</v>
      </c>
      <c r="C158">
        <f>HYPERLINK("https://finance.naver.com/item/coinfo.nhn?code=035460", "A035460")</f>
        <v>0</v>
      </c>
      <c r="D158">
        <f>HYPERLINK("http://comp.fnguide.com/SVO2/ASP/SVD_Consensus.asp?pGB=1&amp;gicode=A035460&amp;cID=&amp;MenuYn=Y&amp;ReportGB=&amp;NewMenuID=108&amp;stkGb=701", "기산텔레콤")</f>
        <v>0</v>
      </c>
      <c r="E158">
        <v>3</v>
      </c>
      <c r="F158">
        <v>2845</v>
      </c>
      <c r="G158">
        <v>0</v>
      </c>
      <c r="H158">
        <v>6.6</v>
      </c>
      <c r="I158">
        <v>3766</v>
      </c>
      <c r="J158">
        <v>3709</v>
      </c>
      <c r="K158">
        <v>3689</v>
      </c>
      <c r="L158">
        <v>-32.36</v>
      </c>
      <c r="M158">
        <v>-30.37</v>
      </c>
      <c r="N158">
        <v>-29.67</v>
      </c>
      <c r="O158">
        <v>11.1</v>
      </c>
      <c r="P158" t="b">
        <v>0</v>
      </c>
      <c r="Q158">
        <v>0</v>
      </c>
      <c r="R158">
        <v>290</v>
      </c>
      <c r="U158" t="s">
        <v>640</v>
      </c>
      <c r="V158" t="s">
        <v>864</v>
      </c>
      <c r="W158">
        <v>0</v>
      </c>
      <c r="X158">
        <v>490.6</v>
      </c>
      <c r="Y158" t="s">
        <v>1087</v>
      </c>
      <c r="Z158">
        <v>0</v>
      </c>
      <c r="AA158">
        <v>424</v>
      </c>
      <c r="AB158">
        <v>190143</v>
      </c>
      <c r="AC158" t="s">
        <v>1310</v>
      </c>
      <c r="AD158">
        <v>34.41</v>
      </c>
      <c r="AE158" t="s">
        <v>1534</v>
      </c>
      <c r="AF158" t="s">
        <v>1756</v>
      </c>
      <c r="AG158">
        <v>995</v>
      </c>
      <c r="AH158">
        <v>81</v>
      </c>
      <c r="AK158" t="b">
        <v>1</v>
      </c>
    </row>
    <row r="159" spans="1:37">
      <c r="A159" s="1" t="s">
        <v>193</v>
      </c>
      <c r="B159" t="s">
        <v>417</v>
      </c>
      <c r="C159">
        <f>HYPERLINK("https://finance.naver.com/item/coinfo.nhn?code=130580", "A130580")</f>
        <v>0</v>
      </c>
      <c r="D159">
        <f>HYPERLINK("http://comp.fnguide.com/SVO2/ASP/SVD_Consensus.asp?pGB=1&amp;gicode=A130580&amp;cID=&amp;MenuYn=Y&amp;ReportGB=&amp;NewMenuID=108&amp;stkGb=701", "나이스디앤비")</f>
        <v>0</v>
      </c>
      <c r="E159">
        <v>3</v>
      </c>
      <c r="F159">
        <v>5500</v>
      </c>
      <c r="G159">
        <v>0.73</v>
      </c>
      <c r="H159">
        <v>7.64</v>
      </c>
      <c r="I159">
        <v>9761</v>
      </c>
      <c r="J159">
        <v>8559</v>
      </c>
      <c r="K159">
        <v>8138</v>
      </c>
      <c r="L159">
        <v>-77.45999999999999</v>
      </c>
      <c r="M159">
        <v>-55.62</v>
      </c>
      <c r="N159">
        <v>-47.97</v>
      </c>
      <c r="O159">
        <v>14.03</v>
      </c>
      <c r="P159" t="b">
        <v>0</v>
      </c>
      <c r="Q159">
        <v>1</v>
      </c>
      <c r="R159">
        <v>839</v>
      </c>
      <c r="S159">
        <v>909</v>
      </c>
      <c r="T159">
        <v>8.300000000000001</v>
      </c>
      <c r="U159" t="s">
        <v>641</v>
      </c>
      <c r="V159" t="s">
        <v>865</v>
      </c>
      <c r="W159">
        <v>10.46555062700532</v>
      </c>
      <c r="X159">
        <v>139.2</v>
      </c>
      <c r="Y159" t="s">
        <v>1088</v>
      </c>
      <c r="Z159">
        <v>18.41252136594227</v>
      </c>
      <c r="AA159">
        <v>847</v>
      </c>
      <c r="AB159">
        <v>5823</v>
      </c>
      <c r="AC159" t="s">
        <v>1311</v>
      </c>
      <c r="AD159">
        <v>34.97</v>
      </c>
      <c r="AE159" t="s">
        <v>1535</v>
      </c>
      <c r="AF159" t="s">
        <v>1757</v>
      </c>
      <c r="AG159">
        <v>914</v>
      </c>
      <c r="AH159">
        <v>154</v>
      </c>
      <c r="AJ159">
        <v>3.53</v>
      </c>
      <c r="AK159" t="b">
        <v>1</v>
      </c>
    </row>
    <row r="160" spans="1:37">
      <c r="A160" s="1" t="s">
        <v>194</v>
      </c>
      <c r="B160" t="s">
        <v>418</v>
      </c>
      <c r="C160">
        <f>HYPERLINK("https://finance.naver.com/item/coinfo.nhn?code=036800", "A036800")</f>
        <v>0</v>
      </c>
      <c r="D160">
        <f>HYPERLINK("http://comp.fnguide.com/SVO2/ASP/SVD_Consensus.asp?pGB=1&amp;gicode=A036800&amp;cID=&amp;MenuYn=Y&amp;ReportGB=&amp;NewMenuID=108&amp;stkGb=701", "나이스정보통신")</f>
        <v>0</v>
      </c>
      <c r="E160">
        <v>3</v>
      </c>
      <c r="F160">
        <v>27800</v>
      </c>
      <c r="G160">
        <v>0.32</v>
      </c>
      <c r="H160">
        <v>5.91</v>
      </c>
      <c r="I160">
        <v>46366</v>
      </c>
      <c r="J160">
        <v>45814</v>
      </c>
      <c r="K160">
        <v>45620</v>
      </c>
      <c r="L160">
        <v>-66.78</v>
      </c>
      <c r="M160">
        <v>-64.8</v>
      </c>
      <c r="N160">
        <v>-64.09999999999999</v>
      </c>
      <c r="O160">
        <v>11.04</v>
      </c>
      <c r="P160" t="b">
        <v>1</v>
      </c>
      <c r="Q160">
        <v>3</v>
      </c>
      <c r="R160">
        <v>4287</v>
      </c>
      <c r="S160">
        <v>5020</v>
      </c>
      <c r="T160">
        <v>17.1</v>
      </c>
      <c r="U160" t="s">
        <v>642</v>
      </c>
      <c r="V160" t="s">
        <v>866</v>
      </c>
      <c r="W160">
        <v>18.34752202189282</v>
      </c>
      <c r="X160">
        <v>70.3</v>
      </c>
      <c r="Y160" t="s">
        <v>1089</v>
      </c>
      <c r="Z160">
        <v>12.93984179850307</v>
      </c>
      <c r="AA160">
        <v>2780</v>
      </c>
      <c r="AB160">
        <v>36363</v>
      </c>
      <c r="AC160" t="s">
        <v>1312</v>
      </c>
      <c r="AD160">
        <v>42.7</v>
      </c>
      <c r="AE160" t="s">
        <v>1536</v>
      </c>
      <c r="AF160" t="s">
        <v>1758</v>
      </c>
      <c r="AG160">
        <v>10947</v>
      </c>
      <c r="AH160">
        <v>553</v>
      </c>
      <c r="AI160">
        <v>1264050</v>
      </c>
      <c r="AJ160">
        <v>4.34</v>
      </c>
      <c r="AK160" t="b">
        <v>1</v>
      </c>
    </row>
    <row r="161" spans="1:37">
      <c r="A161" s="1" t="s">
        <v>195</v>
      </c>
      <c r="B161" t="s">
        <v>419</v>
      </c>
      <c r="C161">
        <f>HYPERLINK("https://finance.naver.com/item/coinfo.nhn?code=212560", "A212560")</f>
        <v>0</v>
      </c>
      <c r="D161">
        <f>HYPERLINK("http://comp.fnguide.com/SVO2/ASP/SVD_Consensus.asp?pGB=1&amp;gicode=A212560&amp;cID=&amp;MenuYn=Y&amp;ReportGB=&amp;NewMenuID=108&amp;stkGb=701", "네오오토")</f>
        <v>0</v>
      </c>
      <c r="E161">
        <v>3</v>
      </c>
      <c r="F161">
        <v>10710</v>
      </c>
      <c r="G161">
        <v>0</v>
      </c>
      <c r="H161">
        <v>7.02</v>
      </c>
      <c r="I161">
        <v>13738</v>
      </c>
      <c r="J161">
        <v>12625</v>
      </c>
      <c r="K161">
        <v>12235</v>
      </c>
      <c r="L161">
        <v>-28.28</v>
      </c>
      <c r="M161">
        <v>-17.88</v>
      </c>
      <c r="N161">
        <v>-14.24</v>
      </c>
      <c r="O161">
        <v>12.72</v>
      </c>
      <c r="P161" t="b">
        <v>1</v>
      </c>
      <c r="Q161">
        <v>0</v>
      </c>
      <c r="R161">
        <v>1260</v>
      </c>
      <c r="U161" t="s">
        <v>643</v>
      </c>
      <c r="V161" t="s">
        <v>867</v>
      </c>
      <c r="W161">
        <v>0</v>
      </c>
      <c r="X161">
        <v>17.5</v>
      </c>
      <c r="Y161" t="s">
        <v>1090</v>
      </c>
      <c r="Z161">
        <v>21.63325480233003</v>
      </c>
      <c r="AA161">
        <v>1265</v>
      </c>
      <c r="AB161">
        <v>201880</v>
      </c>
      <c r="AC161" t="s">
        <v>1313</v>
      </c>
      <c r="AD161">
        <v>51.18</v>
      </c>
      <c r="AE161" t="s">
        <v>1537</v>
      </c>
      <c r="AF161" t="s">
        <v>1759</v>
      </c>
      <c r="AG161">
        <v>2321</v>
      </c>
      <c r="AH161">
        <v>137</v>
      </c>
      <c r="AI161">
        <v>406</v>
      </c>
      <c r="AJ161">
        <v>2.26</v>
      </c>
      <c r="AK161" t="b">
        <v>1</v>
      </c>
    </row>
    <row r="162" spans="1:37">
      <c r="A162" s="1" t="s">
        <v>196</v>
      </c>
      <c r="B162" t="s">
        <v>420</v>
      </c>
      <c r="C162">
        <f>HYPERLINK("https://finance.naver.com/item/coinfo.nhn?code=007340", "A007340")</f>
        <v>0</v>
      </c>
      <c r="D162">
        <f>HYPERLINK("http://comp.fnguide.com/SVO2/ASP/SVD_Consensus.asp?pGB=1&amp;gicode=A007340&amp;cID=&amp;MenuYn=Y&amp;ReportGB=&amp;NewMenuID=108&amp;stkGb=701", "DN오토모티브")</f>
        <v>0</v>
      </c>
      <c r="E162">
        <v>3</v>
      </c>
      <c r="F162">
        <v>41250</v>
      </c>
      <c r="G162">
        <v>-1.58</v>
      </c>
      <c r="H162">
        <v>5.07</v>
      </c>
      <c r="I162">
        <v>67034</v>
      </c>
      <c r="J162">
        <v>51977</v>
      </c>
      <c r="K162">
        <v>46700</v>
      </c>
      <c r="L162">
        <v>-62.51</v>
      </c>
      <c r="M162">
        <v>-26</v>
      </c>
      <c r="N162">
        <v>-13.21</v>
      </c>
      <c r="O162">
        <v>18.65</v>
      </c>
      <c r="P162" t="b">
        <v>1</v>
      </c>
      <c r="Q162">
        <v>1</v>
      </c>
      <c r="R162">
        <v>4809</v>
      </c>
      <c r="S162">
        <v>4985</v>
      </c>
      <c r="T162">
        <v>3.7</v>
      </c>
      <c r="U162" t="s">
        <v>644</v>
      </c>
      <c r="V162" t="s">
        <v>868</v>
      </c>
      <c r="W162">
        <v>-3.215836158720942</v>
      </c>
      <c r="X162">
        <v>14</v>
      </c>
      <c r="Y162" t="s">
        <v>1091</v>
      </c>
      <c r="Z162">
        <v>27.64134493043462</v>
      </c>
      <c r="AA162">
        <v>24136</v>
      </c>
      <c r="AB162">
        <v>172858</v>
      </c>
      <c r="AC162" t="s">
        <v>1314</v>
      </c>
      <c r="AD162">
        <v>52.16</v>
      </c>
      <c r="AE162" t="s">
        <v>1538</v>
      </c>
      <c r="AF162" t="s">
        <v>1760</v>
      </c>
      <c r="AG162">
        <v>36757</v>
      </c>
      <c r="AH162">
        <v>5279</v>
      </c>
      <c r="AI162">
        <v>6748595</v>
      </c>
      <c r="AJ162">
        <v>4.1</v>
      </c>
      <c r="AK162" t="b">
        <v>1</v>
      </c>
    </row>
    <row r="163" spans="1:37">
      <c r="A163" s="1" t="s">
        <v>197</v>
      </c>
      <c r="B163" t="s">
        <v>421</v>
      </c>
      <c r="C163">
        <f>HYPERLINK("https://finance.naver.com/item/coinfo.nhn?code=194700", "A194700")</f>
        <v>0</v>
      </c>
      <c r="D163">
        <f>HYPERLINK("http://comp.fnguide.com/SVO2/ASP/SVD_Consensus.asp?pGB=1&amp;gicode=A194700&amp;cID=&amp;MenuYn=Y&amp;ReportGB=&amp;NewMenuID=108&amp;stkGb=701", "노바렉스")</f>
        <v>0</v>
      </c>
      <c r="E163">
        <v>3</v>
      </c>
      <c r="F163">
        <v>14970</v>
      </c>
      <c r="G163">
        <v>0</v>
      </c>
      <c r="H163">
        <v>7.41</v>
      </c>
      <c r="I163">
        <v>17279</v>
      </c>
      <c r="J163">
        <v>15667</v>
      </c>
      <c r="K163">
        <v>15103</v>
      </c>
      <c r="L163">
        <v>-15.42</v>
      </c>
      <c r="M163">
        <v>-4.66</v>
      </c>
      <c r="N163">
        <v>-0.89</v>
      </c>
      <c r="O163">
        <v>13.08</v>
      </c>
      <c r="P163" t="b">
        <v>1</v>
      </c>
      <c r="Q163">
        <v>0</v>
      </c>
      <c r="R163">
        <v>1888</v>
      </c>
      <c r="U163" t="s">
        <v>645</v>
      </c>
      <c r="V163" t="s">
        <v>869</v>
      </c>
      <c r="W163">
        <v>0</v>
      </c>
      <c r="X163">
        <v>106.5</v>
      </c>
      <c r="Y163" t="s">
        <v>1092</v>
      </c>
      <c r="Z163">
        <v>19.94407446470705</v>
      </c>
      <c r="AA163">
        <v>2733</v>
      </c>
      <c r="AB163">
        <v>63595</v>
      </c>
      <c r="AC163" t="s">
        <v>1315</v>
      </c>
      <c r="AD163">
        <v>32.02</v>
      </c>
      <c r="AE163" t="s">
        <v>1539</v>
      </c>
      <c r="AF163" t="s">
        <v>1761</v>
      </c>
      <c r="AG163">
        <v>4043</v>
      </c>
      <c r="AH163">
        <v>431</v>
      </c>
      <c r="AI163">
        <v>500000</v>
      </c>
      <c r="AJ163">
        <v>2.86</v>
      </c>
      <c r="AK163" t="b">
        <v>1</v>
      </c>
    </row>
    <row r="164" spans="1:37">
      <c r="A164" s="1" t="s">
        <v>198</v>
      </c>
      <c r="B164" t="s">
        <v>422</v>
      </c>
      <c r="C164">
        <f>HYPERLINK("https://finance.naver.com/item/coinfo.nhn?code=096760", "A096760")</f>
        <v>0</v>
      </c>
      <c r="D164">
        <f>HYPERLINK("http://comp.fnguide.com/SVO2/ASP/SVD_Consensus.asp?pGB=1&amp;gicode=A096760&amp;cID=&amp;MenuYn=Y&amp;ReportGB=&amp;NewMenuID=108&amp;stkGb=701", "JW홀딩스")</f>
        <v>0</v>
      </c>
      <c r="E164">
        <v>3</v>
      </c>
      <c r="F164">
        <v>3690</v>
      </c>
      <c r="G164">
        <v>0</v>
      </c>
      <c r="H164">
        <v>4.54</v>
      </c>
      <c r="I164">
        <v>9421</v>
      </c>
      <c r="J164">
        <v>6457</v>
      </c>
      <c r="K164">
        <v>5418</v>
      </c>
      <c r="L164">
        <v>-155.3</v>
      </c>
      <c r="M164">
        <v>-74.98</v>
      </c>
      <c r="N164">
        <v>-46.83</v>
      </c>
      <c r="O164">
        <v>26.34</v>
      </c>
      <c r="P164" t="b">
        <v>1</v>
      </c>
      <c r="Q164">
        <v>0</v>
      </c>
      <c r="R164">
        <v>791</v>
      </c>
      <c r="U164" t="s">
        <v>646</v>
      </c>
      <c r="V164" t="s">
        <v>870</v>
      </c>
      <c r="W164">
        <v>0</v>
      </c>
      <c r="X164">
        <v>103.9</v>
      </c>
      <c r="Y164" t="s">
        <v>1093</v>
      </c>
      <c r="Z164">
        <v>0</v>
      </c>
      <c r="AA164">
        <v>2728</v>
      </c>
      <c r="AB164">
        <v>92563</v>
      </c>
      <c r="AC164" t="s">
        <v>1316</v>
      </c>
      <c r="AD164">
        <v>52.33</v>
      </c>
      <c r="AE164" t="s">
        <v>1540</v>
      </c>
      <c r="AF164" t="s">
        <v>1762</v>
      </c>
      <c r="AG164">
        <v>9696</v>
      </c>
      <c r="AH164">
        <v>1679</v>
      </c>
      <c r="AI164">
        <v>4734115</v>
      </c>
      <c r="AJ164">
        <v>5.99</v>
      </c>
      <c r="AK164" t="b">
        <v>1</v>
      </c>
    </row>
    <row r="165" spans="1:37">
      <c r="A165" s="1" t="s">
        <v>199</v>
      </c>
      <c r="B165" t="s">
        <v>423</v>
      </c>
      <c r="C165">
        <f>HYPERLINK("https://finance.naver.com/item/coinfo.nhn?code=015230", "A015230")</f>
        <v>0</v>
      </c>
      <c r="D165">
        <f>HYPERLINK("http://comp.fnguide.com/SVO2/ASP/SVD_Consensus.asp?pGB=1&amp;gicode=A015230&amp;cID=&amp;MenuYn=Y&amp;ReportGB=&amp;NewMenuID=108&amp;stkGb=701", "대창단조")</f>
        <v>0</v>
      </c>
      <c r="E165">
        <v>3</v>
      </c>
      <c r="F165">
        <v>6100</v>
      </c>
      <c r="G165">
        <v>0</v>
      </c>
      <c r="H165">
        <v>6.26</v>
      </c>
      <c r="I165">
        <v>12846</v>
      </c>
      <c r="J165">
        <v>12825</v>
      </c>
      <c r="K165">
        <v>12817</v>
      </c>
      <c r="L165">
        <v>-110.59</v>
      </c>
      <c r="M165">
        <v>-110.24</v>
      </c>
      <c r="N165">
        <v>-110.12</v>
      </c>
      <c r="O165">
        <v>10.82</v>
      </c>
      <c r="P165" t="b">
        <v>1</v>
      </c>
      <c r="Q165">
        <v>0</v>
      </c>
      <c r="R165">
        <v>1007</v>
      </c>
      <c r="U165" t="s">
        <v>647</v>
      </c>
      <c r="V165" t="s">
        <v>871</v>
      </c>
      <c r="W165">
        <v>0</v>
      </c>
      <c r="X165">
        <v>19.2</v>
      </c>
      <c r="Y165" t="s">
        <v>1094</v>
      </c>
      <c r="Z165">
        <v>5.188645754908494</v>
      </c>
      <c r="AA165">
        <v>1656</v>
      </c>
      <c r="AB165">
        <v>48465</v>
      </c>
      <c r="AC165" t="s">
        <v>1317</v>
      </c>
      <c r="AD165">
        <v>48.23</v>
      </c>
      <c r="AE165" t="s">
        <v>1541</v>
      </c>
      <c r="AF165" t="s">
        <v>1763</v>
      </c>
      <c r="AG165">
        <v>3463</v>
      </c>
      <c r="AH165">
        <v>380</v>
      </c>
      <c r="AI165">
        <v>1929680</v>
      </c>
      <c r="AJ165">
        <v>2.85</v>
      </c>
      <c r="AK165" t="b">
        <v>1</v>
      </c>
    </row>
    <row r="166" spans="1:37">
      <c r="A166" s="1" t="s">
        <v>200</v>
      </c>
      <c r="B166" t="s">
        <v>424</v>
      </c>
      <c r="C166">
        <f>HYPERLINK("https://finance.naver.com/item/coinfo.nhn?code=008260", "A008260")</f>
        <v>0</v>
      </c>
      <c r="D166">
        <f>HYPERLINK("http://comp.fnguide.com/SVO2/ASP/SVD_Consensus.asp?pGB=1&amp;gicode=A008260&amp;cID=&amp;MenuYn=Y&amp;ReportGB=&amp;NewMenuID=108&amp;stkGb=701", "NI스틸")</f>
        <v>0</v>
      </c>
      <c r="E166">
        <v>3</v>
      </c>
      <c r="F166">
        <v>3035</v>
      </c>
      <c r="G166">
        <v>0</v>
      </c>
      <c r="H166">
        <v>5.28</v>
      </c>
      <c r="I166">
        <v>9853</v>
      </c>
      <c r="J166">
        <v>9713</v>
      </c>
      <c r="K166">
        <v>9663</v>
      </c>
      <c r="L166">
        <v>-224.65</v>
      </c>
      <c r="M166">
        <v>-220.02</v>
      </c>
      <c r="N166">
        <v>-218.4</v>
      </c>
      <c r="O166">
        <v>11.09</v>
      </c>
      <c r="P166" t="b">
        <v>1</v>
      </c>
      <c r="Q166">
        <v>0</v>
      </c>
      <c r="R166">
        <v>663</v>
      </c>
      <c r="U166" t="s">
        <v>648</v>
      </c>
      <c r="V166" t="s">
        <v>872</v>
      </c>
      <c r="W166">
        <v>0</v>
      </c>
      <c r="X166">
        <v>-2</v>
      </c>
      <c r="Y166" t="s">
        <v>1095</v>
      </c>
      <c r="Z166">
        <v>-3.361411245299306</v>
      </c>
      <c r="AA166">
        <v>868</v>
      </c>
      <c r="AB166">
        <v>59095</v>
      </c>
      <c r="AC166" t="s">
        <v>1318</v>
      </c>
      <c r="AD166">
        <v>59</v>
      </c>
      <c r="AE166" t="s">
        <v>1542</v>
      </c>
      <c r="AF166" t="s">
        <v>1764</v>
      </c>
      <c r="AG166">
        <v>2479</v>
      </c>
      <c r="AH166">
        <v>301</v>
      </c>
      <c r="AI166">
        <v>412813</v>
      </c>
      <c r="AJ166">
        <v>2.86</v>
      </c>
      <c r="AK166" t="b">
        <v>1</v>
      </c>
    </row>
    <row r="167" spans="1:37">
      <c r="A167" s="1" t="s">
        <v>201</v>
      </c>
      <c r="B167" t="s">
        <v>425</v>
      </c>
      <c r="C167">
        <f>HYPERLINK("https://finance.naver.com/item/coinfo.nhn?code=013520", "A013520")</f>
        <v>0</v>
      </c>
      <c r="D167">
        <f>HYPERLINK("http://comp.fnguide.com/SVO2/ASP/SVD_Consensus.asp?pGB=1&amp;gicode=A013520&amp;cID=&amp;MenuYn=Y&amp;ReportGB=&amp;NewMenuID=108&amp;stkGb=701", "화승코퍼레이션")</f>
        <v>0</v>
      </c>
      <c r="E167">
        <v>3</v>
      </c>
      <c r="F167">
        <v>2340</v>
      </c>
      <c r="G167">
        <v>0</v>
      </c>
      <c r="H167">
        <v>1.39</v>
      </c>
      <c r="I167">
        <v>11686</v>
      </c>
      <c r="J167">
        <v>8677</v>
      </c>
      <c r="K167">
        <v>7623</v>
      </c>
      <c r="L167">
        <v>-399.4</v>
      </c>
      <c r="M167">
        <v>-270.82</v>
      </c>
      <c r="N167">
        <v>-225.76</v>
      </c>
      <c r="O167">
        <v>20.88</v>
      </c>
      <c r="P167" t="b">
        <v>1</v>
      </c>
      <c r="Q167">
        <v>0</v>
      </c>
      <c r="R167">
        <v>1559</v>
      </c>
      <c r="U167" t="s">
        <v>649</v>
      </c>
      <c r="V167" t="s">
        <v>873</v>
      </c>
      <c r="W167">
        <v>0</v>
      </c>
      <c r="X167">
        <v>-14.4</v>
      </c>
      <c r="Y167" t="s">
        <v>1096</v>
      </c>
      <c r="Z167">
        <v>0</v>
      </c>
      <c r="AA167">
        <v>1171</v>
      </c>
      <c r="AB167">
        <v>229707</v>
      </c>
      <c r="AC167" t="s">
        <v>1319</v>
      </c>
      <c r="AD167">
        <v>49.69</v>
      </c>
      <c r="AE167" t="s">
        <v>1543</v>
      </c>
      <c r="AF167" t="s">
        <v>1765</v>
      </c>
      <c r="AG167">
        <v>16398</v>
      </c>
      <c r="AH167">
        <v>831</v>
      </c>
      <c r="AI167">
        <v>3146010</v>
      </c>
      <c r="AJ167">
        <v>3.46</v>
      </c>
      <c r="AK167" t="b">
        <v>1</v>
      </c>
    </row>
    <row r="168" spans="1:37">
      <c r="A168" s="1" t="s">
        <v>202</v>
      </c>
      <c r="B168" t="s">
        <v>426</v>
      </c>
      <c r="C168">
        <f>HYPERLINK("https://finance.naver.com/item/coinfo.nhn?code=005440", "A005440")</f>
        <v>0</v>
      </c>
      <c r="D168">
        <f>HYPERLINK("http://comp.fnguide.com/SVO2/ASP/SVD_Consensus.asp?pGB=1&amp;gicode=A005440&amp;cID=&amp;MenuYn=Y&amp;ReportGB=&amp;NewMenuID=108&amp;stkGb=701", "현대지에프홀딩스")</f>
        <v>0</v>
      </c>
      <c r="E168">
        <v>3</v>
      </c>
      <c r="F168">
        <v>12640</v>
      </c>
      <c r="G168">
        <v>-0.07000000000000001</v>
      </c>
      <c r="H168">
        <v>3.15</v>
      </c>
      <c r="I168">
        <v>52429</v>
      </c>
      <c r="J168">
        <v>38469</v>
      </c>
      <c r="K168">
        <v>33577</v>
      </c>
      <c r="L168">
        <v>-314.79</v>
      </c>
      <c r="M168">
        <v>-204.35</v>
      </c>
      <c r="N168">
        <v>-165.64</v>
      </c>
      <c r="O168">
        <v>21.56</v>
      </c>
      <c r="P168" t="b">
        <v>1</v>
      </c>
      <c r="Q168">
        <v>0</v>
      </c>
      <c r="R168">
        <v>2643</v>
      </c>
      <c r="S168">
        <v>1987</v>
      </c>
      <c r="T168">
        <v>-24.8</v>
      </c>
      <c r="U168" t="s">
        <v>650</v>
      </c>
      <c r="V168" t="s">
        <v>874</v>
      </c>
      <c r="W168">
        <v>-43.80341201804045</v>
      </c>
      <c r="X168">
        <v>-47.4</v>
      </c>
      <c r="Y168" t="s">
        <v>1097</v>
      </c>
      <c r="Z168">
        <v>25.55568232876848</v>
      </c>
      <c r="AA168">
        <v>19706</v>
      </c>
      <c r="AB168">
        <v>193175</v>
      </c>
      <c r="AC168" t="s">
        <v>1320</v>
      </c>
      <c r="AD168">
        <v>77.15000000000001</v>
      </c>
      <c r="AE168" t="s">
        <v>1544</v>
      </c>
      <c r="AF168" t="s">
        <v>1766</v>
      </c>
      <c r="AG168">
        <v>80916</v>
      </c>
      <c r="AH168">
        <v>2741</v>
      </c>
      <c r="AI168">
        <v>3420585</v>
      </c>
      <c r="AJ168">
        <v>3.61</v>
      </c>
      <c r="AK168" t="b">
        <v>1</v>
      </c>
    </row>
    <row r="169" spans="1:37">
      <c r="A169" s="1" t="s">
        <v>203</v>
      </c>
      <c r="B169" t="s">
        <v>427</v>
      </c>
      <c r="C169">
        <f>HYPERLINK("https://finance.naver.com/item/coinfo.nhn?code=011760", "A011760")</f>
        <v>0</v>
      </c>
      <c r="D169">
        <f>HYPERLINK("http://comp.fnguide.com/SVO2/ASP/SVD_Consensus.asp?pGB=1&amp;gicode=A011760&amp;cID=&amp;MenuYn=Y&amp;ReportGB=&amp;NewMenuID=108&amp;stkGb=701", "현대코퍼레이션")</f>
        <v>0</v>
      </c>
      <c r="E169">
        <v>3</v>
      </c>
      <c r="F169">
        <v>24650</v>
      </c>
      <c r="G169">
        <v>0.46</v>
      </c>
      <c r="H169">
        <v>3.28</v>
      </c>
      <c r="I169">
        <v>84362</v>
      </c>
      <c r="J169">
        <v>70139</v>
      </c>
      <c r="K169">
        <v>65155</v>
      </c>
      <c r="L169">
        <v>-242.24</v>
      </c>
      <c r="M169">
        <v>-184.54</v>
      </c>
      <c r="N169">
        <v>-164.32</v>
      </c>
      <c r="O169">
        <v>15.78</v>
      </c>
      <c r="P169" t="b">
        <v>1</v>
      </c>
      <c r="Q169">
        <v>1</v>
      </c>
      <c r="R169">
        <v>6561</v>
      </c>
      <c r="S169">
        <v>7761</v>
      </c>
      <c r="T169">
        <v>18.3</v>
      </c>
      <c r="U169" t="s">
        <v>651</v>
      </c>
      <c r="V169" t="s">
        <v>875</v>
      </c>
      <c r="W169">
        <v>7.067454395214767</v>
      </c>
      <c r="X169">
        <v>-53.6</v>
      </c>
      <c r="Y169" t="s">
        <v>1098</v>
      </c>
      <c r="Z169">
        <v>1.285118458167944</v>
      </c>
      <c r="AA169">
        <v>3261</v>
      </c>
      <c r="AB169">
        <v>24516</v>
      </c>
      <c r="AC169" t="s">
        <v>1321</v>
      </c>
      <c r="AD169">
        <v>27.12</v>
      </c>
      <c r="AE169" t="s">
        <v>1545</v>
      </c>
      <c r="AF169" t="s">
        <v>1767</v>
      </c>
      <c r="AG169">
        <v>75543</v>
      </c>
      <c r="AH169">
        <v>1401</v>
      </c>
      <c r="AI169">
        <v>1218000</v>
      </c>
      <c r="AJ169">
        <v>3.25</v>
      </c>
      <c r="AK169" t="b">
        <v>1</v>
      </c>
    </row>
    <row r="170" spans="1:37">
      <c r="A170" s="1" t="s">
        <v>204</v>
      </c>
      <c r="B170" t="s">
        <v>428</v>
      </c>
      <c r="C170">
        <f>HYPERLINK("https://finance.naver.com/item/coinfo.nhn?code=009180", "A009180")</f>
        <v>0</v>
      </c>
      <c r="D170">
        <f>HYPERLINK("http://comp.fnguide.com/SVO2/ASP/SVD_Consensus.asp?pGB=1&amp;gicode=A009180&amp;cID=&amp;MenuYn=Y&amp;ReportGB=&amp;NewMenuID=108&amp;stkGb=701", "한솔로지스틱스")</f>
        <v>0</v>
      </c>
      <c r="E170">
        <v>3</v>
      </c>
      <c r="F170">
        <v>2720</v>
      </c>
      <c r="G170">
        <v>0.96</v>
      </c>
      <c r="H170">
        <v>4.91</v>
      </c>
      <c r="I170">
        <v>5168</v>
      </c>
      <c r="J170">
        <v>5133</v>
      </c>
      <c r="K170">
        <v>5120</v>
      </c>
      <c r="L170">
        <v>-90.01000000000001</v>
      </c>
      <c r="M170">
        <v>-88.7</v>
      </c>
      <c r="N170">
        <v>-88.23999999999999</v>
      </c>
      <c r="O170">
        <v>10.93</v>
      </c>
      <c r="P170" t="b">
        <v>1</v>
      </c>
      <c r="Q170">
        <v>2</v>
      </c>
      <c r="R170">
        <v>563</v>
      </c>
      <c r="S170">
        <v>781</v>
      </c>
      <c r="T170">
        <v>38.7</v>
      </c>
      <c r="U170" t="s">
        <v>652</v>
      </c>
      <c r="V170" t="s">
        <v>876</v>
      </c>
      <c r="W170">
        <v>5.10686359889867</v>
      </c>
      <c r="X170">
        <v>-15.9</v>
      </c>
      <c r="Y170" t="s">
        <v>1099</v>
      </c>
      <c r="Z170">
        <v>-11.16141269943218</v>
      </c>
      <c r="AA170">
        <v>766</v>
      </c>
      <c r="AB170">
        <v>58255</v>
      </c>
      <c r="AC170" t="s">
        <v>1322</v>
      </c>
      <c r="AD170">
        <v>40.05</v>
      </c>
      <c r="AE170" t="s">
        <v>1546</v>
      </c>
      <c r="AF170" t="s">
        <v>1768</v>
      </c>
      <c r="AG170">
        <v>6746</v>
      </c>
      <c r="AH170">
        <v>207</v>
      </c>
      <c r="AI170">
        <v>6691</v>
      </c>
      <c r="AJ170">
        <v>7.23</v>
      </c>
      <c r="AK170" t="b">
        <v>1</v>
      </c>
    </row>
    <row r="171" spans="1:37">
      <c r="A171" s="1" t="s">
        <v>205</v>
      </c>
      <c r="B171" t="s">
        <v>429</v>
      </c>
      <c r="C171">
        <f>HYPERLINK("https://finance.naver.com/item/coinfo.nhn?code=227840", "A227840")</f>
        <v>0</v>
      </c>
      <c r="D171">
        <f>HYPERLINK("http://comp.fnguide.com/SVO2/ASP/SVD_Consensus.asp?pGB=1&amp;gicode=A227840&amp;cID=&amp;MenuYn=Y&amp;ReportGB=&amp;NewMenuID=108&amp;stkGb=701", "현대코퍼레이션홀딩스")</f>
        <v>0</v>
      </c>
      <c r="E171">
        <v>3</v>
      </c>
      <c r="F171">
        <v>12050</v>
      </c>
      <c r="G171">
        <v>0</v>
      </c>
      <c r="H171">
        <v>3.02</v>
      </c>
      <c r="I171">
        <v>43757</v>
      </c>
      <c r="J171">
        <v>39775</v>
      </c>
      <c r="K171">
        <v>38380</v>
      </c>
      <c r="L171">
        <v>-263.13</v>
      </c>
      <c r="M171">
        <v>-230.09</v>
      </c>
      <c r="N171">
        <v>-218.51</v>
      </c>
      <c r="O171">
        <v>13.01</v>
      </c>
      <c r="P171" t="b">
        <v>1</v>
      </c>
      <c r="Q171">
        <v>0</v>
      </c>
      <c r="R171">
        <v>4028</v>
      </c>
      <c r="U171" t="s">
        <v>653</v>
      </c>
      <c r="V171" t="s">
        <v>877</v>
      </c>
      <c r="W171">
        <v>0</v>
      </c>
      <c r="X171">
        <v>-6.3</v>
      </c>
      <c r="Y171" t="s">
        <v>1100</v>
      </c>
      <c r="Z171">
        <v>22.4374771574192</v>
      </c>
      <c r="AA171">
        <v>1097</v>
      </c>
      <c r="AB171">
        <v>24154</v>
      </c>
      <c r="AC171" t="s">
        <v>1323</v>
      </c>
      <c r="AD171">
        <v>49.34</v>
      </c>
      <c r="AE171" t="s">
        <v>1547</v>
      </c>
      <c r="AF171" t="s">
        <v>1769</v>
      </c>
      <c r="AG171">
        <v>2502</v>
      </c>
      <c r="AH171">
        <v>214</v>
      </c>
      <c r="AI171">
        <v>279135</v>
      </c>
      <c r="AJ171">
        <v>4.11</v>
      </c>
      <c r="AK171" t="b">
        <v>1</v>
      </c>
    </row>
    <row r="172" spans="1:37">
      <c r="A172" s="1" t="s">
        <v>206</v>
      </c>
      <c r="B172" t="s">
        <v>430</v>
      </c>
      <c r="C172">
        <f>HYPERLINK("https://finance.naver.com/item/coinfo.nhn?code=378850", "A378850")</f>
        <v>0</v>
      </c>
      <c r="D172">
        <f>HYPERLINK("http://comp.fnguide.com/SVO2/ASP/SVD_Consensus.asp?pGB=1&amp;gicode=A378850&amp;cID=&amp;MenuYn=Y&amp;ReportGB=&amp;NewMenuID=108&amp;stkGb=701", "화승알앤에이")</f>
        <v>0</v>
      </c>
      <c r="E172">
        <v>3</v>
      </c>
      <c r="F172">
        <v>3195</v>
      </c>
      <c r="G172">
        <v>0</v>
      </c>
      <c r="H172">
        <v>3.41</v>
      </c>
      <c r="I172">
        <v>14578</v>
      </c>
      <c r="J172">
        <v>11493</v>
      </c>
      <c r="K172">
        <v>10412</v>
      </c>
      <c r="L172">
        <v>-356.28</v>
      </c>
      <c r="M172">
        <v>-259.71</v>
      </c>
      <c r="N172">
        <v>-225.87</v>
      </c>
      <c r="O172">
        <v>17.9</v>
      </c>
      <c r="P172" t="b">
        <v>1</v>
      </c>
      <c r="Q172">
        <v>0</v>
      </c>
      <c r="R172">
        <v>960</v>
      </c>
      <c r="U172" t="s">
        <v>654</v>
      </c>
      <c r="V172" t="s">
        <v>878</v>
      </c>
      <c r="W172">
        <v>0</v>
      </c>
      <c r="X172">
        <v>115.5</v>
      </c>
      <c r="Y172" t="s">
        <v>1101</v>
      </c>
      <c r="Z172">
        <v>36.43375321972242</v>
      </c>
      <c r="AA172">
        <v>607</v>
      </c>
      <c r="AB172">
        <v>65518</v>
      </c>
      <c r="AC172" t="s">
        <v>1324</v>
      </c>
      <c r="AD172">
        <v>55.97</v>
      </c>
      <c r="AE172" t="s">
        <v>1548</v>
      </c>
      <c r="AF172" t="s">
        <v>1770</v>
      </c>
      <c r="AG172">
        <v>7146</v>
      </c>
      <c r="AH172">
        <v>271</v>
      </c>
      <c r="AI172">
        <v>2837</v>
      </c>
      <c r="AJ172">
        <v>2.29</v>
      </c>
      <c r="AK172" t="b">
        <v>1</v>
      </c>
    </row>
    <row r="173" spans="1:37">
      <c r="A173" s="1" t="s">
        <v>207</v>
      </c>
      <c r="B173" t="s">
        <v>431</v>
      </c>
      <c r="C173">
        <f>HYPERLINK("https://finance.naver.com/item/coinfo.nhn?code=003350", "A003350")</f>
        <v>0</v>
      </c>
      <c r="D173">
        <f>HYPERLINK("http://comp.fnguide.com/SVO2/ASP/SVD_Consensus.asp?pGB=1&amp;gicode=A003350&amp;cID=&amp;MenuYn=Y&amp;ReportGB=&amp;NewMenuID=108&amp;stkGb=701", "한국화장품제조")</f>
        <v>0</v>
      </c>
      <c r="E173">
        <v>3</v>
      </c>
      <c r="F173">
        <v>8210</v>
      </c>
      <c r="G173">
        <v>0</v>
      </c>
      <c r="H173">
        <v>8.1</v>
      </c>
      <c r="I173">
        <v>16002</v>
      </c>
      <c r="J173">
        <v>10553</v>
      </c>
      <c r="K173">
        <v>8643</v>
      </c>
      <c r="L173">
        <v>-94.91</v>
      </c>
      <c r="M173">
        <v>-28.54</v>
      </c>
      <c r="N173">
        <v>-5.28</v>
      </c>
      <c r="O173">
        <v>29.89</v>
      </c>
      <c r="P173" t="b">
        <v>0</v>
      </c>
      <c r="Q173">
        <v>0</v>
      </c>
      <c r="R173">
        <v>1208</v>
      </c>
      <c r="U173" t="s">
        <v>655</v>
      </c>
      <c r="V173" t="s">
        <v>879</v>
      </c>
      <c r="W173">
        <v>0</v>
      </c>
      <c r="X173">
        <v>43.8</v>
      </c>
      <c r="Y173" t="s">
        <v>1102</v>
      </c>
      <c r="Z173">
        <v>0</v>
      </c>
      <c r="AA173">
        <v>1860</v>
      </c>
      <c r="AB173">
        <v>62072</v>
      </c>
      <c r="AC173" t="s">
        <v>1325</v>
      </c>
      <c r="AD173">
        <v>45.03</v>
      </c>
      <c r="AE173" t="s">
        <v>1549</v>
      </c>
      <c r="AF173" t="s">
        <v>1771</v>
      </c>
      <c r="AG173">
        <v>1846</v>
      </c>
      <c r="AH173">
        <v>329</v>
      </c>
      <c r="AI173">
        <v>4534965</v>
      </c>
      <c r="AJ173">
        <v>0.61</v>
      </c>
      <c r="AK173" t="b">
        <v>1</v>
      </c>
    </row>
    <row r="174" spans="1:37">
      <c r="A174" s="1" t="s">
        <v>208</v>
      </c>
      <c r="B174" t="s">
        <v>432</v>
      </c>
      <c r="C174">
        <f>HYPERLINK("https://finance.naver.com/item/coinfo.nhn?code=003480", "A003480")</f>
        <v>0</v>
      </c>
      <c r="D174">
        <f>HYPERLINK("http://comp.fnguide.com/SVO2/ASP/SVD_Consensus.asp?pGB=1&amp;gicode=A003480&amp;cID=&amp;MenuYn=Y&amp;ReportGB=&amp;NewMenuID=108&amp;stkGb=701", "한진중공업홀딩스")</f>
        <v>0</v>
      </c>
      <c r="E174">
        <v>3</v>
      </c>
      <c r="F174">
        <v>4910</v>
      </c>
      <c r="G174">
        <v>0</v>
      </c>
      <c r="H174">
        <v>2.33</v>
      </c>
      <c r="I174">
        <v>19947</v>
      </c>
      <c r="J174">
        <v>18400</v>
      </c>
      <c r="K174">
        <v>17859</v>
      </c>
      <c r="L174">
        <v>-306.24</v>
      </c>
      <c r="M174">
        <v>-274.75</v>
      </c>
      <c r="N174">
        <v>-263.72</v>
      </c>
      <c r="O174">
        <v>12.63</v>
      </c>
      <c r="P174" t="b">
        <v>1</v>
      </c>
      <c r="Q174">
        <v>0</v>
      </c>
      <c r="R174">
        <v>2001</v>
      </c>
      <c r="U174" t="s">
        <v>656</v>
      </c>
      <c r="V174" t="s">
        <v>880</v>
      </c>
      <c r="W174">
        <v>0</v>
      </c>
      <c r="X174">
        <v>26.1</v>
      </c>
      <c r="Y174" t="s">
        <v>1103</v>
      </c>
      <c r="Z174">
        <v>0</v>
      </c>
      <c r="AA174">
        <v>1450</v>
      </c>
      <c r="AB174">
        <v>79513</v>
      </c>
      <c r="AC174" t="s">
        <v>1326</v>
      </c>
      <c r="AD174">
        <v>50.48</v>
      </c>
      <c r="AE174" t="s">
        <v>1550</v>
      </c>
      <c r="AF174" t="s">
        <v>1772</v>
      </c>
      <c r="AG174">
        <v>12017</v>
      </c>
      <c r="AH174">
        <v>733</v>
      </c>
      <c r="AI174">
        <v>3440308</v>
      </c>
      <c r="AJ174">
        <v>2.58</v>
      </c>
      <c r="AK174" t="b">
        <v>1</v>
      </c>
    </row>
    <row r="175" spans="1:37">
      <c r="A175" s="1" t="s">
        <v>209</v>
      </c>
      <c r="B175" t="s">
        <v>433</v>
      </c>
      <c r="C175">
        <f>HYPERLINK("https://finance.naver.com/item/coinfo.nhn?code=010690", "A010690")</f>
        <v>0</v>
      </c>
      <c r="D175">
        <f>HYPERLINK("http://comp.fnguide.com/SVO2/ASP/SVD_Consensus.asp?pGB=1&amp;gicode=A010690&amp;cID=&amp;MenuYn=Y&amp;ReportGB=&amp;NewMenuID=108&amp;stkGb=701", "화신")</f>
        <v>0</v>
      </c>
      <c r="E175">
        <v>3</v>
      </c>
      <c r="F175">
        <v>9360</v>
      </c>
      <c r="G175">
        <v>0.99</v>
      </c>
      <c r="H175">
        <v>4.35</v>
      </c>
      <c r="I175">
        <v>19883</v>
      </c>
      <c r="J175">
        <v>18050</v>
      </c>
      <c r="K175">
        <v>17408</v>
      </c>
      <c r="L175">
        <v>-112.43</v>
      </c>
      <c r="M175">
        <v>-92.84999999999999</v>
      </c>
      <c r="N175">
        <v>-85.98</v>
      </c>
      <c r="O175">
        <v>13.05</v>
      </c>
      <c r="P175" t="b">
        <v>1</v>
      </c>
      <c r="Q175">
        <v>2</v>
      </c>
      <c r="R175">
        <v>1910</v>
      </c>
      <c r="S175">
        <v>2520</v>
      </c>
      <c r="T175">
        <v>31.9</v>
      </c>
      <c r="U175" t="s">
        <v>657</v>
      </c>
      <c r="V175" t="s">
        <v>881</v>
      </c>
      <c r="W175">
        <v>4.403676875390561</v>
      </c>
      <c r="X175">
        <v>-2.8</v>
      </c>
      <c r="Y175" t="s">
        <v>1104</v>
      </c>
      <c r="Z175">
        <v>21.58859658309689</v>
      </c>
      <c r="AA175">
        <v>3269</v>
      </c>
      <c r="AB175">
        <v>223327</v>
      </c>
      <c r="AC175" t="s">
        <v>1327</v>
      </c>
      <c r="AD175">
        <v>50.41</v>
      </c>
      <c r="AE175" t="s">
        <v>1551</v>
      </c>
      <c r="AF175" t="s">
        <v>1773</v>
      </c>
      <c r="AG175">
        <v>19625</v>
      </c>
      <c r="AH175">
        <v>1024</v>
      </c>
      <c r="AI175">
        <v>171969</v>
      </c>
      <c r="AJ175">
        <v>2.05</v>
      </c>
      <c r="AK175" t="b">
        <v>1</v>
      </c>
    </row>
    <row r="176" spans="1:37">
      <c r="A176" s="1" t="s">
        <v>210</v>
      </c>
      <c r="B176" t="s">
        <v>434</v>
      </c>
      <c r="C176">
        <f>HYPERLINK("https://finance.naver.com/item/coinfo.nhn?code=058860", "A058860")</f>
        <v>0</v>
      </c>
      <c r="D176">
        <f>HYPERLINK("http://comp.fnguide.com/SVO2/ASP/SVD_Consensus.asp?pGB=1&amp;gicode=A058860&amp;cID=&amp;MenuYn=Y&amp;ReportGB=&amp;NewMenuID=108&amp;stkGb=701", "KTis")</f>
        <v>0</v>
      </c>
      <c r="E176">
        <v>3</v>
      </c>
      <c r="F176">
        <v>2585</v>
      </c>
      <c r="G176">
        <v>0</v>
      </c>
      <c r="H176">
        <v>2.6</v>
      </c>
      <c r="I176">
        <v>8113</v>
      </c>
      <c r="J176">
        <v>7947</v>
      </c>
      <c r="K176">
        <v>7888</v>
      </c>
      <c r="L176">
        <v>-213.85</v>
      </c>
      <c r="M176">
        <v>-207.42</v>
      </c>
      <c r="N176">
        <v>-205.16</v>
      </c>
      <c r="O176">
        <v>11.22</v>
      </c>
      <c r="P176" t="b">
        <v>1</v>
      </c>
      <c r="Q176">
        <v>0</v>
      </c>
      <c r="R176">
        <v>1045</v>
      </c>
      <c r="U176" t="s">
        <v>658</v>
      </c>
      <c r="V176" t="s">
        <v>882</v>
      </c>
      <c r="W176">
        <v>0</v>
      </c>
      <c r="X176">
        <v>4.8</v>
      </c>
      <c r="Y176" t="s">
        <v>1105</v>
      </c>
      <c r="Z176">
        <v>8.852987265343915</v>
      </c>
      <c r="AA176">
        <v>900</v>
      </c>
      <c r="AB176">
        <v>51404</v>
      </c>
      <c r="AC176" t="s">
        <v>1328</v>
      </c>
      <c r="AD176">
        <v>29.36</v>
      </c>
      <c r="AE176" t="s">
        <v>1552</v>
      </c>
      <c r="AF176" t="s">
        <v>1774</v>
      </c>
      <c r="AG176">
        <v>5888</v>
      </c>
      <c r="AH176">
        <v>247</v>
      </c>
      <c r="AI176">
        <v>4228938</v>
      </c>
      <c r="AJ176">
        <v>5.16</v>
      </c>
      <c r="AK176" t="b">
        <v>1</v>
      </c>
    </row>
    <row r="177" spans="1:37">
      <c r="A177" s="1" t="s">
        <v>211</v>
      </c>
      <c r="B177" t="s">
        <v>435</v>
      </c>
      <c r="C177">
        <f>HYPERLINK("https://finance.naver.com/item/coinfo.nhn?code=002380", "A002380")</f>
        <v>0</v>
      </c>
      <c r="D177">
        <f>HYPERLINK("http://comp.fnguide.com/SVO2/ASP/SVD_Consensus.asp?pGB=1&amp;gicode=A002380&amp;cID=&amp;MenuYn=Y&amp;ReportGB=&amp;NewMenuID=108&amp;stkGb=701", "KCC")</f>
        <v>0</v>
      </c>
      <c r="E177">
        <v>3</v>
      </c>
      <c r="F177">
        <v>542000</v>
      </c>
      <c r="G177">
        <v>0.03</v>
      </c>
      <c r="H177">
        <v>2.43</v>
      </c>
      <c r="I177">
        <v>1443257</v>
      </c>
      <c r="J177">
        <v>1241126</v>
      </c>
      <c r="K177">
        <v>1170292</v>
      </c>
      <c r="L177">
        <v>-166.28</v>
      </c>
      <c r="M177">
        <v>-128.99</v>
      </c>
      <c r="N177">
        <v>-115.92</v>
      </c>
      <c r="O177">
        <v>14.64</v>
      </c>
      <c r="P177" t="b">
        <v>0</v>
      </c>
      <c r="Q177">
        <v>0</v>
      </c>
      <c r="R177">
        <v>173128</v>
      </c>
      <c r="S177">
        <v>117491</v>
      </c>
      <c r="T177">
        <v>-32.1</v>
      </c>
      <c r="U177" t="s">
        <v>659</v>
      </c>
      <c r="V177" t="s">
        <v>883</v>
      </c>
      <c r="W177">
        <v>70.00340160436902</v>
      </c>
      <c r="X177">
        <v>392.5</v>
      </c>
      <c r="Y177" t="s">
        <v>1106</v>
      </c>
      <c r="Z177">
        <v>0</v>
      </c>
      <c r="AA177">
        <v>46574</v>
      </c>
      <c r="AB177">
        <v>32420</v>
      </c>
      <c r="AC177" t="s">
        <v>1329</v>
      </c>
      <c r="AD177">
        <v>35.57</v>
      </c>
      <c r="AE177" t="s">
        <v>1553</v>
      </c>
      <c r="AF177" t="s">
        <v>1775</v>
      </c>
      <c r="AG177">
        <v>64838</v>
      </c>
      <c r="AH177">
        <v>4276</v>
      </c>
      <c r="AI177">
        <v>1238725</v>
      </c>
      <c r="AJ177">
        <v>3.57</v>
      </c>
      <c r="AK177" t="b">
        <v>1</v>
      </c>
    </row>
    <row r="178" spans="1:37">
      <c r="A178" s="1" t="s">
        <v>212</v>
      </c>
      <c r="B178" t="s">
        <v>436</v>
      </c>
      <c r="C178">
        <f>HYPERLINK("https://finance.naver.com/item/coinfo.nhn?code=192080", "A192080")</f>
        <v>0</v>
      </c>
      <c r="D178">
        <f>HYPERLINK("http://comp.fnguide.com/SVO2/ASP/SVD_Consensus.asp?pGB=1&amp;gicode=A192080&amp;cID=&amp;MenuYn=Y&amp;ReportGB=&amp;NewMenuID=108&amp;stkGb=701", "더블유게임즈")</f>
        <v>0</v>
      </c>
      <c r="E178">
        <v>2</v>
      </c>
      <c r="F178">
        <v>71100</v>
      </c>
      <c r="G178">
        <v>0.89</v>
      </c>
      <c r="H178">
        <v>8.779999999999999</v>
      </c>
      <c r="I178">
        <v>84724</v>
      </c>
      <c r="J178">
        <v>72056</v>
      </c>
      <c r="K178">
        <v>67616</v>
      </c>
      <c r="L178">
        <v>-19.16</v>
      </c>
      <c r="M178">
        <v>-1.34</v>
      </c>
      <c r="N178">
        <v>4.9</v>
      </c>
      <c r="O178">
        <v>15</v>
      </c>
      <c r="P178" t="b">
        <v>1</v>
      </c>
      <c r="Q178">
        <v>1</v>
      </c>
      <c r="R178">
        <v>6106</v>
      </c>
      <c r="S178">
        <v>9166</v>
      </c>
      <c r="T178">
        <v>50.1</v>
      </c>
      <c r="U178" t="s">
        <v>660</v>
      </c>
      <c r="V178" t="s">
        <v>884</v>
      </c>
      <c r="W178">
        <v>9.826753704899982</v>
      </c>
      <c r="X178">
        <v>67.40000000000001</v>
      </c>
      <c r="Y178" t="s">
        <v>1107</v>
      </c>
      <c r="Z178">
        <v>0</v>
      </c>
      <c r="AA178">
        <v>15054</v>
      </c>
      <c r="AB178">
        <v>142046</v>
      </c>
      <c r="AC178" t="s">
        <v>1330</v>
      </c>
      <c r="AD178">
        <v>44.98</v>
      </c>
      <c r="AE178" t="s">
        <v>1554</v>
      </c>
      <c r="AF178" t="s">
        <v>1776</v>
      </c>
      <c r="AG178">
        <v>7199</v>
      </c>
      <c r="AH178">
        <v>2321</v>
      </c>
      <c r="AI178">
        <v>1717003</v>
      </c>
      <c r="AJ178">
        <v>2.24</v>
      </c>
      <c r="AK178" t="b">
        <v>1</v>
      </c>
    </row>
    <row r="179" spans="1:37">
      <c r="A179" s="1" t="s">
        <v>213</v>
      </c>
      <c r="B179" t="s">
        <v>437</v>
      </c>
      <c r="C179">
        <f>HYPERLINK("https://finance.naver.com/item/coinfo.nhn?code=134380", "A134380")</f>
        <v>0</v>
      </c>
      <c r="D179">
        <f>HYPERLINK("http://comp.fnguide.com/SVO2/ASP/SVD_Consensus.asp?pGB=1&amp;gicode=A134380&amp;cID=&amp;MenuYn=Y&amp;ReportGB=&amp;NewMenuID=108&amp;stkGb=701", "미원화학")</f>
        <v>0</v>
      </c>
      <c r="E179">
        <v>2</v>
      </c>
      <c r="F179">
        <v>10400</v>
      </c>
      <c r="G179">
        <v>0</v>
      </c>
      <c r="H179">
        <v>8.25</v>
      </c>
      <c r="I179">
        <v>13139</v>
      </c>
      <c r="J179">
        <v>10909</v>
      </c>
      <c r="K179">
        <v>10128</v>
      </c>
      <c r="L179">
        <v>-26.34</v>
      </c>
      <c r="M179">
        <v>-4.9</v>
      </c>
      <c r="N179">
        <v>2.62</v>
      </c>
      <c r="O179">
        <v>15.83</v>
      </c>
      <c r="P179" t="b">
        <v>0</v>
      </c>
      <c r="Q179">
        <v>0</v>
      </c>
      <c r="R179">
        <v>1124</v>
      </c>
      <c r="U179" t="s">
        <v>661</v>
      </c>
      <c r="V179" t="s">
        <v>885</v>
      </c>
      <c r="W179">
        <v>0</v>
      </c>
      <c r="X179">
        <v>45.9</v>
      </c>
      <c r="Y179" t="s">
        <v>1108</v>
      </c>
      <c r="Z179">
        <v>26.04125748591484</v>
      </c>
      <c r="AA179">
        <v>2287</v>
      </c>
      <c r="AB179">
        <v>3754</v>
      </c>
      <c r="AC179" t="s">
        <v>1331</v>
      </c>
      <c r="AD179">
        <v>55.34</v>
      </c>
      <c r="AE179" t="s">
        <v>1555</v>
      </c>
      <c r="AF179" t="s">
        <v>1777</v>
      </c>
      <c r="AG179">
        <v>2845</v>
      </c>
      <c r="AH179">
        <v>292</v>
      </c>
      <c r="AI179">
        <v>2605150</v>
      </c>
      <c r="AJ179">
        <v>4.85</v>
      </c>
      <c r="AK179" t="b">
        <v>1</v>
      </c>
    </row>
    <row r="180" spans="1:37">
      <c r="A180" s="1" t="s">
        <v>214</v>
      </c>
      <c r="B180" t="s">
        <v>438</v>
      </c>
      <c r="C180">
        <f>HYPERLINK("https://finance.naver.com/item/coinfo.nhn?code=439260", "A439260")</f>
        <v>0</v>
      </c>
      <c r="D180">
        <f>HYPERLINK("http://comp.fnguide.com/SVO2/ASP/SVD_Consensus.asp?pGB=1&amp;gicode=A439260&amp;cID=&amp;MenuYn=Y&amp;ReportGB=&amp;NewMenuID=108&amp;stkGb=701", "대한조선")</f>
        <v>0</v>
      </c>
      <c r="E180">
        <v>2</v>
      </c>
      <c r="F180">
        <v>60000</v>
      </c>
      <c r="G180">
        <v>0.3</v>
      </c>
      <c r="H180">
        <v>9.16</v>
      </c>
      <c r="I180">
        <v>102818</v>
      </c>
      <c r="J180">
        <v>63310</v>
      </c>
      <c r="K180">
        <v>49465</v>
      </c>
      <c r="L180">
        <v>-71.36</v>
      </c>
      <c r="M180">
        <v>-5.52</v>
      </c>
      <c r="N180">
        <v>17.56</v>
      </c>
      <c r="O180">
        <v>38.68</v>
      </c>
      <c r="P180" t="b">
        <v>1</v>
      </c>
      <c r="Q180">
        <v>3</v>
      </c>
      <c r="R180">
        <v>7314</v>
      </c>
      <c r="S180">
        <v>8010</v>
      </c>
      <c r="T180">
        <v>9.5</v>
      </c>
      <c r="U180" t="s">
        <v>662</v>
      </c>
      <c r="V180" t="s">
        <v>886</v>
      </c>
      <c r="W180">
        <v>30.06323531069781</v>
      </c>
      <c r="X180">
        <v>1.3</v>
      </c>
      <c r="Y180" t="s">
        <v>1109</v>
      </c>
      <c r="Z180">
        <v>0</v>
      </c>
      <c r="AA180">
        <v>22853</v>
      </c>
      <c r="AB180">
        <v>67950</v>
      </c>
      <c r="AC180" t="s">
        <v>1332</v>
      </c>
      <c r="AD180">
        <v>48.18</v>
      </c>
      <c r="AE180" t="s">
        <v>1556</v>
      </c>
      <c r="AF180" t="s">
        <v>1778</v>
      </c>
      <c r="AG180">
        <v>12281</v>
      </c>
      <c r="AH180">
        <v>2941</v>
      </c>
      <c r="AJ180">
        <v>0.37</v>
      </c>
      <c r="AK180" t="b">
        <v>1</v>
      </c>
    </row>
    <row r="181" spans="1:37">
      <c r="A181" s="1" t="s">
        <v>215</v>
      </c>
      <c r="B181" t="s">
        <v>439</v>
      </c>
      <c r="C181">
        <f>HYPERLINK("https://finance.naver.com/item/coinfo.nhn?code=009240", "A009240")</f>
        <v>0</v>
      </c>
      <c r="D181">
        <f>HYPERLINK("http://comp.fnguide.com/SVO2/ASP/SVD_Consensus.asp?pGB=1&amp;gicode=A009240&amp;cID=&amp;MenuYn=Y&amp;ReportGB=&amp;NewMenuID=108&amp;stkGb=701", "한샘")</f>
        <v>0</v>
      </c>
      <c r="E181">
        <v>2</v>
      </c>
      <c r="F181">
        <v>30750</v>
      </c>
      <c r="G181">
        <v>0</v>
      </c>
      <c r="H181">
        <v>23.47</v>
      </c>
      <c r="I181">
        <v>46192</v>
      </c>
      <c r="J181">
        <v>34411</v>
      </c>
      <c r="K181">
        <v>30282</v>
      </c>
      <c r="L181">
        <v>-50.22</v>
      </c>
      <c r="M181">
        <v>-11.9</v>
      </c>
      <c r="N181">
        <v>1.52</v>
      </c>
      <c r="O181">
        <v>20.7</v>
      </c>
      <c r="P181" t="b">
        <v>0</v>
      </c>
      <c r="Q181">
        <v>0</v>
      </c>
      <c r="R181">
        <v>1967</v>
      </c>
      <c r="S181">
        <v>1109</v>
      </c>
      <c r="T181">
        <v>-43.6</v>
      </c>
      <c r="U181" t="s">
        <v>663</v>
      </c>
      <c r="V181" t="s">
        <v>887</v>
      </c>
      <c r="W181">
        <v>0</v>
      </c>
      <c r="X181">
        <v>-72.59999999999999</v>
      </c>
      <c r="Y181" t="s">
        <v>1110</v>
      </c>
      <c r="Z181">
        <v>0</v>
      </c>
      <c r="AA181">
        <v>7237</v>
      </c>
      <c r="AB181">
        <v>39392</v>
      </c>
      <c r="AC181" t="s">
        <v>1333</v>
      </c>
      <c r="AD181">
        <v>35.96</v>
      </c>
      <c r="AE181" t="s">
        <v>1557</v>
      </c>
      <c r="AF181" t="s">
        <v>1779</v>
      </c>
      <c r="AG181">
        <v>17445</v>
      </c>
      <c r="AH181">
        <v>185</v>
      </c>
      <c r="AI181">
        <v>6933606</v>
      </c>
      <c r="AK181" t="b">
        <v>1</v>
      </c>
    </row>
    <row r="182" spans="1:37">
      <c r="A182" s="1" t="s">
        <v>216</v>
      </c>
      <c r="B182" t="s">
        <v>440</v>
      </c>
      <c r="C182">
        <f>HYPERLINK("https://finance.naver.com/item/coinfo.nhn?code=114840", "A114840")</f>
        <v>0</v>
      </c>
      <c r="D182">
        <f>HYPERLINK("http://comp.fnguide.com/SVO2/ASP/SVD_Consensus.asp?pGB=1&amp;gicode=A114840&amp;cID=&amp;MenuYn=Y&amp;ReportGB=&amp;NewMenuID=108&amp;stkGb=701", "아이패밀리에스씨")</f>
        <v>0</v>
      </c>
      <c r="E182">
        <v>2</v>
      </c>
      <c r="F182">
        <v>9980</v>
      </c>
      <c r="G182">
        <v>1.66</v>
      </c>
      <c r="H182">
        <v>10.82</v>
      </c>
      <c r="I182">
        <v>16602</v>
      </c>
      <c r="J182">
        <v>11106</v>
      </c>
      <c r="K182">
        <v>9180</v>
      </c>
      <c r="L182">
        <v>-66.34999999999999</v>
      </c>
      <c r="M182">
        <v>-11.28</v>
      </c>
      <c r="N182">
        <v>8.02</v>
      </c>
      <c r="O182">
        <v>28.48</v>
      </c>
      <c r="P182" t="b">
        <v>1</v>
      </c>
      <c r="Q182">
        <v>1</v>
      </c>
      <c r="R182">
        <v>1261</v>
      </c>
      <c r="S182">
        <v>1409</v>
      </c>
      <c r="T182">
        <v>11.7</v>
      </c>
      <c r="U182" t="s">
        <v>664</v>
      </c>
      <c r="V182" t="s">
        <v>888</v>
      </c>
      <c r="W182">
        <v>6.501538914040816</v>
      </c>
      <c r="X182">
        <v>-52.8</v>
      </c>
      <c r="Y182" t="s">
        <v>1111</v>
      </c>
      <c r="Z182">
        <v>17.58800047492979</v>
      </c>
      <c r="AA182">
        <v>1729</v>
      </c>
      <c r="AB182">
        <v>114879</v>
      </c>
      <c r="AC182" t="s">
        <v>1334</v>
      </c>
      <c r="AD182">
        <v>41.74</v>
      </c>
      <c r="AE182" t="s">
        <v>1558</v>
      </c>
      <c r="AF182" t="s">
        <v>1780</v>
      </c>
      <c r="AG182">
        <v>2241</v>
      </c>
      <c r="AH182">
        <v>271</v>
      </c>
      <c r="AI182">
        <v>702949</v>
      </c>
      <c r="AJ182">
        <v>2.19</v>
      </c>
      <c r="AK182" t="b">
        <v>1</v>
      </c>
    </row>
    <row r="183" spans="1:37">
      <c r="A183" s="1" t="s">
        <v>217</v>
      </c>
      <c r="B183" t="s">
        <v>441</v>
      </c>
      <c r="C183">
        <f>HYPERLINK("https://finance.naver.com/item/coinfo.nhn?code=045340", "A045340")</f>
        <v>0</v>
      </c>
      <c r="D183">
        <f>HYPERLINK("http://comp.fnguide.com/SVO2/ASP/SVD_Consensus.asp?pGB=1&amp;gicode=A045340&amp;cID=&amp;MenuYn=Y&amp;ReportGB=&amp;NewMenuID=108&amp;stkGb=701", "토탈소프트")</f>
        <v>0</v>
      </c>
      <c r="E183">
        <v>2</v>
      </c>
      <c r="F183">
        <v>6650</v>
      </c>
      <c r="G183">
        <v>0</v>
      </c>
      <c r="H183">
        <v>7.13</v>
      </c>
      <c r="I183">
        <v>10068</v>
      </c>
      <c r="J183">
        <v>7049</v>
      </c>
      <c r="K183">
        <v>5991</v>
      </c>
      <c r="L183">
        <v>-51.4</v>
      </c>
      <c r="M183">
        <v>-6</v>
      </c>
      <c r="N183">
        <v>9.91</v>
      </c>
      <c r="O183">
        <v>24.67</v>
      </c>
      <c r="P183" t="b">
        <v>1</v>
      </c>
      <c r="Q183">
        <v>0</v>
      </c>
      <c r="R183">
        <v>997</v>
      </c>
      <c r="U183" t="s">
        <v>665</v>
      </c>
      <c r="V183" t="s">
        <v>889</v>
      </c>
      <c r="W183">
        <v>0</v>
      </c>
      <c r="X183">
        <v>92.3</v>
      </c>
      <c r="Y183" t="s">
        <v>1112</v>
      </c>
      <c r="Z183">
        <v>40.31361867607612</v>
      </c>
      <c r="AA183">
        <v>569</v>
      </c>
      <c r="AB183">
        <v>52528</v>
      </c>
      <c r="AC183" t="s">
        <v>1335</v>
      </c>
      <c r="AD183">
        <v>30.73</v>
      </c>
      <c r="AE183" t="s">
        <v>1559</v>
      </c>
      <c r="AF183" t="s">
        <v>1781</v>
      </c>
      <c r="AG183">
        <v>275</v>
      </c>
      <c r="AH183">
        <v>94</v>
      </c>
      <c r="AI183">
        <v>244840</v>
      </c>
      <c r="AJ183">
        <v>1.41</v>
      </c>
      <c r="AK183" t="b">
        <v>1</v>
      </c>
    </row>
    <row r="184" spans="1:37">
      <c r="A184" s="1" t="s">
        <v>218</v>
      </c>
      <c r="B184" t="s">
        <v>442</v>
      </c>
      <c r="C184">
        <f>HYPERLINK("https://finance.naver.com/item/coinfo.nhn?code=383220", "A383220")</f>
        <v>0</v>
      </c>
      <c r="D184">
        <f>HYPERLINK("http://comp.fnguide.com/SVO2/ASP/SVD_Consensus.asp?pGB=1&amp;gicode=A383220&amp;cID=&amp;MenuYn=Y&amp;ReportGB=&amp;NewMenuID=108&amp;stkGb=701", "F&amp;F")</f>
        <v>0</v>
      </c>
      <c r="E184">
        <v>2</v>
      </c>
      <c r="F184">
        <v>73700</v>
      </c>
      <c r="G184">
        <v>1.38</v>
      </c>
      <c r="H184">
        <v>6.58</v>
      </c>
      <c r="I184">
        <v>122676</v>
      </c>
      <c r="J184">
        <v>84013</v>
      </c>
      <c r="K184">
        <v>70463</v>
      </c>
      <c r="L184">
        <v>-66.45</v>
      </c>
      <c r="M184">
        <v>-13.99</v>
      </c>
      <c r="N184">
        <v>4.39</v>
      </c>
      <c r="O184">
        <v>26.41</v>
      </c>
      <c r="P184" t="b">
        <v>1</v>
      </c>
      <c r="Q184">
        <v>2</v>
      </c>
      <c r="R184">
        <v>10404</v>
      </c>
      <c r="S184">
        <v>12759</v>
      </c>
      <c r="T184">
        <v>22.6</v>
      </c>
      <c r="U184" t="s">
        <v>666</v>
      </c>
      <c r="V184" t="s">
        <v>890</v>
      </c>
      <c r="W184">
        <v>4.764420841997374</v>
      </c>
      <c r="X184">
        <v>138</v>
      </c>
      <c r="Y184" t="s">
        <v>1113</v>
      </c>
      <c r="Z184">
        <v>33.259680228603</v>
      </c>
      <c r="AA184">
        <v>28232</v>
      </c>
      <c r="AB184">
        <v>122773</v>
      </c>
      <c r="AC184" t="s">
        <v>1336</v>
      </c>
      <c r="AD184">
        <v>62.82</v>
      </c>
      <c r="AE184" t="s">
        <v>1560</v>
      </c>
      <c r="AF184" t="s">
        <v>1782</v>
      </c>
      <c r="AG184">
        <v>19340</v>
      </c>
      <c r="AH184">
        <v>4686</v>
      </c>
      <c r="AI184">
        <v>825501</v>
      </c>
      <c r="AJ184">
        <v>3.94</v>
      </c>
      <c r="AK184" t="b">
        <v>1</v>
      </c>
    </row>
    <row r="185" spans="1:37">
      <c r="A185" s="1" t="s">
        <v>219</v>
      </c>
      <c r="B185" t="s">
        <v>443</v>
      </c>
      <c r="C185">
        <f>HYPERLINK("https://finance.naver.com/item/coinfo.nhn?code=448710", "A448710")</f>
        <v>0</v>
      </c>
      <c r="D185">
        <f>HYPERLINK("http://comp.fnguide.com/SVO2/ASP/SVD_Consensus.asp?pGB=1&amp;gicode=A448710&amp;cID=&amp;MenuYn=Y&amp;ReportGB=&amp;NewMenuID=108&amp;stkGb=701", "코츠테크놀로지")</f>
        <v>0</v>
      </c>
      <c r="E185">
        <v>2</v>
      </c>
      <c r="F185">
        <v>14990</v>
      </c>
      <c r="G185">
        <v>0</v>
      </c>
      <c r="H185">
        <v>11.93</v>
      </c>
      <c r="I185">
        <v>20187</v>
      </c>
      <c r="J185">
        <v>15720</v>
      </c>
      <c r="K185">
        <v>14155</v>
      </c>
      <c r="L185">
        <v>-34.67</v>
      </c>
      <c r="M185">
        <v>-4.87</v>
      </c>
      <c r="N185">
        <v>5.57</v>
      </c>
      <c r="O185">
        <v>18.45</v>
      </c>
      <c r="P185" t="b">
        <v>0</v>
      </c>
      <c r="Q185">
        <v>0</v>
      </c>
      <c r="R185">
        <v>1402</v>
      </c>
      <c r="U185" t="s">
        <v>667</v>
      </c>
      <c r="V185" t="s">
        <v>891</v>
      </c>
      <c r="W185">
        <v>0</v>
      </c>
      <c r="X185">
        <v>-11.2</v>
      </c>
      <c r="Y185" t="s">
        <v>1114</v>
      </c>
      <c r="Z185">
        <v>20.99042398196973</v>
      </c>
      <c r="AA185">
        <v>792</v>
      </c>
      <c r="AB185">
        <v>33040</v>
      </c>
      <c r="AC185" t="s">
        <v>1337</v>
      </c>
      <c r="AD185">
        <v>20.85</v>
      </c>
      <c r="AE185" t="s">
        <v>1561</v>
      </c>
      <c r="AF185" t="s">
        <v>1783</v>
      </c>
      <c r="AG185">
        <v>681</v>
      </c>
      <c r="AH185">
        <v>83</v>
      </c>
      <c r="AI185">
        <v>727750</v>
      </c>
      <c r="AJ185">
        <v>0.9</v>
      </c>
      <c r="AK185" t="b">
        <v>1</v>
      </c>
    </row>
    <row r="186" spans="1:37">
      <c r="A186" s="1" t="s">
        <v>220</v>
      </c>
      <c r="B186" t="s">
        <v>444</v>
      </c>
      <c r="C186">
        <f>HYPERLINK("https://finance.naver.com/item/coinfo.nhn?code=339950", "A339950")</f>
        <v>0</v>
      </c>
      <c r="D186">
        <f>HYPERLINK("http://comp.fnguide.com/SVO2/ASP/SVD_Consensus.asp?pGB=1&amp;gicode=A339950&amp;cID=&amp;MenuYn=Y&amp;ReportGB=&amp;NewMenuID=108&amp;stkGb=701", "아이비김영")</f>
        <v>0</v>
      </c>
      <c r="E186">
        <v>2</v>
      </c>
      <c r="F186">
        <v>2555</v>
      </c>
      <c r="G186">
        <v>0.1</v>
      </c>
      <c r="H186">
        <v>4.22</v>
      </c>
      <c r="I186">
        <v>4372</v>
      </c>
      <c r="J186">
        <v>2949</v>
      </c>
      <c r="K186">
        <v>2451</v>
      </c>
      <c r="L186">
        <v>-71.13</v>
      </c>
      <c r="M186">
        <v>-15.43</v>
      </c>
      <c r="N186">
        <v>4.09</v>
      </c>
      <c r="O186">
        <v>27.72</v>
      </c>
      <c r="P186" t="b">
        <v>0</v>
      </c>
      <c r="Q186">
        <v>3</v>
      </c>
      <c r="R186">
        <v>461</v>
      </c>
      <c r="S186">
        <v>485</v>
      </c>
      <c r="T186">
        <v>5.2</v>
      </c>
      <c r="U186" t="s">
        <v>668</v>
      </c>
      <c r="V186" t="s">
        <v>892</v>
      </c>
      <c r="W186">
        <v>41.00690072357891</v>
      </c>
      <c r="X186">
        <v>489.4</v>
      </c>
      <c r="Y186" t="s">
        <v>1115</v>
      </c>
      <c r="Z186">
        <v>88.68706476319747</v>
      </c>
      <c r="AA186">
        <v>1148</v>
      </c>
      <c r="AB186">
        <v>82984</v>
      </c>
      <c r="AC186" t="s">
        <v>1338</v>
      </c>
      <c r="AD186">
        <v>64.70999999999999</v>
      </c>
      <c r="AE186" t="s">
        <v>1562</v>
      </c>
      <c r="AF186" t="s">
        <v>1784</v>
      </c>
      <c r="AG186">
        <v>1195</v>
      </c>
      <c r="AH186">
        <v>191</v>
      </c>
      <c r="AI186">
        <v>1582885</v>
      </c>
      <c r="AJ186">
        <v>15.42</v>
      </c>
      <c r="AK186" t="b">
        <v>1</v>
      </c>
    </row>
    <row r="187" spans="1:37">
      <c r="A187" s="1" t="s">
        <v>221</v>
      </c>
      <c r="B187" t="s">
        <v>445</v>
      </c>
      <c r="C187">
        <f>HYPERLINK("https://finance.naver.com/item/coinfo.nhn?code=173130", "A173130")</f>
        <v>0</v>
      </c>
      <c r="D187">
        <f>HYPERLINK("http://comp.fnguide.com/SVO2/ASP/SVD_Consensus.asp?pGB=1&amp;gicode=A173130&amp;cID=&amp;MenuYn=Y&amp;ReportGB=&amp;NewMenuID=108&amp;stkGb=701", "오파스넷")</f>
        <v>0</v>
      </c>
      <c r="E187">
        <v>2</v>
      </c>
      <c r="F187">
        <v>6400</v>
      </c>
      <c r="G187">
        <v>0</v>
      </c>
      <c r="H187">
        <v>6.84</v>
      </c>
      <c r="I187">
        <v>9810</v>
      </c>
      <c r="J187">
        <v>7226</v>
      </c>
      <c r="K187">
        <v>6320</v>
      </c>
      <c r="L187">
        <v>-53.28</v>
      </c>
      <c r="M187">
        <v>-12.9</v>
      </c>
      <c r="N187">
        <v>1.25</v>
      </c>
      <c r="O187">
        <v>21.34</v>
      </c>
      <c r="P187" t="b">
        <v>1</v>
      </c>
      <c r="Q187">
        <v>0</v>
      </c>
      <c r="R187">
        <v>971</v>
      </c>
      <c r="U187" t="s">
        <v>669</v>
      </c>
      <c r="V187" t="s">
        <v>893</v>
      </c>
      <c r="W187">
        <v>0</v>
      </c>
      <c r="X187">
        <v>286.3</v>
      </c>
      <c r="Y187" t="s">
        <v>1116</v>
      </c>
      <c r="Z187">
        <v>51.0157099124823</v>
      </c>
      <c r="AA187">
        <v>835</v>
      </c>
      <c r="AB187">
        <v>156257</v>
      </c>
      <c r="AC187" t="s">
        <v>1339</v>
      </c>
      <c r="AD187">
        <v>41.3</v>
      </c>
      <c r="AE187" t="s">
        <v>1563</v>
      </c>
      <c r="AF187" t="s">
        <v>1785</v>
      </c>
      <c r="AG187">
        <v>2333</v>
      </c>
      <c r="AH187">
        <v>140</v>
      </c>
      <c r="AI187">
        <v>3389</v>
      </c>
      <c r="AJ187">
        <v>3.77</v>
      </c>
      <c r="AK187" t="b">
        <v>1</v>
      </c>
    </row>
    <row r="188" spans="1:37">
      <c r="A188" s="1" t="s">
        <v>222</v>
      </c>
      <c r="B188" t="s">
        <v>446</v>
      </c>
      <c r="C188">
        <f>HYPERLINK("https://finance.naver.com/item/coinfo.nhn?code=032620", "A032620")</f>
        <v>0</v>
      </c>
      <c r="D188">
        <f>HYPERLINK("http://comp.fnguide.com/SVO2/ASP/SVD_Consensus.asp?pGB=1&amp;gicode=A032620&amp;cID=&amp;MenuYn=Y&amp;ReportGB=&amp;NewMenuID=108&amp;stkGb=701", "GC메디아이")</f>
        <v>0</v>
      </c>
      <c r="E188">
        <v>2</v>
      </c>
      <c r="F188">
        <v>3155</v>
      </c>
      <c r="G188">
        <v>0</v>
      </c>
      <c r="H188">
        <v>5.15</v>
      </c>
      <c r="I188">
        <v>3966</v>
      </c>
      <c r="J188">
        <v>3338</v>
      </c>
      <c r="K188">
        <v>3117</v>
      </c>
      <c r="L188">
        <v>-25.72</v>
      </c>
      <c r="M188">
        <v>-5.79</v>
      </c>
      <c r="N188">
        <v>1.2</v>
      </c>
      <c r="O188">
        <v>15.36</v>
      </c>
      <c r="P188" t="b">
        <v>1</v>
      </c>
      <c r="Q188">
        <v>0</v>
      </c>
      <c r="R188">
        <v>708</v>
      </c>
      <c r="U188" t="s">
        <v>670</v>
      </c>
      <c r="V188" t="s">
        <v>894</v>
      </c>
      <c r="W188">
        <v>0</v>
      </c>
      <c r="X188">
        <v>-97</v>
      </c>
      <c r="Y188" t="s">
        <v>1117</v>
      </c>
      <c r="Z188">
        <v>0</v>
      </c>
      <c r="AA188">
        <v>1647</v>
      </c>
      <c r="AB188">
        <v>94675</v>
      </c>
      <c r="AC188" t="s">
        <v>1340</v>
      </c>
      <c r="AD188">
        <v>53.03</v>
      </c>
      <c r="AE188" t="s">
        <v>1564</v>
      </c>
      <c r="AF188" t="s">
        <v>1786</v>
      </c>
      <c r="AG188">
        <v>1977</v>
      </c>
      <c r="AH188">
        <v>75</v>
      </c>
      <c r="AI188">
        <v>1413299</v>
      </c>
      <c r="AJ188">
        <v>1.37</v>
      </c>
      <c r="AK188" t="b">
        <v>1</v>
      </c>
    </row>
    <row r="189" spans="1:37">
      <c r="A189" s="1" t="s">
        <v>223</v>
      </c>
      <c r="B189" t="s">
        <v>447</v>
      </c>
      <c r="C189">
        <f>HYPERLINK("https://finance.naver.com/item/coinfo.nhn?code=054950", "A054950")</f>
        <v>0</v>
      </c>
      <c r="D189">
        <f>HYPERLINK("http://comp.fnguide.com/SVO2/ASP/SVD_Consensus.asp?pGB=1&amp;gicode=A054950&amp;cID=&amp;MenuYn=Y&amp;ReportGB=&amp;NewMenuID=108&amp;stkGb=701", "제이브이엠")</f>
        <v>0</v>
      </c>
      <c r="E189">
        <v>2</v>
      </c>
      <c r="F189">
        <v>22150</v>
      </c>
      <c r="G189">
        <v>1.23</v>
      </c>
      <c r="H189">
        <v>11.02</v>
      </c>
      <c r="I189">
        <v>26546</v>
      </c>
      <c r="J189">
        <v>23204</v>
      </c>
      <c r="K189">
        <v>22032</v>
      </c>
      <c r="L189">
        <v>-19.85</v>
      </c>
      <c r="M189">
        <v>-4.76</v>
      </c>
      <c r="N189">
        <v>0.53</v>
      </c>
      <c r="O189">
        <v>14.13</v>
      </c>
      <c r="P189" t="b">
        <v>1</v>
      </c>
      <c r="Q189">
        <v>1</v>
      </c>
      <c r="R189">
        <v>2345</v>
      </c>
      <c r="S189">
        <v>2807</v>
      </c>
      <c r="T189">
        <v>19.7</v>
      </c>
      <c r="U189" t="s">
        <v>671</v>
      </c>
      <c r="V189" t="s">
        <v>895</v>
      </c>
      <c r="W189">
        <v>8.94696095312586</v>
      </c>
      <c r="X189">
        <v>-2.4</v>
      </c>
      <c r="Y189" t="s">
        <v>1118</v>
      </c>
      <c r="Z189">
        <v>25.32500729403557</v>
      </c>
      <c r="AA189">
        <v>2678</v>
      </c>
      <c r="AB189">
        <v>30623</v>
      </c>
      <c r="AC189" t="s">
        <v>1341</v>
      </c>
      <c r="AD189">
        <v>39.19</v>
      </c>
      <c r="AE189" t="s">
        <v>1565</v>
      </c>
      <c r="AF189" t="s">
        <v>1787</v>
      </c>
      <c r="AG189">
        <v>1731</v>
      </c>
      <c r="AH189">
        <v>333</v>
      </c>
      <c r="AI189">
        <v>552903</v>
      </c>
      <c r="AJ189">
        <v>2.51</v>
      </c>
      <c r="AK189" t="b">
        <v>1</v>
      </c>
    </row>
    <row r="190" spans="1:37">
      <c r="A190" s="1" t="s">
        <v>224</v>
      </c>
      <c r="B190" t="s">
        <v>448</v>
      </c>
      <c r="C190">
        <f>HYPERLINK("https://finance.naver.com/item/coinfo.nhn?code=472850", "A472850")</f>
        <v>0</v>
      </c>
      <c r="D190">
        <f>HYPERLINK("http://comp.fnguide.com/SVO2/ASP/SVD_Consensus.asp?pGB=1&amp;gicode=A472850&amp;cID=&amp;MenuYn=Y&amp;ReportGB=&amp;NewMenuID=108&amp;stkGb=701", "폰드그룹")</f>
        <v>0</v>
      </c>
      <c r="E190">
        <v>2</v>
      </c>
      <c r="F190">
        <v>4230</v>
      </c>
      <c r="G190">
        <v>0</v>
      </c>
      <c r="H190">
        <v>9.44</v>
      </c>
      <c r="I190">
        <v>4504</v>
      </c>
      <c r="J190">
        <v>4274</v>
      </c>
      <c r="K190">
        <v>4194</v>
      </c>
      <c r="L190">
        <v>-6.48</v>
      </c>
      <c r="M190">
        <v>-1.05</v>
      </c>
      <c r="N190">
        <v>0.86</v>
      </c>
      <c r="O190">
        <v>11.93</v>
      </c>
      <c r="P190" t="b">
        <v>1</v>
      </c>
      <c r="Q190">
        <v>0</v>
      </c>
      <c r="R190">
        <v>600</v>
      </c>
      <c r="U190" t="s">
        <v>672</v>
      </c>
      <c r="V190" t="s">
        <v>896</v>
      </c>
      <c r="W190">
        <v>0</v>
      </c>
      <c r="X190">
        <v>34.9</v>
      </c>
      <c r="Y190" t="s">
        <v>1119</v>
      </c>
      <c r="Z190">
        <v>0</v>
      </c>
      <c r="AA190">
        <v>2435</v>
      </c>
      <c r="AB190">
        <v>67854</v>
      </c>
      <c r="AC190" t="s">
        <v>1342</v>
      </c>
      <c r="AD190">
        <v>76.45</v>
      </c>
      <c r="AE190" t="s">
        <v>1566</v>
      </c>
      <c r="AF190" t="s">
        <v>1788</v>
      </c>
      <c r="AG190">
        <v>4856</v>
      </c>
      <c r="AH190">
        <v>574</v>
      </c>
      <c r="AI190">
        <v>17956</v>
      </c>
      <c r="AJ190">
        <v>2.78</v>
      </c>
      <c r="AK190" t="b">
        <v>1</v>
      </c>
    </row>
    <row r="191" spans="1:37">
      <c r="A191" s="1" t="s">
        <v>225</v>
      </c>
      <c r="B191" t="s">
        <v>449</v>
      </c>
      <c r="C191">
        <f>HYPERLINK("https://finance.naver.com/item/coinfo.nhn?code=179290", "A179290")</f>
        <v>0</v>
      </c>
      <c r="D191">
        <f>HYPERLINK("http://comp.fnguide.com/SVO2/ASP/SVD_Consensus.asp?pGB=1&amp;gicode=A179290&amp;cID=&amp;MenuYn=Y&amp;ReportGB=&amp;NewMenuID=108&amp;stkGb=701", "엠아이텍")</f>
        <v>0</v>
      </c>
      <c r="E191">
        <v>2</v>
      </c>
      <c r="F191">
        <v>4695</v>
      </c>
      <c r="G191">
        <v>0</v>
      </c>
      <c r="H191">
        <v>10.78</v>
      </c>
      <c r="I191">
        <v>6172</v>
      </c>
      <c r="J191">
        <v>4956</v>
      </c>
      <c r="K191">
        <v>4530</v>
      </c>
      <c r="L191">
        <v>-31.46</v>
      </c>
      <c r="M191">
        <v>-5.56</v>
      </c>
      <c r="N191">
        <v>3.52</v>
      </c>
      <c r="O191">
        <v>17.12</v>
      </c>
      <c r="P191" t="b">
        <v>1</v>
      </c>
      <c r="Q191">
        <v>0</v>
      </c>
      <c r="R191">
        <v>628</v>
      </c>
      <c r="U191" t="s">
        <v>673</v>
      </c>
      <c r="V191" t="s">
        <v>897</v>
      </c>
      <c r="W191">
        <v>0</v>
      </c>
      <c r="X191">
        <v>-16.9</v>
      </c>
      <c r="Y191" t="s">
        <v>1120</v>
      </c>
      <c r="Z191">
        <v>5.955882633358822</v>
      </c>
      <c r="AA191">
        <v>1520</v>
      </c>
      <c r="AB191">
        <v>106182</v>
      </c>
      <c r="AC191" t="s">
        <v>1343</v>
      </c>
      <c r="AD191">
        <v>53.09</v>
      </c>
      <c r="AE191" t="s">
        <v>1567</v>
      </c>
      <c r="AF191" t="s">
        <v>1789</v>
      </c>
      <c r="AG191">
        <v>672</v>
      </c>
      <c r="AH191">
        <v>207</v>
      </c>
      <c r="AJ191">
        <v>1.77</v>
      </c>
      <c r="AK191" t="b">
        <v>1</v>
      </c>
    </row>
    <row r="192" spans="1:37">
      <c r="A192" s="1" t="s">
        <v>226</v>
      </c>
      <c r="B192" t="s">
        <v>450</v>
      </c>
      <c r="C192">
        <f>HYPERLINK("https://finance.naver.com/item/coinfo.nhn?code=211050", "A211050")</f>
        <v>0</v>
      </c>
      <c r="D192">
        <f>HYPERLINK("http://comp.fnguide.com/SVO2/ASP/SVD_Consensus.asp?pGB=1&amp;gicode=A211050&amp;cID=&amp;MenuYn=Y&amp;ReportGB=&amp;NewMenuID=108&amp;stkGb=701", "인카금융서비스")</f>
        <v>0</v>
      </c>
      <c r="E192">
        <v>2</v>
      </c>
      <c r="F192">
        <v>9020</v>
      </c>
      <c r="G192">
        <v>0.2</v>
      </c>
      <c r="H192">
        <v>9.08</v>
      </c>
      <c r="I192">
        <v>17288</v>
      </c>
      <c r="J192">
        <v>10415</v>
      </c>
      <c r="K192">
        <v>8007</v>
      </c>
      <c r="L192">
        <v>-91.67</v>
      </c>
      <c r="M192">
        <v>-15.47</v>
      </c>
      <c r="N192">
        <v>11.23</v>
      </c>
      <c r="O192">
        <v>42.48</v>
      </c>
      <c r="P192" t="b">
        <v>0</v>
      </c>
      <c r="Q192">
        <v>3</v>
      </c>
      <c r="R192">
        <v>1410</v>
      </c>
      <c r="S192">
        <v>1744</v>
      </c>
      <c r="T192">
        <v>23.7</v>
      </c>
      <c r="U192" t="s">
        <v>674</v>
      </c>
      <c r="V192" t="s">
        <v>898</v>
      </c>
      <c r="W192">
        <v>44.83847328866011</v>
      </c>
      <c r="X192">
        <v>48.3</v>
      </c>
      <c r="Y192" t="s">
        <v>1121</v>
      </c>
      <c r="Z192">
        <v>41.80758229818649</v>
      </c>
      <c r="AA192">
        <v>4444</v>
      </c>
      <c r="AB192">
        <v>122438</v>
      </c>
      <c r="AC192" t="s">
        <v>1344</v>
      </c>
      <c r="AD192">
        <v>43.95</v>
      </c>
      <c r="AE192" t="s">
        <v>1568</v>
      </c>
      <c r="AF192" t="s">
        <v>1790</v>
      </c>
      <c r="AG192">
        <v>10218</v>
      </c>
      <c r="AH192">
        <v>948</v>
      </c>
      <c r="AI192">
        <v>3100</v>
      </c>
      <c r="AJ192">
        <v>2.89</v>
      </c>
      <c r="AK192" t="b">
        <v>1</v>
      </c>
    </row>
    <row r="193" spans="1:37">
      <c r="A193" s="1" t="s">
        <v>227</v>
      </c>
      <c r="B193" t="s">
        <v>451</v>
      </c>
      <c r="C193">
        <f>HYPERLINK("https://finance.naver.com/item/coinfo.nhn?code=462870", "A462870")</f>
        <v>0</v>
      </c>
      <c r="D193">
        <f>HYPERLINK("http://comp.fnguide.com/SVO2/ASP/SVD_Consensus.asp?pGB=1&amp;gicode=A462870&amp;cID=&amp;MenuYn=Y&amp;ReportGB=&amp;NewMenuID=108&amp;stkGb=701", "시프트업")</f>
        <v>0</v>
      </c>
      <c r="E193">
        <v>2</v>
      </c>
      <c r="F193">
        <v>30550</v>
      </c>
      <c r="G193">
        <v>4.11</v>
      </c>
      <c r="H193">
        <v>10.89</v>
      </c>
      <c r="I193">
        <v>56888</v>
      </c>
      <c r="J193">
        <v>35110</v>
      </c>
      <c r="K193">
        <v>27478</v>
      </c>
      <c r="L193">
        <v>-86.20999999999999</v>
      </c>
      <c r="M193">
        <v>-14.93</v>
      </c>
      <c r="N193">
        <v>10.06</v>
      </c>
      <c r="O193">
        <v>38.31</v>
      </c>
      <c r="P193" t="b">
        <v>1</v>
      </c>
      <c r="Q193">
        <v>0</v>
      </c>
      <c r="R193">
        <v>3261</v>
      </c>
      <c r="S193">
        <v>2305</v>
      </c>
      <c r="T193">
        <v>-29.3</v>
      </c>
      <c r="U193" t="s">
        <v>675</v>
      </c>
      <c r="V193" t="s">
        <v>899</v>
      </c>
      <c r="W193">
        <v>2.65267748526079</v>
      </c>
      <c r="X193">
        <v>39.4</v>
      </c>
      <c r="Y193" t="s">
        <v>1122</v>
      </c>
      <c r="Z193">
        <v>0</v>
      </c>
      <c r="AA193">
        <v>17919</v>
      </c>
      <c r="AB193">
        <v>81598</v>
      </c>
      <c r="AC193" t="s">
        <v>1345</v>
      </c>
      <c r="AD193">
        <v>42.46</v>
      </c>
      <c r="AE193" t="s">
        <v>1569</v>
      </c>
      <c r="AF193" t="s">
        <v>1791</v>
      </c>
      <c r="AG193">
        <v>2945</v>
      </c>
      <c r="AH193">
        <v>1814</v>
      </c>
      <c r="AI193">
        <v>1152955</v>
      </c>
      <c r="AK193" t="b">
        <v>1</v>
      </c>
    </row>
    <row r="194" spans="1:37">
      <c r="A194" s="1" t="s">
        <v>228</v>
      </c>
      <c r="B194" t="s">
        <v>452</v>
      </c>
      <c r="C194">
        <f>HYPERLINK("https://finance.naver.com/item/coinfo.nhn?code=187420", "A187420")</f>
        <v>0</v>
      </c>
      <c r="D194">
        <f>HYPERLINK("http://comp.fnguide.com/SVO2/ASP/SVD_Consensus.asp?pGB=1&amp;gicode=A187420&amp;cID=&amp;MenuYn=Y&amp;ReportGB=&amp;NewMenuID=108&amp;stkGb=701", "HLB제넥스")</f>
        <v>0</v>
      </c>
      <c r="E194">
        <v>2</v>
      </c>
      <c r="F194">
        <v>2160</v>
      </c>
      <c r="G194">
        <v>0</v>
      </c>
      <c r="H194">
        <v>3.42</v>
      </c>
      <c r="I194">
        <v>4067</v>
      </c>
      <c r="J194">
        <v>2569</v>
      </c>
      <c r="K194">
        <v>2044</v>
      </c>
      <c r="L194">
        <v>-88.27</v>
      </c>
      <c r="M194">
        <v>-18.94</v>
      </c>
      <c r="N194">
        <v>5.36</v>
      </c>
      <c r="O194">
        <v>34.92</v>
      </c>
      <c r="P194" t="b">
        <v>0</v>
      </c>
      <c r="Q194">
        <v>0</v>
      </c>
      <c r="R194">
        <v>775</v>
      </c>
      <c r="U194" t="s">
        <v>676</v>
      </c>
      <c r="V194" t="s">
        <v>900</v>
      </c>
      <c r="W194">
        <v>0</v>
      </c>
      <c r="Y194" t="s">
        <v>977</v>
      </c>
      <c r="Z194">
        <v>0</v>
      </c>
      <c r="AA194">
        <v>703</v>
      </c>
      <c r="AB194">
        <v>123389</v>
      </c>
      <c r="AC194" t="s">
        <v>1346</v>
      </c>
      <c r="AD194">
        <v>28.68</v>
      </c>
      <c r="AE194" t="s">
        <v>1570</v>
      </c>
      <c r="AF194" t="s">
        <v>1792</v>
      </c>
      <c r="AG194">
        <v>434</v>
      </c>
      <c r="AH194">
        <v>12</v>
      </c>
      <c r="AK194" t="b">
        <v>1</v>
      </c>
    </row>
    <row r="195" spans="1:37">
      <c r="A195" s="1" t="s">
        <v>229</v>
      </c>
      <c r="B195" t="s">
        <v>453</v>
      </c>
      <c r="C195">
        <f>HYPERLINK("https://finance.naver.com/item/coinfo.nhn?code=018290", "A018290")</f>
        <v>0</v>
      </c>
      <c r="D195">
        <f>HYPERLINK("http://comp.fnguide.com/SVO2/ASP/SVD_Consensus.asp?pGB=1&amp;gicode=A018290&amp;cID=&amp;MenuYn=Y&amp;ReportGB=&amp;NewMenuID=108&amp;stkGb=701", "브이티")</f>
        <v>0</v>
      </c>
      <c r="E195">
        <v>2</v>
      </c>
      <c r="F195">
        <v>12320</v>
      </c>
      <c r="G195">
        <v>0.47</v>
      </c>
      <c r="H195">
        <v>10.22</v>
      </c>
      <c r="I195">
        <v>23471</v>
      </c>
      <c r="J195">
        <v>14693</v>
      </c>
      <c r="K195">
        <v>11616</v>
      </c>
      <c r="L195">
        <v>-90.51000000000001</v>
      </c>
      <c r="M195">
        <v>-19.26</v>
      </c>
      <c r="N195">
        <v>5.71</v>
      </c>
      <c r="O195">
        <v>36.19</v>
      </c>
      <c r="P195" t="b">
        <v>1</v>
      </c>
      <c r="Q195">
        <v>0</v>
      </c>
      <c r="R195">
        <v>1713</v>
      </c>
      <c r="S195">
        <v>1397</v>
      </c>
      <c r="T195">
        <v>-18.4</v>
      </c>
      <c r="U195" t="s">
        <v>677</v>
      </c>
      <c r="V195" t="s">
        <v>901</v>
      </c>
      <c r="W195">
        <v>21.6507975382755</v>
      </c>
      <c r="X195">
        <v>-16.2</v>
      </c>
      <c r="Y195" t="s">
        <v>1123</v>
      </c>
      <c r="Z195">
        <v>27.12041890288666</v>
      </c>
      <c r="AA195">
        <v>4305</v>
      </c>
      <c r="AB195">
        <v>178939</v>
      </c>
      <c r="AC195" t="s">
        <v>1347</v>
      </c>
      <c r="AD195">
        <v>39.25</v>
      </c>
      <c r="AE195" t="s">
        <v>1571</v>
      </c>
      <c r="AF195" t="s">
        <v>1793</v>
      </c>
      <c r="AG195">
        <v>4372</v>
      </c>
      <c r="AH195">
        <v>829</v>
      </c>
      <c r="AI195">
        <v>305480</v>
      </c>
      <c r="AK195" t="b">
        <v>1</v>
      </c>
    </row>
    <row r="196" spans="1:37">
      <c r="A196" s="1" t="s">
        <v>230</v>
      </c>
      <c r="B196" t="s">
        <v>454</v>
      </c>
      <c r="C196">
        <f>HYPERLINK("https://finance.naver.com/item/coinfo.nhn?code=0013V0", "A0013V0")</f>
        <v>0</v>
      </c>
      <c r="D196">
        <f>HYPERLINK("http://comp.fnguide.com/SVO2/ASP/SVD_Consensus.asp?pGB=1&amp;gicode=A0013V0&amp;cID=&amp;MenuYn=Y&amp;ReportGB=&amp;NewMenuID=108&amp;stkGb=701", "삼진식품")</f>
        <v>0</v>
      </c>
      <c r="E196">
        <v>2</v>
      </c>
      <c r="F196">
        <v>5820</v>
      </c>
      <c r="G196">
        <v>0</v>
      </c>
      <c r="H196">
        <v>18.79</v>
      </c>
      <c r="I196">
        <v>8715</v>
      </c>
      <c r="J196">
        <v>6322</v>
      </c>
      <c r="K196">
        <v>5483</v>
      </c>
      <c r="L196">
        <v>-49.74</v>
      </c>
      <c r="M196">
        <v>-8.619999999999999</v>
      </c>
      <c r="N196">
        <v>5.79</v>
      </c>
      <c r="O196">
        <v>22.26</v>
      </c>
      <c r="P196" t="b">
        <v>0</v>
      </c>
      <c r="Q196">
        <v>0</v>
      </c>
      <c r="R196">
        <v>740</v>
      </c>
      <c r="U196" t="s">
        <v>678</v>
      </c>
      <c r="V196" t="s">
        <v>902</v>
      </c>
      <c r="W196">
        <v>0</v>
      </c>
      <c r="X196">
        <v>7.7</v>
      </c>
      <c r="Y196" t="s">
        <v>1124</v>
      </c>
      <c r="Z196">
        <v>0</v>
      </c>
      <c r="AA196">
        <v>577</v>
      </c>
      <c r="AB196">
        <v>138969</v>
      </c>
      <c r="AC196" t="s">
        <v>1348</v>
      </c>
      <c r="AD196">
        <v>52.43</v>
      </c>
      <c r="AE196" t="s">
        <v>1572</v>
      </c>
      <c r="AF196" t="s">
        <v>1794</v>
      </c>
      <c r="AG196">
        <v>1095</v>
      </c>
      <c r="AH196">
        <v>60</v>
      </c>
      <c r="AK196" t="b">
        <v>1</v>
      </c>
    </row>
    <row r="197" spans="1:37">
      <c r="A197" s="1" t="s">
        <v>231</v>
      </c>
      <c r="B197" t="s">
        <v>455</v>
      </c>
      <c r="C197">
        <f>HYPERLINK("https://finance.naver.com/item/coinfo.nhn?code=137400", "A137400")</f>
        <v>0</v>
      </c>
      <c r="D197">
        <f>HYPERLINK("http://comp.fnguide.com/SVO2/ASP/SVD_Consensus.asp?pGB=1&amp;gicode=A137400&amp;cID=&amp;MenuYn=Y&amp;ReportGB=&amp;NewMenuID=108&amp;stkGb=701", "피엔티")</f>
        <v>0</v>
      </c>
      <c r="E197">
        <v>1</v>
      </c>
      <c r="F197">
        <v>40750</v>
      </c>
      <c r="G197">
        <v>0</v>
      </c>
      <c r="H197">
        <v>13.01</v>
      </c>
      <c r="I197">
        <v>49214</v>
      </c>
      <c r="J197">
        <v>38832</v>
      </c>
      <c r="K197">
        <v>35194</v>
      </c>
      <c r="L197">
        <v>-20.77</v>
      </c>
      <c r="M197">
        <v>4.71</v>
      </c>
      <c r="N197">
        <v>13.63</v>
      </c>
      <c r="O197">
        <v>17.86</v>
      </c>
      <c r="P197" t="b">
        <v>1</v>
      </c>
      <c r="Q197">
        <v>0</v>
      </c>
      <c r="R197">
        <v>2890</v>
      </c>
      <c r="U197" t="s">
        <v>679</v>
      </c>
      <c r="V197" t="s">
        <v>903</v>
      </c>
      <c r="W197">
        <v>0</v>
      </c>
      <c r="X197">
        <v>105.9</v>
      </c>
      <c r="Y197" t="s">
        <v>1125</v>
      </c>
      <c r="Z197">
        <v>20.42743753603759</v>
      </c>
      <c r="AA197">
        <v>9654</v>
      </c>
      <c r="AB197">
        <v>183508</v>
      </c>
      <c r="AC197" t="s">
        <v>1349</v>
      </c>
      <c r="AD197">
        <v>16.09</v>
      </c>
      <c r="AE197" t="s">
        <v>1573</v>
      </c>
      <c r="AF197" t="s">
        <v>1795</v>
      </c>
      <c r="AG197">
        <v>7449</v>
      </c>
      <c r="AH197">
        <v>956</v>
      </c>
      <c r="AI197">
        <v>386129</v>
      </c>
      <c r="AJ197">
        <v>0.53</v>
      </c>
      <c r="AK197" t="b">
        <v>1</v>
      </c>
    </row>
    <row r="198" spans="1:37">
      <c r="A198" s="1" t="s">
        <v>232</v>
      </c>
      <c r="B198" t="s">
        <v>456</v>
      </c>
      <c r="C198">
        <f>HYPERLINK("https://finance.naver.com/item/coinfo.nhn?code=092460", "A092460")</f>
        <v>0</v>
      </c>
      <c r="D198">
        <f>HYPERLINK("http://comp.fnguide.com/SVO2/ASP/SVD_Consensus.asp?pGB=1&amp;gicode=A092460&amp;cID=&amp;MenuYn=Y&amp;ReportGB=&amp;NewMenuID=108&amp;stkGb=701", "한라IMS")</f>
        <v>0</v>
      </c>
      <c r="E198">
        <v>1</v>
      </c>
      <c r="F198">
        <v>19430</v>
      </c>
      <c r="G198">
        <v>0</v>
      </c>
      <c r="H198">
        <v>11.41</v>
      </c>
      <c r="I198">
        <v>20258</v>
      </c>
      <c r="J198">
        <v>15651</v>
      </c>
      <c r="K198">
        <v>14037</v>
      </c>
      <c r="L198">
        <v>-4.26</v>
      </c>
      <c r="M198">
        <v>19.45</v>
      </c>
      <c r="N198">
        <v>27.76</v>
      </c>
      <c r="O198">
        <v>18.82</v>
      </c>
      <c r="P198" t="b">
        <v>1</v>
      </c>
      <c r="Q198">
        <v>0</v>
      </c>
      <c r="R198">
        <v>1490</v>
      </c>
      <c r="U198" t="s">
        <v>680</v>
      </c>
      <c r="V198" t="s">
        <v>904</v>
      </c>
      <c r="W198">
        <v>0</v>
      </c>
      <c r="X198">
        <v>17.7</v>
      </c>
      <c r="Y198" t="s">
        <v>1126</v>
      </c>
      <c r="Z198">
        <v>49.68282290974844</v>
      </c>
      <c r="AA198">
        <v>3324</v>
      </c>
      <c r="AB198">
        <v>118231</v>
      </c>
      <c r="AC198" t="s">
        <v>1350</v>
      </c>
      <c r="AD198">
        <v>55.47</v>
      </c>
      <c r="AE198" t="s">
        <v>1574</v>
      </c>
      <c r="AF198" t="s">
        <v>1796</v>
      </c>
      <c r="AG198">
        <v>1335</v>
      </c>
      <c r="AH198">
        <v>223</v>
      </c>
      <c r="AJ198">
        <v>3.65</v>
      </c>
      <c r="AK198" t="b">
        <v>1</v>
      </c>
    </row>
    <row r="199" spans="1:37">
      <c r="A199" s="1" t="s">
        <v>233</v>
      </c>
      <c r="B199" t="s">
        <v>457</v>
      </c>
      <c r="C199">
        <f>HYPERLINK("https://finance.naver.com/item/coinfo.nhn?code=001060", "A001060")</f>
        <v>0</v>
      </c>
      <c r="D199">
        <f>HYPERLINK("http://comp.fnguide.com/SVO2/ASP/SVD_Consensus.asp?pGB=1&amp;gicode=A001060&amp;cID=&amp;MenuYn=Y&amp;ReportGB=&amp;NewMenuID=108&amp;stkGb=701", "JW중외제약")</f>
        <v>0</v>
      </c>
      <c r="E199">
        <v>1</v>
      </c>
      <c r="F199">
        <v>26000</v>
      </c>
      <c r="G199">
        <v>0</v>
      </c>
      <c r="H199">
        <v>10.32</v>
      </c>
      <c r="I199">
        <v>28125</v>
      </c>
      <c r="J199">
        <v>21867</v>
      </c>
      <c r="K199">
        <v>19674</v>
      </c>
      <c r="L199">
        <v>-8.17</v>
      </c>
      <c r="M199">
        <v>15.9</v>
      </c>
      <c r="N199">
        <v>24.33</v>
      </c>
      <c r="O199">
        <v>18.53</v>
      </c>
      <c r="P199" t="b">
        <v>1</v>
      </c>
      <c r="Q199">
        <v>0</v>
      </c>
      <c r="R199">
        <v>2470</v>
      </c>
      <c r="U199" t="s">
        <v>681</v>
      </c>
      <c r="V199" t="s">
        <v>905</v>
      </c>
      <c r="W199">
        <v>0</v>
      </c>
      <c r="X199">
        <v>57.3</v>
      </c>
      <c r="Y199" t="s">
        <v>1127</v>
      </c>
      <c r="Z199">
        <v>0</v>
      </c>
      <c r="AA199">
        <v>6054</v>
      </c>
      <c r="AB199">
        <v>55046</v>
      </c>
      <c r="AC199" t="s">
        <v>1351</v>
      </c>
      <c r="AD199">
        <v>42.87</v>
      </c>
      <c r="AE199" t="s">
        <v>1575</v>
      </c>
      <c r="AF199" t="s">
        <v>1797</v>
      </c>
      <c r="AG199">
        <v>7753</v>
      </c>
      <c r="AH199">
        <v>945</v>
      </c>
      <c r="AI199">
        <v>736412</v>
      </c>
      <c r="AJ199">
        <v>2.55</v>
      </c>
      <c r="AK199" t="b">
        <v>1</v>
      </c>
    </row>
    <row r="200" spans="1:37">
      <c r="A200" s="1" t="s">
        <v>234</v>
      </c>
      <c r="B200" t="s">
        <v>458</v>
      </c>
      <c r="C200">
        <f>HYPERLINK("https://finance.naver.com/item/coinfo.nhn?code=340570", "A340570")</f>
        <v>0</v>
      </c>
      <c r="D200">
        <f>HYPERLINK("http://comp.fnguide.com/SVO2/ASP/SVD_Consensus.asp?pGB=1&amp;gicode=A340570&amp;cID=&amp;MenuYn=Y&amp;ReportGB=&amp;NewMenuID=108&amp;stkGb=701", "티앤엘")</f>
        <v>0</v>
      </c>
      <c r="E200">
        <v>1</v>
      </c>
      <c r="F200">
        <v>55400</v>
      </c>
      <c r="G200">
        <v>0.44</v>
      </c>
      <c r="H200">
        <v>10.47</v>
      </c>
      <c r="I200">
        <v>56709</v>
      </c>
      <c r="J200">
        <v>39862</v>
      </c>
      <c r="K200">
        <v>33959</v>
      </c>
      <c r="L200">
        <v>-2.36</v>
      </c>
      <c r="M200">
        <v>28.05</v>
      </c>
      <c r="N200">
        <v>38.7</v>
      </c>
      <c r="O200">
        <v>24.38</v>
      </c>
      <c r="P200" t="b">
        <v>0</v>
      </c>
      <c r="Q200">
        <v>1</v>
      </c>
      <c r="R200">
        <v>4684</v>
      </c>
      <c r="S200">
        <v>6385</v>
      </c>
      <c r="T200">
        <v>36.3</v>
      </c>
      <c r="U200" t="s">
        <v>682</v>
      </c>
      <c r="V200" t="s">
        <v>906</v>
      </c>
      <c r="W200">
        <v>23.63775348488723</v>
      </c>
      <c r="X200">
        <v>3.7</v>
      </c>
      <c r="Y200" t="s">
        <v>1128</v>
      </c>
      <c r="Z200">
        <v>15.02515460171099</v>
      </c>
      <c r="AA200">
        <v>4503</v>
      </c>
      <c r="AB200">
        <v>32119</v>
      </c>
      <c r="AC200" t="s">
        <v>1352</v>
      </c>
      <c r="AD200">
        <v>42.7</v>
      </c>
      <c r="AE200" t="s">
        <v>1576</v>
      </c>
      <c r="AF200" t="s">
        <v>1798</v>
      </c>
      <c r="AG200">
        <v>1642</v>
      </c>
      <c r="AH200">
        <v>464</v>
      </c>
      <c r="AI200">
        <v>110869</v>
      </c>
      <c r="AJ200">
        <v>3.06</v>
      </c>
      <c r="AK200" t="b">
        <v>1</v>
      </c>
    </row>
    <row r="201" spans="1:37">
      <c r="A201" s="1" t="s">
        <v>235</v>
      </c>
      <c r="B201" t="s">
        <v>459</v>
      </c>
      <c r="C201">
        <f>HYPERLINK("https://finance.naver.com/item/coinfo.nhn?code=009450", "A009450")</f>
        <v>0</v>
      </c>
      <c r="D201">
        <f>HYPERLINK("http://comp.fnguide.com/SVO2/ASP/SVD_Consensus.asp?pGB=1&amp;gicode=A009450&amp;cID=&amp;MenuYn=Y&amp;ReportGB=&amp;NewMenuID=108&amp;stkGb=701", "경동나비엔")</f>
        <v>0</v>
      </c>
      <c r="E201">
        <v>1</v>
      </c>
      <c r="F201">
        <v>67700</v>
      </c>
      <c r="G201">
        <v>0.33</v>
      </c>
      <c r="H201">
        <v>9.01</v>
      </c>
      <c r="I201">
        <v>74663</v>
      </c>
      <c r="J201">
        <v>63285</v>
      </c>
      <c r="K201">
        <v>59297</v>
      </c>
      <c r="L201">
        <v>-10.29</v>
      </c>
      <c r="M201">
        <v>6.52</v>
      </c>
      <c r="N201">
        <v>12.41</v>
      </c>
      <c r="O201">
        <v>15.11</v>
      </c>
      <c r="P201" t="b">
        <v>1</v>
      </c>
      <c r="Q201">
        <v>1</v>
      </c>
      <c r="R201">
        <v>6157</v>
      </c>
      <c r="S201">
        <v>11851</v>
      </c>
      <c r="T201">
        <v>92.5</v>
      </c>
      <c r="U201" t="s">
        <v>683</v>
      </c>
      <c r="V201" t="s">
        <v>907</v>
      </c>
      <c r="W201">
        <v>27.57508431472868</v>
      </c>
      <c r="X201">
        <v>52.2</v>
      </c>
      <c r="Y201" t="s">
        <v>1129</v>
      </c>
      <c r="Z201">
        <v>9.946760367496378</v>
      </c>
      <c r="AA201">
        <v>9863</v>
      </c>
      <c r="AB201">
        <v>39390</v>
      </c>
      <c r="AC201" t="s">
        <v>1353</v>
      </c>
      <c r="AD201">
        <v>57.61</v>
      </c>
      <c r="AE201" t="s">
        <v>1577</v>
      </c>
      <c r="AF201" t="s">
        <v>1799</v>
      </c>
      <c r="AG201">
        <v>15022</v>
      </c>
      <c r="AH201">
        <v>1434</v>
      </c>
      <c r="AI201">
        <v>115660</v>
      </c>
      <c r="AJ201">
        <v>1.35</v>
      </c>
      <c r="AK201" t="b">
        <v>1</v>
      </c>
    </row>
    <row r="202" spans="1:37">
      <c r="A202" s="1" t="s">
        <v>236</v>
      </c>
      <c r="B202" t="s">
        <v>460</v>
      </c>
      <c r="C202">
        <f>HYPERLINK("https://finance.naver.com/item/coinfo.nhn?code=445180", "A445180")</f>
        <v>0</v>
      </c>
      <c r="D202">
        <f>HYPERLINK("http://comp.fnguide.com/SVO2/ASP/SVD_Consensus.asp?pGB=1&amp;gicode=A445180&amp;cID=&amp;MenuYn=Y&amp;ReportGB=&amp;NewMenuID=108&amp;stkGb=701", "퓨릿")</f>
        <v>0</v>
      </c>
      <c r="E202">
        <v>1</v>
      </c>
      <c r="F202">
        <v>8860</v>
      </c>
      <c r="G202">
        <v>0</v>
      </c>
      <c r="H202">
        <v>9.85</v>
      </c>
      <c r="I202">
        <v>8878</v>
      </c>
      <c r="J202">
        <v>7479</v>
      </c>
      <c r="K202">
        <v>6989</v>
      </c>
      <c r="L202">
        <v>-0.2</v>
      </c>
      <c r="M202">
        <v>15.58</v>
      </c>
      <c r="N202">
        <v>21.11</v>
      </c>
      <c r="O202">
        <v>15.32</v>
      </c>
      <c r="P202" t="b">
        <v>1</v>
      </c>
      <c r="Q202">
        <v>0</v>
      </c>
      <c r="R202">
        <v>893</v>
      </c>
      <c r="U202" t="s">
        <v>684</v>
      </c>
      <c r="V202" t="s">
        <v>908</v>
      </c>
      <c r="W202">
        <v>0</v>
      </c>
      <c r="X202">
        <v>46.7</v>
      </c>
      <c r="Y202" t="s">
        <v>1130</v>
      </c>
      <c r="Z202">
        <v>19.36767822432097</v>
      </c>
      <c r="AA202">
        <v>1523</v>
      </c>
      <c r="AB202">
        <v>78055</v>
      </c>
      <c r="AC202" t="s">
        <v>1354</v>
      </c>
      <c r="AD202">
        <v>50.33</v>
      </c>
      <c r="AE202" t="s">
        <v>1578</v>
      </c>
      <c r="AF202" t="s">
        <v>1800</v>
      </c>
      <c r="AG202">
        <v>1425</v>
      </c>
      <c r="AH202">
        <v>172</v>
      </c>
      <c r="AJ202">
        <v>1.37</v>
      </c>
      <c r="AK202" t="b">
        <v>1</v>
      </c>
    </row>
    <row r="203" spans="1:37">
      <c r="A203" s="1" t="s">
        <v>237</v>
      </c>
      <c r="B203" t="s">
        <v>461</v>
      </c>
      <c r="C203">
        <f>HYPERLINK("https://finance.naver.com/item/coinfo.nhn?code=030000", "A030000")</f>
        <v>0</v>
      </c>
      <c r="D203">
        <f>HYPERLINK("http://comp.fnguide.com/SVO2/ASP/SVD_Consensus.asp?pGB=1&amp;gicode=A030000&amp;cID=&amp;MenuYn=Y&amp;ReportGB=&amp;NewMenuID=108&amp;stkGb=701", "제일기획")</f>
        <v>0</v>
      </c>
      <c r="E203">
        <v>1</v>
      </c>
      <c r="F203">
        <v>18290</v>
      </c>
      <c r="G203">
        <v>1.23</v>
      </c>
      <c r="H203">
        <v>11.64</v>
      </c>
      <c r="I203">
        <v>20702</v>
      </c>
      <c r="J203">
        <v>17943</v>
      </c>
      <c r="K203">
        <v>16976</v>
      </c>
      <c r="L203">
        <v>-13.19</v>
      </c>
      <c r="M203">
        <v>1.9</v>
      </c>
      <c r="N203">
        <v>7.18</v>
      </c>
      <c r="O203">
        <v>14.39</v>
      </c>
      <c r="P203" t="b">
        <v>1</v>
      </c>
      <c r="Q203">
        <v>1</v>
      </c>
      <c r="R203">
        <v>1804</v>
      </c>
      <c r="S203">
        <v>1952</v>
      </c>
      <c r="T203">
        <v>8.199999999999999</v>
      </c>
      <c r="U203" t="s">
        <v>685</v>
      </c>
      <c r="V203" t="s">
        <v>909</v>
      </c>
      <c r="W203">
        <v>9.492282833083721</v>
      </c>
      <c r="X203">
        <v>-0.3</v>
      </c>
      <c r="Y203" t="s">
        <v>1131</v>
      </c>
      <c r="Z203">
        <v>5.755891830751025</v>
      </c>
      <c r="AA203">
        <v>21041</v>
      </c>
      <c r="AB203">
        <v>675813</v>
      </c>
      <c r="AC203" t="s">
        <v>1355</v>
      </c>
      <c r="AD203">
        <v>28.36</v>
      </c>
      <c r="AE203" t="s">
        <v>1579</v>
      </c>
      <c r="AF203" t="s">
        <v>1801</v>
      </c>
      <c r="AG203">
        <v>45469</v>
      </c>
      <c r="AH203">
        <v>3369</v>
      </c>
      <c r="AI203">
        <v>13762500</v>
      </c>
      <c r="AJ203">
        <v>5.86</v>
      </c>
      <c r="AK203" t="b">
        <v>1</v>
      </c>
    </row>
    <row r="204" spans="1:37">
      <c r="A204" s="1" t="s">
        <v>238</v>
      </c>
      <c r="B204" t="s">
        <v>462</v>
      </c>
      <c r="C204">
        <f>HYPERLINK("https://finance.naver.com/item/coinfo.nhn?code=096240", "A096240")</f>
        <v>0</v>
      </c>
      <c r="D204">
        <f>HYPERLINK("http://comp.fnguide.com/SVO2/ASP/SVD_Consensus.asp?pGB=1&amp;gicode=A096240&amp;cID=&amp;MenuYn=Y&amp;ReportGB=&amp;NewMenuID=108&amp;stkGb=701", "크레버스")</f>
        <v>0</v>
      </c>
      <c r="E204">
        <v>1</v>
      </c>
      <c r="F204">
        <v>8990</v>
      </c>
      <c r="G204">
        <v>0</v>
      </c>
      <c r="H204">
        <v>21</v>
      </c>
      <c r="I204">
        <v>9901</v>
      </c>
      <c r="J204">
        <v>7594</v>
      </c>
      <c r="K204">
        <v>6785</v>
      </c>
      <c r="L204">
        <v>-10.14</v>
      </c>
      <c r="M204">
        <v>15.53</v>
      </c>
      <c r="N204">
        <v>24.52</v>
      </c>
      <c r="O204">
        <v>19.18</v>
      </c>
      <c r="P204" t="b">
        <v>0</v>
      </c>
      <c r="Q204">
        <v>0</v>
      </c>
      <c r="R204">
        <v>593</v>
      </c>
      <c r="U204" t="s">
        <v>686</v>
      </c>
      <c r="V204" t="s">
        <v>910</v>
      </c>
      <c r="W204">
        <v>0</v>
      </c>
      <c r="X204">
        <v>-1</v>
      </c>
      <c r="Y204" t="s">
        <v>1132</v>
      </c>
      <c r="Z204">
        <v>-22.62234352160749</v>
      </c>
      <c r="AA204">
        <v>965</v>
      </c>
      <c r="AB204">
        <v>27702</v>
      </c>
      <c r="AC204" t="s">
        <v>1356</v>
      </c>
      <c r="AD204">
        <v>22.95</v>
      </c>
      <c r="AE204" t="s">
        <v>1580</v>
      </c>
      <c r="AF204" t="s">
        <v>1802</v>
      </c>
      <c r="AG204">
        <v>2209</v>
      </c>
      <c r="AH204">
        <v>22</v>
      </c>
      <c r="AI204">
        <v>2302573</v>
      </c>
      <c r="AJ204">
        <v>6.42</v>
      </c>
      <c r="AK204" t="b">
        <v>1</v>
      </c>
    </row>
    <row r="205" spans="1:37">
      <c r="A205" s="1" t="s">
        <v>239</v>
      </c>
      <c r="B205" t="s">
        <v>463</v>
      </c>
      <c r="C205">
        <f>HYPERLINK("https://finance.naver.com/item/coinfo.nhn?code=138040", "A138040")</f>
        <v>0</v>
      </c>
      <c r="D205">
        <f>HYPERLINK("http://comp.fnguide.com/SVO2/ASP/SVD_Consensus.asp?pGB=1&amp;gicode=A138040&amp;cID=&amp;MenuYn=Y&amp;ReportGB=&amp;NewMenuID=108&amp;stkGb=701", "메리츠금융지주")</f>
        <v>0</v>
      </c>
      <c r="E205">
        <v>1</v>
      </c>
      <c r="F205">
        <v>107300</v>
      </c>
      <c r="G205">
        <v>0.8100000000000001</v>
      </c>
      <c r="H205">
        <v>8.91</v>
      </c>
      <c r="I205">
        <v>140233</v>
      </c>
      <c r="J205">
        <v>99435</v>
      </c>
      <c r="K205">
        <v>85137</v>
      </c>
      <c r="L205">
        <v>-30.69</v>
      </c>
      <c r="M205">
        <v>7.33</v>
      </c>
      <c r="N205">
        <v>20.65</v>
      </c>
      <c r="O205">
        <v>23.76</v>
      </c>
      <c r="P205" t="b">
        <v>1</v>
      </c>
      <c r="Q205">
        <v>3</v>
      </c>
      <c r="R205">
        <v>12698</v>
      </c>
      <c r="S205">
        <v>14331</v>
      </c>
      <c r="T205">
        <v>12.9</v>
      </c>
      <c r="U205" t="s">
        <v>687</v>
      </c>
      <c r="V205" t="s">
        <v>911</v>
      </c>
      <c r="W205">
        <v>11.05538158372532</v>
      </c>
      <c r="X205">
        <v>3.6</v>
      </c>
      <c r="Y205" t="s">
        <v>1133</v>
      </c>
      <c r="Z205">
        <v>2.419415552429549</v>
      </c>
      <c r="AA205">
        <v>179564</v>
      </c>
      <c r="AB205">
        <v>279894</v>
      </c>
      <c r="AC205" t="s">
        <v>1357</v>
      </c>
      <c r="AD205">
        <v>58.78</v>
      </c>
      <c r="AE205" t="s">
        <v>1581</v>
      </c>
      <c r="AF205" t="s">
        <v>1803</v>
      </c>
      <c r="AG205">
        <v>41459</v>
      </c>
      <c r="AH205">
        <v>28727</v>
      </c>
      <c r="AI205">
        <v>5231200</v>
      </c>
      <c r="AK205" t="b">
        <v>1</v>
      </c>
    </row>
    <row r="206" spans="1:37">
      <c r="A206" s="1" t="s">
        <v>240</v>
      </c>
      <c r="B206" t="s">
        <v>464</v>
      </c>
      <c r="C206">
        <f>HYPERLINK("https://finance.naver.com/item/coinfo.nhn?code=092730", "A092730")</f>
        <v>0</v>
      </c>
      <c r="D206">
        <f>HYPERLINK("http://comp.fnguide.com/SVO2/ASP/SVD_Consensus.asp?pGB=1&amp;gicode=A092730&amp;cID=&amp;MenuYn=Y&amp;ReportGB=&amp;NewMenuID=108&amp;stkGb=701", "네오팜")</f>
        <v>0</v>
      </c>
      <c r="E206">
        <v>1</v>
      </c>
      <c r="F206">
        <v>16840</v>
      </c>
      <c r="G206">
        <v>1.76</v>
      </c>
      <c r="H206">
        <v>10.58</v>
      </c>
      <c r="I206">
        <v>16902</v>
      </c>
      <c r="J206">
        <v>14552</v>
      </c>
      <c r="K206">
        <v>13729</v>
      </c>
      <c r="L206">
        <v>-0.37</v>
      </c>
      <c r="M206">
        <v>13.59</v>
      </c>
      <c r="N206">
        <v>18.48</v>
      </c>
      <c r="O206">
        <v>14.6</v>
      </c>
      <c r="P206" t="b">
        <v>1</v>
      </c>
      <c r="Q206">
        <v>0</v>
      </c>
      <c r="R206">
        <v>1736</v>
      </c>
      <c r="S206">
        <v>1726</v>
      </c>
      <c r="T206">
        <v>-0.6</v>
      </c>
      <c r="U206" t="s">
        <v>688</v>
      </c>
      <c r="V206" t="s">
        <v>912</v>
      </c>
      <c r="W206">
        <v>6.016474714761144</v>
      </c>
      <c r="X206">
        <v>20.8</v>
      </c>
      <c r="Y206" t="s">
        <v>1134</v>
      </c>
      <c r="Z206">
        <v>15.17062036214103</v>
      </c>
      <c r="AA206">
        <v>2699</v>
      </c>
      <c r="AB206">
        <v>62594</v>
      </c>
      <c r="AC206" t="s">
        <v>1358</v>
      </c>
      <c r="AD206">
        <v>42.34</v>
      </c>
      <c r="AE206" t="s">
        <v>1582</v>
      </c>
      <c r="AF206" t="s">
        <v>1804</v>
      </c>
      <c r="AG206">
        <v>1322</v>
      </c>
      <c r="AH206">
        <v>288</v>
      </c>
      <c r="AI206">
        <v>386733</v>
      </c>
      <c r="AJ206">
        <v>4.08</v>
      </c>
      <c r="AK206" t="b">
        <v>1</v>
      </c>
    </row>
    <row r="207" spans="1:37">
      <c r="A207" s="1" t="s">
        <v>241</v>
      </c>
      <c r="B207" t="s">
        <v>465</v>
      </c>
      <c r="C207">
        <f>HYPERLINK("https://finance.naver.com/item/coinfo.nhn?code=190510", "A190510")</f>
        <v>0</v>
      </c>
      <c r="D207">
        <f>HYPERLINK("http://comp.fnguide.com/SVO2/ASP/SVD_Consensus.asp?pGB=1&amp;gicode=A190510&amp;cID=&amp;MenuYn=Y&amp;ReportGB=&amp;NewMenuID=108&amp;stkGb=701", "나무가")</f>
        <v>0</v>
      </c>
      <c r="E207">
        <v>1</v>
      </c>
      <c r="F207">
        <v>16370</v>
      </c>
      <c r="G207">
        <v>0</v>
      </c>
      <c r="H207">
        <v>10.26</v>
      </c>
      <c r="I207">
        <v>17905</v>
      </c>
      <c r="J207">
        <v>14859</v>
      </c>
      <c r="K207">
        <v>13792</v>
      </c>
      <c r="L207">
        <v>-9.369999999999999</v>
      </c>
      <c r="M207">
        <v>9.23</v>
      </c>
      <c r="N207">
        <v>15.75</v>
      </c>
      <c r="O207">
        <v>15.85</v>
      </c>
      <c r="P207" t="b">
        <v>0</v>
      </c>
      <c r="Q207">
        <v>0</v>
      </c>
      <c r="R207">
        <v>1700</v>
      </c>
      <c r="U207" t="s">
        <v>689</v>
      </c>
      <c r="V207" t="s">
        <v>913</v>
      </c>
      <c r="W207">
        <v>0</v>
      </c>
      <c r="X207">
        <v>-47.4</v>
      </c>
      <c r="Y207" t="s">
        <v>1135</v>
      </c>
      <c r="Z207">
        <v>-5.131260701758899</v>
      </c>
      <c r="AA207">
        <v>2306</v>
      </c>
      <c r="AB207">
        <v>60272</v>
      </c>
      <c r="AC207" t="s">
        <v>1359</v>
      </c>
      <c r="AD207">
        <v>38.9</v>
      </c>
      <c r="AE207" t="s">
        <v>1583</v>
      </c>
      <c r="AF207" t="s">
        <v>1805</v>
      </c>
      <c r="AG207">
        <v>4599</v>
      </c>
      <c r="AH207">
        <v>282</v>
      </c>
      <c r="AJ207">
        <v>4.17</v>
      </c>
      <c r="AK207" t="b">
        <v>1</v>
      </c>
    </row>
    <row r="208" spans="1:37">
      <c r="A208" s="1" t="s">
        <v>242</v>
      </c>
      <c r="B208" t="s">
        <v>466</v>
      </c>
      <c r="C208">
        <f>HYPERLINK("https://finance.naver.com/item/coinfo.nhn?code=093520", "A093520")</f>
        <v>0</v>
      </c>
      <c r="D208">
        <f>HYPERLINK("http://comp.fnguide.com/SVO2/ASP/SVD_Consensus.asp?pGB=1&amp;gicode=A093520&amp;cID=&amp;MenuYn=Y&amp;ReportGB=&amp;NewMenuID=108&amp;stkGb=701", "매커스")</f>
        <v>0</v>
      </c>
      <c r="E208">
        <v>1</v>
      </c>
      <c r="F208">
        <v>20800</v>
      </c>
      <c r="G208">
        <v>0.76</v>
      </c>
      <c r="H208">
        <v>14.58</v>
      </c>
      <c r="I208">
        <v>26663</v>
      </c>
      <c r="J208">
        <v>20401</v>
      </c>
      <c r="K208">
        <v>18207</v>
      </c>
      <c r="L208">
        <v>-28.19</v>
      </c>
      <c r="M208">
        <v>1.92</v>
      </c>
      <c r="N208">
        <v>12.47</v>
      </c>
      <c r="O208">
        <v>19.29</v>
      </c>
      <c r="P208" t="b">
        <v>1</v>
      </c>
      <c r="Q208">
        <v>2</v>
      </c>
      <c r="R208">
        <v>1505</v>
      </c>
      <c r="S208">
        <v>2120</v>
      </c>
      <c r="T208">
        <v>40.9</v>
      </c>
      <c r="U208" t="s">
        <v>690</v>
      </c>
      <c r="V208" t="s">
        <v>914</v>
      </c>
      <c r="W208">
        <v>19.19415472515302</v>
      </c>
      <c r="X208">
        <v>9</v>
      </c>
      <c r="Y208" t="s">
        <v>1136</v>
      </c>
      <c r="Z208">
        <v>1.233678654350601</v>
      </c>
      <c r="AA208">
        <v>2476</v>
      </c>
      <c r="AB208">
        <v>34994</v>
      </c>
      <c r="AC208" t="s">
        <v>1360</v>
      </c>
      <c r="AD208">
        <v>14.93</v>
      </c>
      <c r="AE208" t="s">
        <v>1584</v>
      </c>
      <c r="AF208" t="s">
        <v>1806</v>
      </c>
      <c r="AG208">
        <v>2272</v>
      </c>
      <c r="AH208">
        <v>291</v>
      </c>
      <c r="AI208">
        <v>3472904</v>
      </c>
      <c r="AJ208">
        <v>5.47</v>
      </c>
      <c r="AK208" t="b">
        <v>1</v>
      </c>
    </row>
    <row r="209" spans="1:37">
      <c r="A209" s="1" t="s">
        <v>243</v>
      </c>
      <c r="B209" t="s">
        <v>467</v>
      </c>
      <c r="C209">
        <f>HYPERLINK("https://finance.naver.com/item/coinfo.nhn?code=049720", "A049720")</f>
        <v>0</v>
      </c>
      <c r="D209">
        <f>HYPERLINK("http://comp.fnguide.com/SVO2/ASP/SVD_Consensus.asp?pGB=1&amp;gicode=A049720&amp;cID=&amp;MenuYn=Y&amp;ReportGB=&amp;NewMenuID=108&amp;stkGb=701", "고려신용정보")</f>
        <v>0</v>
      </c>
      <c r="E209">
        <v>1</v>
      </c>
      <c r="F209">
        <v>9760</v>
      </c>
      <c r="G209">
        <v>0</v>
      </c>
      <c r="H209">
        <v>11.39</v>
      </c>
      <c r="I209">
        <v>10222</v>
      </c>
      <c r="J209">
        <v>7124</v>
      </c>
      <c r="K209">
        <v>6039</v>
      </c>
      <c r="L209">
        <v>-4.74</v>
      </c>
      <c r="M209">
        <v>27.01</v>
      </c>
      <c r="N209">
        <v>38.13</v>
      </c>
      <c r="O209">
        <v>25.02</v>
      </c>
      <c r="P209" t="b">
        <v>0</v>
      </c>
      <c r="Q209">
        <v>0</v>
      </c>
      <c r="R209">
        <v>927</v>
      </c>
      <c r="U209" t="s">
        <v>691</v>
      </c>
      <c r="V209" t="s">
        <v>915</v>
      </c>
      <c r="W209">
        <v>0</v>
      </c>
      <c r="X209">
        <v>-3.1</v>
      </c>
      <c r="Y209" t="s">
        <v>1137</v>
      </c>
      <c r="Z209">
        <v>5.461345739218904</v>
      </c>
      <c r="AA209">
        <v>1396</v>
      </c>
      <c r="AB209">
        <v>56982</v>
      </c>
      <c r="AC209" t="s">
        <v>1361</v>
      </c>
      <c r="AD209">
        <v>44</v>
      </c>
      <c r="AE209" t="s">
        <v>1585</v>
      </c>
      <c r="AF209" t="s">
        <v>1807</v>
      </c>
      <c r="AG209">
        <v>1780</v>
      </c>
      <c r="AH209">
        <v>167</v>
      </c>
      <c r="AI209">
        <v>9984</v>
      </c>
      <c r="AJ209">
        <v>4.73</v>
      </c>
      <c r="AK209" t="b">
        <v>1</v>
      </c>
    </row>
    <row r="210" spans="1:37">
      <c r="A210" s="1" t="s">
        <v>244</v>
      </c>
      <c r="B210" t="s">
        <v>468</v>
      </c>
      <c r="C210">
        <f>HYPERLINK("https://finance.naver.com/item/coinfo.nhn?code=489460", "A489460")</f>
        <v>0</v>
      </c>
      <c r="D210">
        <f>HYPERLINK("http://comp.fnguide.com/SVO2/ASP/SVD_Consensus.asp?pGB=1&amp;gicode=A489460&amp;cID=&amp;MenuYn=Y&amp;ReportGB=&amp;NewMenuID=108&amp;stkGb=701", "바이오비쥬")</f>
        <v>0</v>
      </c>
      <c r="E210">
        <v>1</v>
      </c>
      <c r="F210">
        <v>6810</v>
      </c>
      <c r="G210">
        <v>3.94</v>
      </c>
      <c r="H210">
        <v>45.19</v>
      </c>
      <c r="I210">
        <v>8213</v>
      </c>
      <c r="J210">
        <v>6037</v>
      </c>
      <c r="K210">
        <v>5275</v>
      </c>
      <c r="L210">
        <v>-20.6</v>
      </c>
      <c r="M210">
        <v>11.34</v>
      </c>
      <c r="N210">
        <v>22.54</v>
      </c>
      <c r="O210">
        <v>21.45</v>
      </c>
      <c r="P210" t="b">
        <v>1</v>
      </c>
      <c r="Q210">
        <v>1</v>
      </c>
      <c r="R210">
        <v>298</v>
      </c>
      <c r="S210">
        <v>425</v>
      </c>
      <c r="T210">
        <v>42.6</v>
      </c>
      <c r="U210" t="s">
        <v>692</v>
      </c>
      <c r="V210" t="s">
        <v>916</v>
      </c>
      <c r="W210">
        <v>11.46707590980778</v>
      </c>
      <c r="X210">
        <v>35.6</v>
      </c>
      <c r="Y210" t="s">
        <v>1138</v>
      </c>
      <c r="Z210">
        <v>102.3631804773211</v>
      </c>
      <c r="AA210">
        <v>1025</v>
      </c>
      <c r="AB210">
        <v>71348</v>
      </c>
      <c r="AC210" t="s">
        <v>1362</v>
      </c>
      <c r="AD210">
        <v>59.82</v>
      </c>
      <c r="AE210" t="s">
        <v>1586</v>
      </c>
      <c r="AF210" t="s">
        <v>1808</v>
      </c>
      <c r="AG210">
        <v>285</v>
      </c>
      <c r="AH210">
        <v>42</v>
      </c>
      <c r="AI210">
        <v>35599</v>
      </c>
      <c r="AJ210">
        <v>0.74</v>
      </c>
      <c r="AK210" t="b">
        <v>1</v>
      </c>
    </row>
    <row r="211" spans="1:37">
      <c r="A211" s="1" t="s">
        <v>245</v>
      </c>
      <c r="B211" t="s">
        <v>469</v>
      </c>
      <c r="C211">
        <f>HYPERLINK("https://finance.naver.com/item/coinfo.nhn?code=478560", "A478560")</f>
        <v>0</v>
      </c>
      <c r="D211">
        <f>HYPERLINK("http://comp.fnguide.com/SVO2/ASP/SVD_Consensus.asp?pGB=1&amp;gicode=A478560&amp;cID=&amp;MenuYn=Y&amp;ReportGB=&amp;NewMenuID=108&amp;stkGb=701", "블랙야크아이앤씨")</f>
        <v>0</v>
      </c>
      <c r="E211">
        <v>1</v>
      </c>
      <c r="F211">
        <v>2675</v>
      </c>
      <c r="G211">
        <v>0</v>
      </c>
      <c r="I211">
        <v>3341</v>
      </c>
      <c r="J211">
        <v>2352</v>
      </c>
      <c r="K211">
        <v>2005</v>
      </c>
      <c r="L211">
        <v>-24.91</v>
      </c>
      <c r="M211">
        <v>12.07</v>
      </c>
      <c r="N211">
        <v>25.03</v>
      </c>
      <c r="O211">
        <v>24.28</v>
      </c>
      <c r="P211" t="b">
        <v>0</v>
      </c>
      <c r="Q211">
        <v>0</v>
      </c>
      <c r="R211">
        <v>-222</v>
      </c>
      <c r="U211" t="s">
        <v>693</v>
      </c>
      <c r="V211" t="s">
        <v>917</v>
      </c>
      <c r="W211">
        <v>0</v>
      </c>
      <c r="Y211" t="s">
        <v>1139</v>
      </c>
      <c r="Z211">
        <v>0</v>
      </c>
      <c r="AA211">
        <v>691</v>
      </c>
      <c r="AB211">
        <v>48699</v>
      </c>
      <c r="AC211" t="s">
        <v>1363</v>
      </c>
      <c r="AD211">
        <v>76.2</v>
      </c>
      <c r="AE211" t="s">
        <v>1587</v>
      </c>
      <c r="AF211" t="s">
        <v>1622</v>
      </c>
      <c r="AG211">
        <v>573</v>
      </c>
      <c r="AH211">
        <v>93</v>
      </c>
      <c r="AI211">
        <v>38159</v>
      </c>
      <c r="AJ211">
        <v>9.119999999999999</v>
      </c>
      <c r="AK211" t="b">
        <v>1</v>
      </c>
    </row>
    <row r="212" spans="1:37">
      <c r="A212" s="1" t="s">
        <v>246</v>
      </c>
      <c r="B212" t="s">
        <v>470</v>
      </c>
      <c r="C212">
        <f>HYPERLINK("https://finance.naver.com/item/coinfo.nhn?code=484590", "A484590")</f>
        <v>0</v>
      </c>
      <c r="D212">
        <f>HYPERLINK("http://comp.fnguide.com/SVO2/ASP/SVD_Consensus.asp?pGB=1&amp;gicode=A484590&amp;cID=&amp;MenuYn=Y&amp;ReportGB=&amp;NewMenuID=108&amp;stkGb=701", "삼양컴텍")</f>
        <v>0</v>
      </c>
      <c r="E212">
        <v>1</v>
      </c>
      <c r="F212">
        <v>7770</v>
      </c>
      <c r="G212">
        <v>0</v>
      </c>
      <c r="H212">
        <v>19.99</v>
      </c>
      <c r="I212">
        <v>8077</v>
      </c>
      <c r="J212">
        <v>5797</v>
      </c>
      <c r="K212">
        <v>4997</v>
      </c>
      <c r="L212">
        <v>-3.96</v>
      </c>
      <c r="M212">
        <v>25.4</v>
      </c>
      <c r="N212">
        <v>35.68</v>
      </c>
      <c r="O212">
        <v>22.95</v>
      </c>
      <c r="P212" t="b">
        <v>1</v>
      </c>
      <c r="Q212">
        <v>0</v>
      </c>
      <c r="R212">
        <v>640</v>
      </c>
      <c r="U212" t="s">
        <v>694</v>
      </c>
      <c r="V212" t="s">
        <v>918</v>
      </c>
      <c r="W212">
        <v>0</v>
      </c>
      <c r="X212">
        <v>-52.4</v>
      </c>
      <c r="Y212" t="s">
        <v>1140</v>
      </c>
      <c r="Z212">
        <v>0</v>
      </c>
      <c r="AA212">
        <v>3202</v>
      </c>
      <c r="AB212">
        <v>113995</v>
      </c>
      <c r="AC212" t="s">
        <v>1364</v>
      </c>
      <c r="AD212">
        <v>44.69</v>
      </c>
      <c r="AE212" t="s">
        <v>1588</v>
      </c>
      <c r="AF212" t="s">
        <v>1809</v>
      </c>
      <c r="AG212">
        <v>1546</v>
      </c>
      <c r="AH212">
        <v>266</v>
      </c>
      <c r="AK212" t="b">
        <v>1</v>
      </c>
    </row>
    <row r="213" spans="1:37">
      <c r="A213" s="1" t="s">
        <v>247</v>
      </c>
      <c r="B213" t="s">
        <v>471</v>
      </c>
      <c r="C213">
        <f>HYPERLINK("https://finance.naver.com/item/coinfo.nhn?code=037460", "A037460")</f>
        <v>0</v>
      </c>
      <c r="D213">
        <f>HYPERLINK("http://comp.fnguide.com/SVO2/ASP/SVD_Consensus.asp?pGB=1&amp;gicode=A037460&amp;cID=&amp;MenuYn=Y&amp;ReportGB=&amp;NewMenuID=108&amp;stkGb=701", "삼지전자")</f>
        <v>0</v>
      </c>
      <c r="E213">
        <v>1</v>
      </c>
      <c r="F213">
        <v>44400</v>
      </c>
      <c r="G213">
        <v>0</v>
      </c>
      <c r="H213">
        <v>3.18</v>
      </c>
      <c r="I213">
        <v>48963</v>
      </c>
      <c r="J213">
        <v>41091</v>
      </c>
      <c r="K213">
        <v>38332</v>
      </c>
      <c r="L213">
        <v>-10.28</v>
      </c>
      <c r="M213">
        <v>7.45</v>
      </c>
      <c r="N213">
        <v>13.67</v>
      </c>
      <c r="O213">
        <v>15.45</v>
      </c>
      <c r="P213" t="b">
        <v>0</v>
      </c>
      <c r="Q213">
        <v>0</v>
      </c>
      <c r="R213">
        <v>4636</v>
      </c>
      <c r="U213" t="s">
        <v>695</v>
      </c>
      <c r="V213" t="s">
        <v>919</v>
      </c>
      <c r="W213">
        <v>0</v>
      </c>
      <c r="X213">
        <v>1113.7</v>
      </c>
      <c r="Y213" t="s">
        <v>1141</v>
      </c>
      <c r="Z213">
        <v>97.50501929847735</v>
      </c>
      <c r="AA213">
        <v>7245</v>
      </c>
      <c r="AB213">
        <v>137445</v>
      </c>
      <c r="AC213" t="s">
        <v>1365</v>
      </c>
      <c r="AD213">
        <v>46.12</v>
      </c>
      <c r="AE213" t="s">
        <v>1589</v>
      </c>
      <c r="AF213" t="s">
        <v>1810</v>
      </c>
      <c r="AG213">
        <v>42911</v>
      </c>
      <c r="AH213">
        <v>1624</v>
      </c>
      <c r="AI213">
        <v>2151015</v>
      </c>
      <c r="AJ213">
        <v>3.73</v>
      </c>
      <c r="AK213" t="b">
        <v>1</v>
      </c>
    </row>
    <row r="214" spans="1:37">
      <c r="A214" s="1" t="s">
        <v>248</v>
      </c>
      <c r="B214" t="s">
        <v>472</v>
      </c>
      <c r="C214">
        <f>HYPERLINK("https://finance.naver.com/item/coinfo.nhn?code=094280", "A094280")</f>
        <v>0</v>
      </c>
      <c r="D214">
        <f>HYPERLINK("http://comp.fnguide.com/SVO2/ASP/SVD_Consensus.asp?pGB=1&amp;gicode=A094280&amp;cID=&amp;MenuYn=Y&amp;ReportGB=&amp;NewMenuID=108&amp;stkGb=701", "효성ITX")</f>
        <v>0</v>
      </c>
      <c r="E214">
        <v>1</v>
      </c>
      <c r="F214">
        <v>12170</v>
      </c>
      <c r="G214">
        <v>0</v>
      </c>
      <c r="H214">
        <v>10.29</v>
      </c>
      <c r="I214">
        <v>12453</v>
      </c>
      <c r="J214">
        <v>9442</v>
      </c>
      <c r="K214">
        <v>8387</v>
      </c>
      <c r="L214">
        <v>-2.33</v>
      </c>
      <c r="M214">
        <v>22.41</v>
      </c>
      <c r="N214">
        <v>31.08</v>
      </c>
      <c r="O214">
        <v>19.75</v>
      </c>
      <c r="P214" t="b">
        <v>1</v>
      </c>
      <c r="Q214">
        <v>0</v>
      </c>
      <c r="R214">
        <v>1243</v>
      </c>
      <c r="U214" t="s">
        <v>696</v>
      </c>
      <c r="V214" t="s">
        <v>920</v>
      </c>
      <c r="W214">
        <v>0</v>
      </c>
      <c r="X214">
        <v>-21.6</v>
      </c>
      <c r="Y214" t="s">
        <v>1142</v>
      </c>
      <c r="Z214">
        <v>-3.389233288826765</v>
      </c>
      <c r="AA214">
        <v>1407</v>
      </c>
      <c r="AB214">
        <v>14061</v>
      </c>
      <c r="AC214" t="s">
        <v>1366</v>
      </c>
      <c r="AD214">
        <v>68.3</v>
      </c>
      <c r="AE214" t="s">
        <v>1590</v>
      </c>
      <c r="AF214" t="s">
        <v>1811</v>
      </c>
      <c r="AG214">
        <v>5190</v>
      </c>
      <c r="AH214">
        <v>190</v>
      </c>
      <c r="AI214">
        <v>519835</v>
      </c>
      <c r="AJ214">
        <v>5.86</v>
      </c>
      <c r="AK214" t="b">
        <v>1</v>
      </c>
    </row>
    <row r="215" spans="1:37">
      <c r="A215" s="1" t="s">
        <v>249</v>
      </c>
      <c r="B215" t="s">
        <v>473</v>
      </c>
      <c r="C215">
        <f>HYPERLINK("https://finance.naver.com/item/coinfo.nhn?code=236200", "A236200")</f>
        <v>0</v>
      </c>
      <c r="D215">
        <f>HYPERLINK("http://comp.fnguide.com/SVO2/ASP/SVD_Consensus.asp?pGB=1&amp;gicode=A236200&amp;cID=&amp;MenuYn=Y&amp;ReportGB=&amp;NewMenuID=108&amp;stkGb=701", "슈프리마")</f>
        <v>0</v>
      </c>
      <c r="E215">
        <v>1</v>
      </c>
      <c r="F215">
        <v>43600</v>
      </c>
      <c r="G215">
        <v>0.43</v>
      </c>
      <c r="H215">
        <v>8.74</v>
      </c>
      <c r="I215">
        <v>48365</v>
      </c>
      <c r="J215">
        <v>43546</v>
      </c>
      <c r="K215">
        <v>41857</v>
      </c>
      <c r="L215">
        <v>-10.93</v>
      </c>
      <c r="M215">
        <v>0.12</v>
      </c>
      <c r="N215">
        <v>4</v>
      </c>
      <c r="O215">
        <v>13.27</v>
      </c>
      <c r="P215" t="b">
        <v>0</v>
      </c>
      <c r="Q215">
        <v>1</v>
      </c>
      <c r="R215">
        <v>4474</v>
      </c>
      <c r="S215">
        <v>5570</v>
      </c>
      <c r="T215">
        <v>24.5</v>
      </c>
      <c r="U215" t="s">
        <v>697</v>
      </c>
      <c r="V215" t="s">
        <v>921</v>
      </c>
      <c r="W215">
        <v>20.41108837532031</v>
      </c>
      <c r="X215">
        <v>25.5</v>
      </c>
      <c r="Y215" t="s">
        <v>1143</v>
      </c>
      <c r="Z215">
        <v>12.27699748678082</v>
      </c>
      <c r="AA215">
        <v>3041</v>
      </c>
      <c r="AB215">
        <v>57904</v>
      </c>
      <c r="AC215" t="s">
        <v>1367</v>
      </c>
      <c r="AD215">
        <v>33.92</v>
      </c>
      <c r="AE215" t="s">
        <v>1591</v>
      </c>
      <c r="AF215" t="s">
        <v>1812</v>
      </c>
      <c r="AG215">
        <v>1373</v>
      </c>
      <c r="AH215">
        <v>327</v>
      </c>
      <c r="AI215">
        <v>79833</v>
      </c>
      <c r="AK215" t="b">
        <v>1</v>
      </c>
    </row>
    <row r="216" spans="1:37">
      <c r="A216" s="1" t="s">
        <v>250</v>
      </c>
      <c r="B216" t="s">
        <v>474</v>
      </c>
      <c r="C216">
        <f>HYPERLINK("https://finance.naver.com/item/coinfo.nhn?code=039490", "A039490")</f>
        <v>0</v>
      </c>
      <c r="D216">
        <f>HYPERLINK("http://comp.fnguide.com/SVO2/ASP/SVD_Consensus.asp?pGB=1&amp;gicode=A039490&amp;cID=&amp;MenuYn=Y&amp;ReportGB=&amp;NewMenuID=108&amp;stkGb=701", "키움증권")</f>
        <v>0</v>
      </c>
      <c r="E216">
        <v>1</v>
      </c>
      <c r="F216">
        <v>364000</v>
      </c>
      <c r="G216">
        <v>0.12</v>
      </c>
      <c r="H216">
        <v>7.15</v>
      </c>
      <c r="I216">
        <v>377424</v>
      </c>
      <c r="J216">
        <v>312513</v>
      </c>
      <c r="K216">
        <v>289766</v>
      </c>
      <c r="L216">
        <v>-3.69</v>
      </c>
      <c r="M216">
        <v>14.14</v>
      </c>
      <c r="N216">
        <v>20.39</v>
      </c>
      <c r="O216">
        <v>15.93</v>
      </c>
      <c r="P216" t="b">
        <v>1</v>
      </c>
      <c r="Q216">
        <v>3</v>
      </c>
      <c r="R216">
        <v>40504</v>
      </c>
      <c r="S216">
        <v>59876</v>
      </c>
      <c r="T216">
        <v>47.8</v>
      </c>
      <c r="U216" t="s">
        <v>698</v>
      </c>
      <c r="V216" t="s">
        <v>922</v>
      </c>
      <c r="W216">
        <v>58.54282125759838</v>
      </c>
      <c r="X216">
        <v>27.9</v>
      </c>
      <c r="Y216" t="s">
        <v>1144</v>
      </c>
      <c r="Z216">
        <v>16.38437859670292</v>
      </c>
      <c r="AA216">
        <v>95471</v>
      </c>
      <c r="AB216">
        <v>123458</v>
      </c>
      <c r="AC216" t="s">
        <v>1368</v>
      </c>
      <c r="AD216">
        <v>42.49</v>
      </c>
      <c r="AE216" t="s">
        <v>1592</v>
      </c>
      <c r="AF216" t="s">
        <v>1813</v>
      </c>
      <c r="AG216">
        <v>23962</v>
      </c>
      <c r="AH216">
        <v>14882</v>
      </c>
      <c r="AJ216">
        <v>3.97</v>
      </c>
      <c r="AK216" t="b">
        <v>1</v>
      </c>
    </row>
    <row r="217" spans="1:37">
      <c r="A217" s="1" t="s">
        <v>251</v>
      </c>
      <c r="B217" t="s">
        <v>475</v>
      </c>
      <c r="C217">
        <f>HYPERLINK("https://finance.naver.com/item/coinfo.nhn?code=041510", "A041510")</f>
        <v>0</v>
      </c>
      <c r="D217">
        <f>HYPERLINK("http://comp.fnguide.com/SVO2/ASP/SVD_Consensus.asp?pGB=1&amp;gicode=A041510&amp;cID=&amp;MenuYn=Y&amp;ReportGB=&amp;NewMenuID=108&amp;stkGb=701", "에스엠")</f>
        <v>0</v>
      </c>
      <c r="E217">
        <v>1</v>
      </c>
      <c r="F217">
        <v>74400</v>
      </c>
      <c r="G217">
        <v>0.5</v>
      </c>
      <c r="H217">
        <v>8.93</v>
      </c>
      <c r="I217">
        <v>96411</v>
      </c>
      <c r="J217">
        <v>68370</v>
      </c>
      <c r="K217">
        <v>58544</v>
      </c>
      <c r="L217">
        <v>-29.58</v>
      </c>
      <c r="M217">
        <v>8.1</v>
      </c>
      <c r="N217">
        <v>21.31</v>
      </c>
      <c r="O217">
        <v>23.75</v>
      </c>
      <c r="P217" t="b">
        <v>1</v>
      </c>
      <c r="Q217">
        <v>0</v>
      </c>
      <c r="R217">
        <v>15126</v>
      </c>
      <c r="S217">
        <v>5998</v>
      </c>
      <c r="T217">
        <v>-60.3</v>
      </c>
      <c r="U217" t="s">
        <v>699</v>
      </c>
      <c r="V217" t="s">
        <v>923</v>
      </c>
      <c r="W217">
        <v>17.83901459834594</v>
      </c>
      <c r="X217">
        <v>-86.8</v>
      </c>
      <c r="Y217" t="s">
        <v>1145</v>
      </c>
      <c r="Z217">
        <v>-18.86494923194875</v>
      </c>
      <c r="AA217">
        <v>17034</v>
      </c>
      <c r="AB217">
        <v>87601</v>
      </c>
      <c r="AC217" t="s">
        <v>1369</v>
      </c>
      <c r="AD217">
        <v>41.75</v>
      </c>
      <c r="AE217" t="s">
        <v>1593</v>
      </c>
      <c r="AF217" t="s">
        <v>1814</v>
      </c>
      <c r="AG217">
        <v>11749</v>
      </c>
      <c r="AH217">
        <v>1830</v>
      </c>
      <c r="AJ217">
        <v>1.2</v>
      </c>
      <c r="AK217" t="b">
        <v>1</v>
      </c>
    </row>
    <row r="218" spans="1:37">
      <c r="A218" s="1" t="s">
        <v>252</v>
      </c>
      <c r="B218" t="s">
        <v>476</v>
      </c>
      <c r="C218">
        <f>HYPERLINK("https://finance.naver.com/item/coinfo.nhn?code=453860", "A453860")</f>
        <v>0</v>
      </c>
      <c r="D218">
        <f>HYPERLINK("http://comp.fnguide.com/SVO2/ASP/SVD_Consensus.asp?pGB=1&amp;gicode=A453860&amp;cID=&amp;MenuYn=Y&amp;ReportGB=&amp;NewMenuID=108&amp;stkGb=701", "에이에스텍")</f>
        <v>0</v>
      </c>
      <c r="E218">
        <v>1</v>
      </c>
      <c r="F218">
        <v>10320</v>
      </c>
      <c r="G218">
        <v>0</v>
      </c>
      <c r="H218">
        <v>42.34</v>
      </c>
      <c r="I218">
        <v>10623</v>
      </c>
      <c r="J218">
        <v>9856</v>
      </c>
      <c r="K218">
        <v>9588</v>
      </c>
      <c r="L218">
        <v>-2.94</v>
      </c>
      <c r="M218">
        <v>4.49</v>
      </c>
      <c r="N218">
        <v>7.1</v>
      </c>
      <c r="O218">
        <v>12.48</v>
      </c>
      <c r="P218" t="b">
        <v>1</v>
      </c>
      <c r="Q218">
        <v>0</v>
      </c>
      <c r="R218">
        <v>380</v>
      </c>
      <c r="U218" t="s">
        <v>700</v>
      </c>
      <c r="V218" t="s">
        <v>924</v>
      </c>
      <c r="W218">
        <v>0</v>
      </c>
      <c r="Y218" t="s">
        <v>1146</v>
      </c>
      <c r="Z218">
        <v>0</v>
      </c>
      <c r="AA218">
        <v>665</v>
      </c>
      <c r="AB218">
        <v>5715</v>
      </c>
      <c r="AC218" t="s">
        <v>1370</v>
      </c>
      <c r="AD218">
        <v>44.04</v>
      </c>
      <c r="AE218" t="s">
        <v>1594</v>
      </c>
      <c r="AF218" t="s">
        <v>1815</v>
      </c>
      <c r="AG218">
        <v>246</v>
      </c>
      <c r="AH218">
        <v>-1</v>
      </c>
      <c r="AI218">
        <v>31415</v>
      </c>
      <c r="AJ218">
        <v>3.1</v>
      </c>
      <c r="AK218" t="b">
        <v>1</v>
      </c>
    </row>
    <row r="219" spans="1:37">
      <c r="A219" s="1" t="s">
        <v>253</v>
      </c>
      <c r="B219" t="s">
        <v>477</v>
      </c>
      <c r="C219">
        <f>HYPERLINK("https://finance.naver.com/item/coinfo.nhn?code=481070", "A481070")</f>
        <v>0</v>
      </c>
      <c r="D219">
        <f>HYPERLINK("http://comp.fnguide.com/SVO2/ASP/SVD_Consensus.asp?pGB=1&amp;gicode=A481070&amp;cID=&amp;MenuYn=Y&amp;ReportGB=&amp;NewMenuID=108&amp;stkGb=701", "에이유브랜즈")</f>
        <v>0</v>
      </c>
      <c r="E219">
        <v>1</v>
      </c>
      <c r="F219">
        <v>11740</v>
      </c>
      <c r="G219">
        <v>0</v>
      </c>
      <c r="H219">
        <v>36.27</v>
      </c>
      <c r="I219">
        <v>16266</v>
      </c>
      <c r="J219">
        <v>10145</v>
      </c>
      <c r="K219">
        <v>8000</v>
      </c>
      <c r="L219">
        <v>-38.55</v>
      </c>
      <c r="M219">
        <v>13.59</v>
      </c>
      <c r="N219">
        <v>31.86</v>
      </c>
      <c r="O219">
        <v>36.72</v>
      </c>
      <c r="P219" t="b">
        <v>0</v>
      </c>
      <c r="Q219">
        <v>0</v>
      </c>
      <c r="R219">
        <v>615</v>
      </c>
      <c r="U219" t="s">
        <v>701</v>
      </c>
      <c r="V219" t="s">
        <v>925</v>
      </c>
      <c r="W219">
        <v>0</v>
      </c>
      <c r="X219">
        <v>254.6</v>
      </c>
      <c r="Y219" t="s">
        <v>1147</v>
      </c>
      <c r="Z219">
        <v>0</v>
      </c>
      <c r="AA219">
        <v>1682</v>
      </c>
      <c r="AB219">
        <v>70881</v>
      </c>
      <c r="AC219" t="s">
        <v>1371</v>
      </c>
      <c r="AD219">
        <v>60.39</v>
      </c>
      <c r="AE219" t="s">
        <v>1595</v>
      </c>
      <c r="AF219" t="s">
        <v>1816</v>
      </c>
      <c r="AG219">
        <v>600</v>
      </c>
      <c r="AH219">
        <v>101</v>
      </c>
      <c r="AK219" t="b">
        <v>1</v>
      </c>
    </row>
    <row r="220" spans="1:37">
      <c r="A220" s="1" t="s">
        <v>254</v>
      </c>
      <c r="B220" t="s">
        <v>478</v>
      </c>
      <c r="C220">
        <f>HYPERLINK("https://finance.naver.com/item/coinfo.nhn?code=259630", "A259630")</f>
        <v>0</v>
      </c>
      <c r="D220">
        <f>HYPERLINK("http://comp.fnguide.com/SVO2/ASP/SVD_Consensus.asp?pGB=1&amp;gicode=A259630&amp;cID=&amp;MenuYn=Y&amp;ReportGB=&amp;NewMenuID=108&amp;stkGb=701", "엠플러스")</f>
        <v>0</v>
      </c>
      <c r="E220">
        <v>1</v>
      </c>
      <c r="F220">
        <v>12500</v>
      </c>
      <c r="G220">
        <v>2.43</v>
      </c>
      <c r="H220">
        <v>7</v>
      </c>
      <c r="I220">
        <v>16353</v>
      </c>
      <c r="J220">
        <v>12164</v>
      </c>
      <c r="K220">
        <v>10696</v>
      </c>
      <c r="L220">
        <v>-30.83</v>
      </c>
      <c r="M220">
        <v>2.69</v>
      </c>
      <c r="N220">
        <v>14.44</v>
      </c>
      <c r="O220">
        <v>20.78</v>
      </c>
      <c r="P220" t="b">
        <v>1</v>
      </c>
      <c r="Q220">
        <v>2</v>
      </c>
      <c r="R220">
        <v>1689</v>
      </c>
      <c r="S220">
        <v>1774</v>
      </c>
      <c r="T220">
        <v>5</v>
      </c>
      <c r="U220" t="s">
        <v>702</v>
      </c>
      <c r="V220" t="s">
        <v>926</v>
      </c>
      <c r="W220">
        <v>2.880058014478548</v>
      </c>
      <c r="X220">
        <v>233.1</v>
      </c>
      <c r="Y220" t="s">
        <v>1148</v>
      </c>
      <c r="Z220">
        <v>0</v>
      </c>
      <c r="AA220">
        <v>1528</v>
      </c>
      <c r="AB220">
        <v>169522</v>
      </c>
      <c r="AC220" t="s">
        <v>1372</v>
      </c>
      <c r="AD220">
        <v>23.41</v>
      </c>
      <c r="AE220" t="s">
        <v>1596</v>
      </c>
      <c r="AF220" t="s">
        <v>1817</v>
      </c>
      <c r="AG220">
        <v>1842</v>
      </c>
      <c r="AH220">
        <v>246</v>
      </c>
      <c r="AI220">
        <v>210301</v>
      </c>
      <c r="AJ220">
        <v>1.69</v>
      </c>
      <c r="AK220" t="b">
        <v>1</v>
      </c>
    </row>
    <row r="221" spans="1:37">
      <c r="A221" s="1" t="s">
        <v>255</v>
      </c>
      <c r="B221" t="s">
        <v>479</v>
      </c>
      <c r="C221">
        <f>HYPERLINK("https://finance.naver.com/item/coinfo.nhn?code=005850", "A005850")</f>
        <v>0</v>
      </c>
      <c r="D221">
        <f>HYPERLINK("http://comp.fnguide.com/SVO2/ASP/SVD_Consensus.asp?pGB=1&amp;gicode=A005850&amp;cID=&amp;MenuYn=Y&amp;ReportGB=&amp;NewMenuID=108&amp;stkGb=701", "에스엘")</f>
        <v>0</v>
      </c>
      <c r="E221">
        <v>1</v>
      </c>
      <c r="F221">
        <v>69700</v>
      </c>
      <c r="G221">
        <v>1.36</v>
      </c>
      <c r="H221">
        <v>6.4</v>
      </c>
      <c r="I221">
        <v>78845</v>
      </c>
      <c r="J221">
        <v>66363</v>
      </c>
      <c r="K221">
        <v>61989</v>
      </c>
      <c r="L221">
        <v>-13.12</v>
      </c>
      <c r="M221">
        <v>4.79</v>
      </c>
      <c r="N221">
        <v>11.06</v>
      </c>
      <c r="O221">
        <v>15.35</v>
      </c>
      <c r="P221" t="b">
        <v>1</v>
      </c>
      <c r="Q221">
        <v>1</v>
      </c>
      <c r="R221">
        <v>6692</v>
      </c>
      <c r="S221">
        <v>8293</v>
      </c>
      <c r="T221">
        <v>23.9</v>
      </c>
      <c r="U221" t="s">
        <v>703</v>
      </c>
      <c r="V221" t="s">
        <v>927</v>
      </c>
      <c r="W221">
        <v>4.714148218180969</v>
      </c>
      <c r="X221">
        <v>32.3</v>
      </c>
      <c r="Y221" t="s">
        <v>1149</v>
      </c>
      <c r="Z221">
        <v>34.65043351358115</v>
      </c>
      <c r="AA221">
        <v>32375</v>
      </c>
      <c r="AB221">
        <v>152377</v>
      </c>
      <c r="AC221" t="s">
        <v>1373</v>
      </c>
      <c r="AD221">
        <v>62.92</v>
      </c>
      <c r="AE221" t="s">
        <v>1597</v>
      </c>
      <c r="AF221" t="s">
        <v>1818</v>
      </c>
      <c r="AG221">
        <v>52399</v>
      </c>
      <c r="AH221">
        <v>4071</v>
      </c>
      <c r="AI221">
        <v>393058</v>
      </c>
      <c r="AJ221">
        <v>6.46</v>
      </c>
      <c r="AK221" t="b">
        <v>1</v>
      </c>
    </row>
    <row r="222" spans="1:37">
      <c r="A222" s="1" t="s">
        <v>256</v>
      </c>
      <c r="B222" t="s">
        <v>480</v>
      </c>
      <c r="C222">
        <f>HYPERLINK("https://finance.naver.com/item/coinfo.nhn?code=353810", "A353810")</f>
        <v>0</v>
      </c>
      <c r="D222">
        <f>HYPERLINK("http://comp.fnguide.com/SVO2/ASP/SVD_Consensus.asp?pGB=1&amp;gicode=A353810&amp;cID=&amp;MenuYn=Y&amp;ReportGB=&amp;NewMenuID=108&amp;stkGb=701", "이지바이오")</f>
        <v>0</v>
      </c>
      <c r="E222">
        <v>1</v>
      </c>
      <c r="F222">
        <v>6340</v>
      </c>
      <c r="G222">
        <v>0.17</v>
      </c>
      <c r="H222">
        <v>6.97</v>
      </c>
      <c r="I222">
        <v>8418</v>
      </c>
      <c r="J222">
        <v>5659</v>
      </c>
      <c r="K222">
        <v>4692</v>
      </c>
      <c r="L222">
        <v>-32.78</v>
      </c>
      <c r="M222">
        <v>10.74</v>
      </c>
      <c r="N222">
        <v>25.99</v>
      </c>
      <c r="O222">
        <v>28.03</v>
      </c>
      <c r="P222" t="b">
        <v>1</v>
      </c>
      <c r="Q222">
        <v>3</v>
      </c>
      <c r="R222">
        <v>834</v>
      </c>
      <c r="S222">
        <v>1251</v>
      </c>
      <c r="T222">
        <v>50</v>
      </c>
      <c r="U222" t="s">
        <v>704</v>
      </c>
      <c r="V222" t="s">
        <v>928</v>
      </c>
      <c r="W222">
        <v>40.06404382755682</v>
      </c>
      <c r="X222">
        <v>107.5</v>
      </c>
      <c r="Y222" t="s">
        <v>1150</v>
      </c>
      <c r="Z222">
        <v>40.31602955034855</v>
      </c>
      <c r="AA222">
        <v>2097</v>
      </c>
      <c r="AB222">
        <v>154556</v>
      </c>
      <c r="AC222" t="s">
        <v>1374</v>
      </c>
      <c r="AD222">
        <v>51.53</v>
      </c>
      <c r="AE222" t="s">
        <v>1598</v>
      </c>
      <c r="AF222" t="s">
        <v>1819</v>
      </c>
      <c r="AG222">
        <v>4769</v>
      </c>
      <c r="AH222">
        <v>450</v>
      </c>
      <c r="AJ222">
        <v>4.3</v>
      </c>
      <c r="AK222" t="b">
        <v>1</v>
      </c>
    </row>
    <row r="223" spans="1:37">
      <c r="A223" s="1" t="s">
        <v>257</v>
      </c>
      <c r="B223" t="s">
        <v>481</v>
      </c>
      <c r="C223">
        <f>HYPERLINK("https://finance.naver.com/item/coinfo.nhn?code=033100", "A033100")</f>
        <v>0</v>
      </c>
      <c r="D223">
        <f>HYPERLINK("http://comp.fnguide.com/SVO2/ASP/SVD_Consensus.asp?pGB=1&amp;gicode=A033100&amp;cID=&amp;MenuYn=Y&amp;ReportGB=&amp;NewMenuID=108&amp;stkGb=701", "제룡전기")</f>
        <v>0</v>
      </c>
      <c r="E223">
        <v>1</v>
      </c>
      <c r="F223">
        <v>52200</v>
      </c>
      <c r="G223">
        <v>0</v>
      </c>
      <c r="H223">
        <v>9.6</v>
      </c>
      <c r="I223">
        <v>54739</v>
      </c>
      <c r="J223">
        <v>33508</v>
      </c>
      <c r="K223">
        <v>26068</v>
      </c>
      <c r="L223">
        <v>-4.86</v>
      </c>
      <c r="M223">
        <v>35.81</v>
      </c>
      <c r="N223">
        <v>50.06</v>
      </c>
      <c r="O223">
        <v>39.64</v>
      </c>
      <c r="P223" t="b">
        <v>0</v>
      </c>
      <c r="Q223">
        <v>0</v>
      </c>
      <c r="R223">
        <v>3655</v>
      </c>
      <c r="U223" t="s">
        <v>705</v>
      </c>
      <c r="V223" t="s">
        <v>929</v>
      </c>
      <c r="W223">
        <v>0</v>
      </c>
      <c r="X223">
        <v>-45.3</v>
      </c>
      <c r="Y223" t="s">
        <v>1151</v>
      </c>
      <c r="Z223">
        <v>93.87728234620553</v>
      </c>
      <c r="AA223">
        <v>8385</v>
      </c>
      <c r="AB223">
        <v>168563</v>
      </c>
      <c r="AC223" t="s">
        <v>1375</v>
      </c>
      <c r="AD223">
        <v>33.13</v>
      </c>
      <c r="AE223" t="s">
        <v>1599</v>
      </c>
      <c r="AF223" t="s">
        <v>1820</v>
      </c>
      <c r="AG223">
        <v>2240</v>
      </c>
      <c r="AH223">
        <v>670</v>
      </c>
      <c r="AJ223">
        <v>3.13</v>
      </c>
      <c r="AK223" t="b">
        <v>1</v>
      </c>
    </row>
    <row r="224" spans="1:37">
      <c r="A224" s="1" t="s">
        <v>258</v>
      </c>
      <c r="B224" t="s">
        <v>482</v>
      </c>
      <c r="C224">
        <f>HYPERLINK("https://finance.naver.com/item/coinfo.nhn?code=119850", "A119850")</f>
        <v>0</v>
      </c>
      <c r="D224">
        <f>HYPERLINK("http://comp.fnguide.com/SVO2/ASP/SVD_Consensus.asp?pGB=1&amp;gicode=A119850&amp;cID=&amp;MenuYn=Y&amp;ReportGB=&amp;NewMenuID=108&amp;stkGb=701", "지엔씨에너지")</f>
        <v>0</v>
      </c>
      <c r="E224">
        <v>1</v>
      </c>
      <c r="F224">
        <v>20700</v>
      </c>
      <c r="G224">
        <v>0</v>
      </c>
      <c r="H224">
        <v>12.73</v>
      </c>
      <c r="I224">
        <v>26804</v>
      </c>
      <c r="J224">
        <v>19732</v>
      </c>
      <c r="K224">
        <v>17254</v>
      </c>
      <c r="L224">
        <v>-29.49</v>
      </c>
      <c r="M224">
        <v>4.68</v>
      </c>
      <c r="N224">
        <v>16.65</v>
      </c>
      <c r="O224">
        <v>21.37</v>
      </c>
      <c r="P224" t="b">
        <v>0</v>
      </c>
      <c r="Q224">
        <v>0</v>
      </c>
      <c r="R224">
        <v>2428</v>
      </c>
      <c r="U224" t="s">
        <v>706</v>
      </c>
      <c r="V224" t="s">
        <v>930</v>
      </c>
      <c r="W224">
        <v>0</v>
      </c>
      <c r="X224">
        <v>-5.6</v>
      </c>
      <c r="Y224" t="s">
        <v>1152</v>
      </c>
      <c r="Z224">
        <v>53.55377171923941</v>
      </c>
      <c r="AA224">
        <v>3405</v>
      </c>
      <c r="AB224">
        <v>119288</v>
      </c>
      <c r="AC224" t="s">
        <v>1376</v>
      </c>
      <c r="AD224">
        <v>33.55</v>
      </c>
      <c r="AE224" t="s">
        <v>1600</v>
      </c>
      <c r="AF224" t="s">
        <v>1821</v>
      </c>
      <c r="AG224">
        <v>2626</v>
      </c>
      <c r="AH224">
        <v>494</v>
      </c>
      <c r="AI224">
        <v>280867</v>
      </c>
      <c r="AJ224">
        <v>0.49</v>
      </c>
      <c r="AK224" t="b">
        <v>1</v>
      </c>
    </row>
    <row r="225" spans="1:37">
      <c r="A225" s="1" t="s">
        <v>259</v>
      </c>
      <c r="B225" t="s">
        <v>483</v>
      </c>
      <c r="C225">
        <f>HYPERLINK("https://finance.naver.com/item/coinfo.nhn?code=408920", "A408920")</f>
        <v>0</v>
      </c>
      <c r="D225">
        <f>HYPERLINK("http://comp.fnguide.com/SVO2/ASP/SVD_Consensus.asp?pGB=1&amp;gicode=A408920&amp;cID=&amp;MenuYn=Y&amp;ReportGB=&amp;NewMenuID=108&amp;stkGb=701", "메쎄이상")</f>
        <v>0</v>
      </c>
      <c r="E225">
        <v>1</v>
      </c>
      <c r="F225">
        <v>3105</v>
      </c>
      <c r="G225">
        <v>0</v>
      </c>
      <c r="H225">
        <v>8.949999999999999</v>
      </c>
      <c r="I225">
        <v>3327</v>
      </c>
      <c r="J225">
        <v>2554</v>
      </c>
      <c r="K225">
        <v>2283</v>
      </c>
      <c r="L225">
        <v>-7.16</v>
      </c>
      <c r="M225">
        <v>17.73</v>
      </c>
      <c r="N225">
        <v>26.46</v>
      </c>
      <c r="O225">
        <v>19.13</v>
      </c>
      <c r="P225" t="b">
        <v>0</v>
      </c>
      <c r="Q225">
        <v>0</v>
      </c>
      <c r="R225">
        <v>359</v>
      </c>
      <c r="U225" t="s">
        <v>707</v>
      </c>
      <c r="V225" t="s">
        <v>931</v>
      </c>
      <c r="W225">
        <v>0</v>
      </c>
      <c r="X225">
        <v>63.3</v>
      </c>
      <c r="Y225" t="s">
        <v>1153</v>
      </c>
      <c r="Z225">
        <v>43.48860356451303</v>
      </c>
      <c r="AA225">
        <v>1342</v>
      </c>
      <c r="AB225">
        <v>33991</v>
      </c>
      <c r="AC225" t="s">
        <v>1377</v>
      </c>
      <c r="AD225">
        <v>82.34</v>
      </c>
      <c r="AE225" t="s">
        <v>1601</v>
      </c>
      <c r="AF225" t="s">
        <v>1822</v>
      </c>
      <c r="AG225">
        <v>728</v>
      </c>
      <c r="AH225">
        <v>190</v>
      </c>
      <c r="AI225">
        <v>872251</v>
      </c>
      <c r="AJ225">
        <v>3.74</v>
      </c>
      <c r="AK22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3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220</v>
      </c>
      <c r="B2" t="s">
        <v>444</v>
      </c>
      <c r="C2">
        <f>HYPERLINK("https://finance.naver.com/item/coinfo.nhn?code=339950", "A339950")</f>
        <v>0</v>
      </c>
      <c r="D2">
        <f>HYPERLINK("http://comp.fnguide.com/SVO2/ASP/SVD_Consensus.asp?pGB=1&amp;gicode=A339950&amp;cID=&amp;MenuYn=Y&amp;ReportGB=&amp;NewMenuID=108&amp;stkGb=701", "아이비김영")</f>
        <v>0</v>
      </c>
      <c r="E2">
        <v>2</v>
      </c>
      <c r="F2">
        <v>2555</v>
      </c>
      <c r="G2">
        <v>0.1</v>
      </c>
      <c r="H2">
        <v>4.22</v>
      </c>
      <c r="I2">
        <v>4372</v>
      </c>
      <c r="J2">
        <v>2949</v>
      </c>
      <c r="K2">
        <v>2451</v>
      </c>
      <c r="L2">
        <v>-71.13</v>
      </c>
      <c r="M2">
        <v>-15.43</v>
      </c>
      <c r="N2">
        <v>4.09</v>
      </c>
      <c r="O2">
        <v>27.72</v>
      </c>
      <c r="P2" t="b">
        <v>0</v>
      </c>
      <c r="Q2">
        <v>3</v>
      </c>
      <c r="R2">
        <v>461</v>
      </c>
      <c r="S2">
        <v>485</v>
      </c>
      <c r="T2">
        <v>5.2</v>
      </c>
      <c r="U2" t="s">
        <v>668</v>
      </c>
      <c r="V2" t="s">
        <v>892</v>
      </c>
      <c r="W2">
        <v>41.00690072357891</v>
      </c>
      <c r="X2">
        <v>489.4</v>
      </c>
      <c r="Y2" t="s">
        <v>1115</v>
      </c>
      <c r="Z2">
        <v>88.68706476319747</v>
      </c>
      <c r="AA2">
        <v>1148</v>
      </c>
      <c r="AB2">
        <v>82984</v>
      </c>
      <c r="AC2" t="s">
        <v>1338</v>
      </c>
      <c r="AD2">
        <v>64.70999999999999</v>
      </c>
      <c r="AE2" t="s">
        <v>1562</v>
      </c>
      <c r="AF2" t="s">
        <v>1784</v>
      </c>
      <c r="AG2">
        <v>1195</v>
      </c>
      <c r="AH2">
        <v>191</v>
      </c>
      <c r="AI2">
        <v>1582885</v>
      </c>
      <c r="AJ2">
        <v>15.42</v>
      </c>
      <c r="AK2" t="b">
        <v>1</v>
      </c>
    </row>
    <row r="3" spans="1:37">
      <c r="A3" s="1" t="s">
        <v>44</v>
      </c>
      <c r="B3" t="s">
        <v>268</v>
      </c>
      <c r="C3">
        <f>HYPERLINK("https://finance.naver.com/item/coinfo.nhn?code=352090", "A352090")</f>
        <v>0</v>
      </c>
      <c r="D3">
        <f>HYPERLINK("http://comp.fnguide.com/SVO2/ASP/SVD_Consensus.asp?pGB=1&amp;gicode=A352090&amp;cID=&amp;MenuYn=Y&amp;ReportGB=&amp;NewMenuID=108&amp;stkGb=701", "스톰테크")</f>
        <v>0</v>
      </c>
      <c r="E3">
        <v>3</v>
      </c>
      <c r="F3">
        <v>3570</v>
      </c>
      <c r="G3">
        <v>0</v>
      </c>
      <c r="H3">
        <v>9.58</v>
      </c>
      <c r="I3">
        <v>4502</v>
      </c>
      <c r="J3">
        <v>3963</v>
      </c>
      <c r="K3">
        <v>3774</v>
      </c>
      <c r="L3">
        <v>-26.12</v>
      </c>
      <c r="M3">
        <v>-11.01</v>
      </c>
      <c r="N3">
        <v>-5.72</v>
      </c>
      <c r="O3">
        <v>13.92</v>
      </c>
      <c r="P3" t="b">
        <v>1</v>
      </c>
      <c r="Q3">
        <v>0</v>
      </c>
      <c r="R3">
        <v>380</v>
      </c>
      <c r="U3" t="s">
        <v>492</v>
      </c>
      <c r="V3" t="s">
        <v>716</v>
      </c>
      <c r="W3">
        <v>0</v>
      </c>
      <c r="X3">
        <v>13.3</v>
      </c>
      <c r="Y3" t="s">
        <v>940</v>
      </c>
      <c r="Z3">
        <v>-0.3024669876266928</v>
      </c>
      <c r="AA3">
        <v>959</v>
      </c>
      <c r="AB3">
        <v>49120</v>
      </c>
      <c r="AC3" t="s">
        <v>1162</v>
      </c>
      <c r="AD3">
        <v>70.97</v>
      </c>
      <c r="AE3" t="s">
        <v>1386</v>
      </c>
      <c r="AF3" t="s">
        <v>1610</v>
      </c>
      <c r="AG3">
        <v>697</v>
      </c>
      <c r="AH3">
        <v>119</v>
      </c>
      <c r="AJ3">
        <v>12.36</v>
      </c>
      <c r="AK3" t="b">
        <v>1</v>
      </c>
    </row>
    <row r="4" spans="1:37">
      <c r="A4" s="1" t="s">
        <v>111</v>
      </c>
      <c r="B4" t="s">
        <v>335</v>
      </c>
      <c r="C4">
        <f>HYPERLINK("https://finance.naver.com/item/coinfo.nhn?code=049520", "A049520")</f>
        <v>0</v>
      </c>
      <c r="D4">
        <f>HYPERLINK("http://comp.fnguide.com/SVO2/ASP/SVD_Consensus.asp?pGB=1&amp;gicode=A049520&amp;cID=&amp;MenuYn=Y&amp;ReportGB=&amp;NewMenuID=108&amp;stkGb=701", "유아이엘")</f>
        <v>0</v>
      </c>
      <c r="E4">
        <v>3</v>
      </c>
      <c r="F4">
        <v>3600</v>
      </c>
      <c r="G4">
        <v>0</v>
      </c>
      <c r="H4">
        <v>4.75</v>
      </c>
      <c r="I4">
        <v>7613</v>
      </c>
      <c r="J4">
        <v>7090</v>
      </c>
      <c r="K4">
        <v>6907</v>
      </c>
      <c r="L4">
        <v>-111.46</v>
      </c>
      <c r="M4">
        <v>-96.94</v>
      </c>
      <c r="N4">
        <v>-91.84999999999999</v>
      </c>
      <c r="O4">
        <v>12.39</v>
      </c>
      <c r="P4" t="b">
        <v>0</v>
      </c>
      <c r="Q4">
        <v>0</v>
      </c>
      <c r="R4">
        <v>696</v>
      </c>
      <c r="U4" t="s">
        <v>559</v>
      </c>
      <c r="V4" t="s">
        <v>783</v>
      </c>
      <c r="W4">
        <v>0</v>
      </c>
      <c r="X4">
        <v>-6.9</v>
      </c>
      <c r="Y4" t="s">
        <v>1007</v>
      </c>
      <c r="Z4">
        <v>0</v>
      </c>
      <c r="AA4">
        <v>1110</v>
      </c>
      <c r="AB4">
        <v>93761</v>
      </c>
      <c r="AC4" t="s">
        <v>1229</v>
      </c>
      <c r="AD4">
        <v>53.38</v>
      </c>
      <c r="AE4" t="s">
        <v>1453</v>
      </c>
      <c r="AF4" t="s">
        <v>1675</v>
      </c>
      <c r="AG4">
        <v>4123</v>
      </c>
      <c r="AH4">
        <v>264</v>
      </c>
      <c r="AI4">
        <v>472039</v>
      </c>
      <c r="AJ4">
        <v>12.08</v>
      </c>
      <c r="AK4" t="b">
        <v>1</v>
      </c>
    </row>
    <row r="5" spans="1:37">
      <c r="A5" s="1" t="s">
        <v>245</v>
      </c>
      <c r="B5" t="s">
        <v>469</v>
      </c>
      <c r="C5">
        <f>HYPERLINK("https://finance.naver.com/item/coinfo.nhn?code=478560", "A478560")</f>
        <v>0</v>
      </c>
      <c r="D5">
        <f>HYPERLINK("http://comp.fnguide.com/SVO2/ASP/SVD_Consensus.asp?pGB=1&amp;gicode=A478560&amp;cID=&amp;MenuYn=Y&amp;ReportGB=&amp;NewMenuID=108&amp;stkGb=701", "블랙야크아이앤씨")</f>
        <v>0</v>
      </c>
      <c r="E5">
        <v>1</v>
      </c>
      <c r="F5">
        <v>2675</v>
      </c>
      <c r="G5">
        <v>0</v>
      </c>
      <c r="I5">
        <v>3341</v>
      </c>
      <c r="J5">
        <v>2352</v>
      </c>
      <c r="K5">
        <v>2005</v>
      </c>
      <c r="L5">
        <v>-24.91</v>
      </c>
      <c r="M5">
        <v>12.07</v>
      </c>
      <c r="N5">
        <v>25.03</v>
      </c>
      <c r="O5">
        <v>24.28</v>
      </c>
      <c r="P5" t="b">
        <v>0</v>
      </c>
      <c r="Q5">
        <v>0</v>
      </c>
      <c r="R5">
        <v>-222</v>
      </c>
      <c r="U5" t="s">
        <v>693</v>
      </c>
      <c r="V5" t="s">
        <v>917</v>
      </c>
      <c r="W5">
        <v>0</v>
      </c>
      <c r="Y5" t="s">
        <v>1139</v>
      </c>
      <c r="Z5">
        <v>0</v>
      </c>
      <c r="AA5">
        <v>691</v>
      </c>
      <c r="AB5">
        <v>48699</v>
      </c>
      <c r="AC5" t="s">
        <v>1363</v>
      </c>
      <c r="AD5">
        <v>76.2</v>
      </c>
      <c r="AE5" t="s">
        <v>1587</v>
      </c>
      <c r="AF5" t="s">
        <v>1622</v>
      </c>
      <c r="AG5">
        <v>573</v>
      </c>
      <c r="AH5">
        <v>93</v>
      </c>
      <c r="AI5">
        <v>38159</v>
      </c>
      <c r="AJ5">
        <v>9.119999999999999</v>
      </c>
      <c r="AK5" t="b">
        <v>1</v>
      </c>
    </row>
    <row r="6" spans="1:37">
      <c r="A6" s="1" t="s">
        <v>50</v>
      </c>
      <c r="B6" t="s">
        <v>274</v>
      </c>
      <c r="C6">
        <f>HYPERLINK("https://finance.naver.com/item/coinfo.nhn?code=461300", "A461300")</f>
        <v>0</v>
      </c>
      <c r="D6">
        <f>HYPERLINK("http://comp.fnguide.com/SVO2/ASP/SVD_Consensus.asp?pGB=1&amp;gicode=A461300&amp;cID=&amp;MenuYn=Y&amp;ReportGB=&amp;NewMenuID=108&amp;stkGb=701", "아이스크림미디어")</f>
        <v>0</v>
      </c>
      <c r="E6">
        <v>3</v>
      </c>
      <c r="F6">
        <v>17100</v>
      </c>
      <c r="G6">
        <v>0</v>
      </c>
      <c r="H6">
        <v>4.67</v>
      </c>
      <c r="I6">
        <v>41378</v>
      </c>
      <c r="J6">
        <v>27888</v>
      </c>
      <c r="K6">
        <v>23160</v>
      </c>
      <c r="L6">
        <v>-141.98</v>
      </c>
      <c r="M6">
        <v>-63.09</v>
      </c>
      <c r="N6">
        <v>-35.44</v>
      </c>
      <c r="O6">
        <v>27.79</v>
      </c>
      <c r="P6" t="b">
        <v>1</v>
      </c>
      <c r="Q6">
        <v>0</v>
      </c>
      <c r="R6">
        <v>3723</v>
      </c>
      <c r="U6" t="s">
        <v>498</v>
      </c>
      <c r="V6" t="s">
        <v>722</v>
      </c>
      <c r="W6">
        <v>0</v>
      </c>
      <c r="Y6" t="s">
        <v>946</v>
      </c>
      <c r="Z6">
        <v>0</v>
      </c>
      <c r="AA6">
        <v>2278</v>
      </c>
      <c r="AB6">
        <v>42562</v>
      </c>
      <c r="AC6" t="s">
        <v>1168</v>
      </c>
      <c r="AD6">
        <v>60.8</v>
      </c>
      <c r="AE6" t="s">
        <v>1392</v>
      </c>
      <c r="AF6" t="s">
        <v>1616</v>
      </c>
      <c r="AG6">
        <v>1959</v>
      </c>
      <c r="AH6">
        <v>618</v>
      </c>
      <c r="AI6">
        <v>598969</v>
      </c>
      <c r="AJ6">
        <v>8.93</v>
      </c>
      <c r="AK6" t="b">
        <v>1</v>
      </c>
    </row>
    <row r="7" spans="1:37">
      <c r="A7" s="1" t="s">
        <v>255</v>
      </c>
      <c r="B7" t="s">
        <v>479</v>
      </c>
      <c r="C7">
        <f>HYPERLINK("https://finance.naver.com/item/coinfo.nhn?code=005850", "A005850")</f>
        <v>0</v>
      </c>
      <c r="D7">
        <f>HYPERLINK("http://comp.fnguide.com/SVO2/ASP/SVD_Consensus.asp?pGB=1&amp;gicode=A005850&amp;cID=&amp;MenuYn=Y&amp;ReportGB=&amp;NewMenuID=108&amp;stkGb=701", "에스엘")</f>
        <v>0</v>
      </c>
      <c r="E7">
        <v>1</v>
      </c>
      <c r="F7">
        <v>69700</v>
      </c>
      <c r="G7">
        <v>1.36</v>
      </c>
      <c r="H7">
        <v>6.4</v>
      </c>
      <c r="I7">
        <v>78845</v>
      </c>
      <c r="J7">
        <v>66363</v>
      </c>
      <c r="K7">
        <v>61989</v>
      </c>
      <c r="L7">
        <v>-13.12</v>
      </c>
      <c r="M7">
        <v>4.79</v>
      </c>
      <c r="N7">
        <v>11.06</v>
      </c>
      <c r="O7">
        <v>15.35</v>
      </c>
      <c r="P7" t="b">
        <v>1</v>
      </c>
      <c r="Q7">
        <v>1</v>
      </c>
      <c r="R7">
        <v>6692</v>
      </c>
      <c r="S7">
        <v>8293</v>
      </c>
      <c r="T7">
        <v>23.9</v>
      </c>
      <c r="U7" t="s">
        <v>703</v>
      </c>
      <c r="V7" t="s">
        <v>927</v>
      </c>
      <c r="W7">
        <v>4.714148218180969</v>
      </c>
      <c r="X7">
        <v>32.3</v>
      </c>
      <c r="Y7" t="s">
        <v>1149</v>
      </c>
      <c r="Z7">
        <v>34.65043351358115</v>
      </c>
      <c r="AA7">
        <v>32375</v>
      </c>
      <c r="AB7">
        <v>152377</v>
      </c>
      <c r="AC7" t="s">
        <v>1373</v>
      </c>
      <c r="AD7">
        <v>62.92</v>
      </c>
      <c r="AE7" t="s">
        <v>1597</v>
      </c>
      <c r="AF7" t="s">
        <v>1818</v>
      </c>
      <c r="AG7">
        <v>52399</v>
      </c>
      <c r="AH7">
        <v>4071</v>
      </c>
      <c r="AI7">
        <v>393058</v>
      </c>
      <c r="AJ7">
        <v>6.46</v>
      </c>
      <c r="AK7" t="b">
        <v>1</v>
      </c>
    </row>
    <row r="8" spans="1:37">
      <c r="A8" s="1" t="s">
        <v>135</v>
      </c>
      <c r="B8" t="s">
        <v>359</v>
      </c>
      <c r="C8">
        <f>HYPERLINK("https://finance.naver.com/item/coinfo.nhn?code=071320", "A071320")</f>
        <v>0</v>
      </c>
      <c r="D8">
        <f>HYPERLINK("http://comp.fnguide.com/SVO2/ASP/SVD_Consensus.asp?pGB=1&amp;gicode=A071320&amp;cID=&amp;MenuYn=Y&amp;ReportGB=&amp;NewMenuID=108&amp;stkGb=701", "지역난방공사")</f>
        <v>0</v>
      </c>
      <c r="E8">
        <v>3</v>
      </c>
      <c r="F8">
        <v>68300</v>
      </c>
      <c r="G8">
        <v>0.63</v>
      </c>
      <c r="H8">
        <v>3.29</v>
      </c>
      <c r="I8">
        <v>228572</v>
      </c>
      <c r="J8">
        <v>212685</v>
      </c>
      <c r="K8">
        <v>207118</v>
      </c>
      <c r="L8">
        <v>-234.66</v>
      </c>
      <c r="M8">
        <v>-211.4</v>
      </c>
      <c r="N8">
        <v>-203.25</v>
      </c>
      <c r="O8">
        <v>12.41</v>
      </c>
      <c r="P8" t="b">
        <v>1</v>
      </c>
      <c r="Q8">
        <v>0</v>
      </c>
      <c r="R8">
        <v>29268</v>
      </c>
      <c r="S8">
        <v>20089</v>
      </c>
      <c r="T8">
        <v>-31.4</v>
      </c>
      <c r="U8" t="s">
        <v>583</v>
      </c>
      <c r="V8" t="s">
        <v>807</v>
      </c>
      <c r="W8">
        <v>5.23896978947147</v>
      </c>
      <c r="X8">
        <v>-7.4</v>
      </c>
      <c r="Y8" t="s">
        <v>1030</v>
      </c>
      <c r="Z8">
        <v>0</v>
      </c>
      <c r="AA8">
        <v>7908</v>
      </c>
      <c r="AB8">
        <v>9005</v>
      </c>
      <c r="AC8" t="s">
        <v>1253</v>
      </c>
      <c r="AD8">
        <v>64.63</v>
      </c>
      <c r="AE8" t="s">
        <v>1477</v>
      </c>
      <c r="AF8" t="s">
        <v>1699</v>
      </c>
      <c r="AG8">
        <v>39982</v>
      </c>
      <c r="AH8">
        <v>5296</v>
      </c>
      <c r="AJ8">
        <v>6.39</v>
      </c>
      <c r="AK8" t="b">
        <v>1</v>
      </c>
    </row>
    <row r="9" spans="1:37">
      <c r="A9" s="1" t="s">
        <v>198</v>
      </c>
      <c r="B9" t="s">
        <v>422</v>
      </c>
      <c r="C9">
        <f>HYPERLINK("https://finance.naver.com/item/coinfo.nhn?code=096760", "A096760")</f>
        <v>0</v>
      </c>
      <c r="D9">
        <f>HYPERLINK("http://comp.fnguide.com/SVO2/ASP/SVD_Consensus.asp?pGB=1&amp;gicode=A096760&amp;cID=&amp;MenuYn=Y&amp;ReportGB=&amp;NewMenuID=108&amp;stkGb=701", "JW홀딩스")</f>
        <v>0</v>
      </c>
      <c r="E9">
        <v>3</v>
      </c>
      <c r="F9">
        <v>3690</v>
      </c>
      <c r="G9">
        <v>0</v>
      </c>
      <c r="H9">
        <v>4.54</v>
      </c>
      <c r="I9">
        <v>9421</v>
      </c>
      <c r="J9">
        <v>6457</v>
      </c>
      <c r="K9">
        <v>5418</v>
      </c>
      <c r="L9">
        <v>-155.3</v>
      </c>
      <c r="M9">
        <v>-74.98</v>
      </c>
      <c r="N9">
        <v>-46.83</v>
      </c>
      <c r="O9">
        <v>26.34</v>
      </c>
      <c r="P9" t="b">
        <v>1</v>
      </c>
      <c r="Q9">
        <v>0</v>
      </c>
      <c r="R9">
        <v>791</v>
      </c>
      <c r="U9" t="s">
        <v>646</v>
      </c>
      <c r="V9" t="s">
        <v>870</v>
      </c>
      <c r="W9">
        <v>0</v>
      </c>
      <c r="X9">
        <v>103.9</v>
      </c>
      <c r="Y9" t="s">
        <v>1093</v>
      </c>
      <c r="Z9">
        <v>0</v>
      </c>
      <c r="AA9">
        <v>2728</v>
      </c>
      <c r="AB9">
        <v>92563</v>
      </c>
      <c r="AC9" t="s">
        <v>1316</v>
      </c>
      <c r="AD9">
        <v>52.33</v>
      </c>
      <c r="AE9" t="s">
        <v>1540</v>
      </c>
      <c r="AF9" t="s">
        <v>1762</v>
      </c>
      <c r="AG9">
        <v>9696</v>
      </c>
      <c r="AH9">
        <v>1679</v>
      </c>
      <c r="AI9">
        <v>4734115</v>
      </c>
      <c r="AJ9">
        <v>5.99</v>
      </c>
      <c r="AK9" t="b">
        <v>1</v>
      </c>
    </row>
    <row r="10" spans="1:37">
      <c r="A10" s="1" t="s">
        <v>248</v>
      </c>
      <c r="B10" t="s">
        <v>472</v>
      </c>
      <c r="C10">
        <f>HYPERLINK("https://finance.naver.com/item/coinfo.nhn?code=094280", "A094280")</f>
        <v>0</v>
      </c>
      <c r="D10">
        <f>HYPERLINK("http://comp.fnguide.com/SVO2/ASP/SVD_Consensus.asp?pGB=1&amp;gicode=A094280&amp;cID=&amp;MenuYn=Y&amp;ReportGB=&amp;NewMenuID=108&amp;stkGb=701", "효성ITX")</f>
        <v>0</v>
      </c>
      <c r="E10">
        <v>1</v>
      </c>
      <c r="F10">
        <v>12170</v>
      </c>
      <c r="G10">
        <v>0</v>
      </c>
      <c r="H10">
        <v>10.29</v>
      </c>
      <c r="I10">
        <v>12453</v>
      </c>
      <c r="J10">
        <v>9442</v>
      </c>
      <c r="K10">
        <v>8387</v>
      </c>
      <c r="L10">
        <v>-2.33</v>
      </c>
      <c r="M10">
        <v>22.41</v>
      </c>
      <c r="N10">
        <v>31.08</v>
      </c>
      <c r="O10">
        <v>19.75</v>
      </c>
      <c r="P10" t="b">
        <v>1</v>
      </c>
      <c r="Q10">
        <v>0</v>
      </c>
      <c r="R10">
        <v>1243</v>
      </c>
      <c r="U10" t="s">
        <v>696</v>
      </c>
      <c r="V10" t="s">
        <v>920</v>
      </c>
      <c r="W10">
        <v>0</v>
      </c>
      <c r="X10">
        <v>-21.6</v>
      </c>
      <c r="Y10" t="s">
        <v>1142</v>
      </c>
      <c r="Z10">
        <v>-3.389233288826765</v>
      </c>
      <c r="AA10">
        <v>1407</v>
      </c>
      <c r="AB10">
        <v>14061</v>
      </c>
      <c r="AC10" t="s">
        <v>1366</v>
      </c>
      <c r="AD10">
        <v>68.3</v>
      </c>
      <c r="AE10" t="s">
        <v>1590</v>
      </c>
      <c r="AF10" t="s">
        <v>1811</v>
      </c>
      <c r="AG10">
        <v>5190</v>
      </c>
      <c r="AH10">
        <v>190</v>
      </c>
      <c r="AI10">
        <v>519835</v>
      </c>
      <c r="AJ10">
        <v>5.86</v>
      </c>
      <c r="AK10" t="b">
        <v>1</v>
      </c>
    </row>
    <row r="11" spans="1:37">
      <c r="A11" s="1" t="s">
        <v>70</v>
      </c>
      <c r="B11" t="s">
        <v>294</v>
      </c>
      <c r="C11">
        <f>HYPERLINK("https://finance.naver.com/item/coinfo.nhn?code=067730", "A067730")</f>
        <v>0</v>
      </c>
      <c r="D11">
        <f>HYPERLINK("http://comp.fnguide.com/SVO2/ASP/SVD_Consensus.asp?pGB=1&amp;gicode=A067730&amp;cID=&amp;MenuYn=Y&amp;ReportGB=&amp;NewMenuID=108&amp;stkGb=701", "로지시스")</f>
        <v>0</v>
      </c>
      <c r="E11">
        <v>3</v>
      </c>
      <c r="F11">
        <v>2300</v>
      </c>
      <c r="G11">
        <v>0</v>
      </c>
      <c r="H11">
        <v>7.8</v>
      </c>
      <c r="I11">
        <v>2680</v>
      </c>
      <c r="J11">
        <v>2409</v>
      </c>
      <c r="K11">
        <v>2313</v>
      </c>
      <c r="L11">
        <v>-16.51</v>
      </c>
      <c r="M11">
        <v>-4.72</v>
      </c>
      <c r="N11">
        <v>-0.59</v>
      </c>
      <c r="O11">
        <v>13.32</v>
      </c>
      <c r="P11" t="b">
        <v>1</v>
      </c>
      <c r="Q11">
        <v>0</v>
      </c>
      <c r="R11">
        <v>342</v>
      </c>
      <c r="U11" t="s">
        <v>518</v>
      </c>
      <c r="V11" t="s">
        <v>742</v>
      </c>
      <c r="W11">
        <v>0</v>
      </c>
      <c r="X11">
        <v>7.8</v>
      </c>
      <c r="Y11" t="s">
        <v>966</v>
      </c>
      <c r="Z11">
        <v>11.30006229430656</v>
      </c>
      <c r="AA11">
        <v>223</v>
      </c>
      <c r="AB11">
        <v>46659</v>
      </c>
      <c r="AC11" t="s">
        <v>1188</v>
      </c>
      <c r="AD11">
        <v>55.01</v>
      </c>
      <c r="AE11" t="s">
        <v>1412</v>
      </c>
      <c r="AF11" t="s">
        <v>1636</v>
      </c>
      <c r="AG11">
        <v>485</v>
      </c>
      <c r="AH11">
        <v>29</v>
      </c>
      <c r="AJ11">
        <v>5.63</v>
      </c>
      <c r="AK11" t="b">
        <v>1</v>
      </c>
    </row>
    <row r="12" spans="1:37">
      <c r="A12" s="1" t="s">
        <v>107</v>
      </c>
      <c r="B12" t="s">
        <v>331</v>
      </c>
      <c r="C12">
        <f>HYPERLINK("https://finance.naver.com/item/coinfo.nhn?code=010240", "A010240")</f>
        <v>0</v>
      </c>
      <c r="D12">
        <f>HYPERLINK("http://comp.fnguide.com/SVO2/ASP/SVD_Consensus.asp?pGB=1&amp;gicode=A010240&amp;cID=&amp;MenuYn=Y&amp;ReportGB=&amp;NewMenuID=108&amp;stkGb=701", "흥국")</f>
        <v>0</v>
      </c>
      <c r="E12">
        <v>3</v>
      </c>
      <c r="F12">
        <v>5250</v>
      </c>
      <c r="G12">
        <v>0</v>
      </c>
      <c r="H12">
        <v>5.24</v>
      </c>
      <c r="I12">
        <v>10532</v>
      </c>
      <c r="J12">
        <v>10409</v>
      </c>
      <c r="K12">
        <v>10365</v>
      </c>
      <c r="L12">
        <v>-100.62</v>
      </c>
      <c r="M12">
        <v>-98.26000000000001</v>
      </c>
      <c r="N12">
        <v>-97.43000000000001</v>
      </c>
      <c r="O12">
        <v>11.03</v>
      </c>
      <c r="P12" t="b">
        <v>1</v>
      </c>
      <c r="Q12">
        <v>0</v>
      </c>
      <c r="R12">
        <v>992</v>
      </c>
      <c r="U12" t="s">
        <v>555</v>
      </c>
      <c r="V12" t="s">
        <v>779</v>
      </c>
      <c r="W12">
        <v>0</v>
      </c>
      <c r="X12">
        <v>64</v>
      </c>
      <c r="Y12" t="s">
        <v>1003</v>
      </c>
      <c r="Z12">
        <v>11.07271352586621</v>
      </c>
      <c r="AA12">
        <v>615</v>
      </c>
      <c r="AB12">
        <v>10371</v>
      </c>
      <c r="AC12" t="s">
        <v>1225</v>
      </c>
      <c r="AD12">
        <v>53.27</v>
      </c>
      <c r="AE12" t="s">
        <v>1449</v>
      </c>
      <c r="AF12" t="s">
        <v>1671</v>
      </c>
      <c r="AG12">
        <v>1370</v>
      </c>
      <c r="AH12">
        <v>149</v>
      </c>
      <c r="AI12">
        <v>220791</v>
      </c>
      <c r="AJ12">
        <v>5.38</v>
      </c>
      <c r="AK12" t="b">
        <v>1</v>
      </c>
    </row>
    <row r="13" spans="1:37">
      <c r="A13" s="1" t="s">
        <v>148</v>
      </c>
      <c r="B13" t="s">
        <v>372</v>
      </c>
      <c r="C13">
        <f>HYPERLINK("https://finance.naver.com/item/coinfo.nhn?code=192400", "A192400")</f>
        <v>0</v>
      </c>
      <c r="D13">
        <f>HYPERLINK("http://comp.fnguide.com/SVO2/ASP/SVD_Consensus.asp?pGB=1&amp;gicode=A192400&amp;cID=&amp;MenuYn=Y&amp;ReportGB=&amp;NewMenuID=108&amp;stkGb=701", "쿠쿠홀딩스")</f>
        <v>0</v>
      </c>
      <c r="E13">
        <v>3</v>
      </c>
      <c r="F13">
        <v>24500</v>
      </c>
      <c r="G13">
        <v>0</v>
      </c>
      <c r="H13">
        <v>7.08</v>
      </c>
      <c r="I13">
        <v>47008</v>
      </c>
      <c r="J13">
        <v>44621</v>
      </c>
      <c r="K13">
        <v>43784</v>
      </c>
      <c r="L13">
        <v>-91.87</v>
      </c>
      <c r="M13">
        <v>-82.12</v>
      </c>
      <c r="N13">
        <v>-78.70999999999999</v>
      </c>
      <c r="O13">
        <v>11.93</v>
      </c>
      <c r="P13" t="b">
        <v>1</v>
      </c>
      <c r="Q13">
        <v>0</v>
      </c>
      <c r="R13">
        <v>4094</v>
      </c>
      <c r="U13" t="s">
        <v>596</v>
      </c>
      <c r="V13" t="s">
        <v>820</v>
      </c>
      <c r="W13">
        <v>0</v>
      </c>
      <c r="X13">
        <v>18.1</v>
      </c>
      <c r="Y13" t="s">
        <v>1043</v>
      </c>
      <c r="Z13">
        <v>5.84197264666475</v>
      </c>
      <c r="AA13">
        <v>8713</v>
      </c>
      <c r="AB13">
        <v>23454</v>
      </c>
      <c r="AC13" t="s">
        <v>1266</v>
      </c>
      <c r="AD13">
        <v>64.86</v>
      </c>
      <c r="AE13" t="s">
        <v>1490</v>
      </c>
      <c r="AF13" t="s">
        <v>1712</v>
      </c>
      <c r="AG13">
        <v>9209</v>
      </c>
      <c r="AH13">
        <v>1140</v>
      </c>
      <c r="AI13">
        <v>4483800</v>
      </c>
      <c r="AJ13">
        <v>5.34</v>
      </c>
      <c r="AK13" t="b">
        <v>1</v>
      </c>
    </row>
    <row r="14" spans="1:37">
      <c r="A14" s="1" t="s">
        <v>144</v>
      </c>
      <c r="B14" t="s">
        <v>368</v>
      </c>
      <c r="C14">
        <f>HYPERLINK("https://finance.naver.com/item/coinfo.nhn?code=003780", "A003780")</f>
        <v>0</v>
      </c>
      <c r="D14">
        <f>HYPERLINK("http://comp.fnguide.com/SVO2/ASP/SVD_Consensus.asp?pGB=1&amp;gicode=A003780&amp;cID=&amp;MenuYn=Y&amp;ReportGB=&amp;NewMenuID=108&amp;stkGb=701", "진양산업")</f>
        <v>0</v>
      </c>
      <c r="E14">
        <v>3</v>
      </c>
      <c r="F14">
        <v>4785</v>
      </c>
      <c r="G14">
        <v>0</v>
      </c>
      <c r="H14">
        <v>12.61</v>
      </c>
      <c r="I14">
        <v>6419</v>
      </c>
      <c r="J14">
        <v>5749</v>
      </c>
      <c r="K14">
        <v>5514</v>
      </c>
      <c r="L14">
        <v>-34.14</v>
      </c>
      <c r="M14">
        <v>-20.14</v>
      </c>
      <c r="N14">
        <v>-15.24</v>
      </c>
      <c r="O14">
        <v>13.42</v>
      </c>
      <c r="P14" t="b">
        <v>0</v>
      </c>
      <c r="Q14">
        <v>0</v>
      </c>
      <c r="R14">
        <v>534</v>
      </c>
      <c r="U14" t="s">
        <v>592</v>
      </c>
      <c r="V14" t="s">
        <v>816</v>
      </c>
      <c r="W14">
        <v>0</v>
      </c>
      <c r="X14">
        <v>-9.4</v>
      </c>
      <c r="Y14" t="s">
        <v>1039</v>
      </c>
      <c r="Z14">
        <v>0.2909483277879321</v>
      </c>
      <c r="AA14">
        <v>622</v>
      </c>
      <c r="AB14">
        <v>1105604</v>
      </c>
      <c r="AC14" t="s">
        <v>1262</v>
      </c>
      <c r="AD14">
        <v>51.21</v>
      </c>
      <c r="AE14" t="s">
        <v>1486</v>
      </c>
      <c r="AF14" t="s">
        <v>1708</v>
      </c>
      <c r="AG14">
        <v>907</v>
      </c>
      <c r="AH14">
        <v>84</v>
      </c>
      <c r="AJ14">
        <v>5.31</v>
      </c>
      <c r="AK14" t="b">
        <v>1</v>
      </c>
    </row>
    <row r="15" spans="1:37">
      <c r="A15" s="1" t="s">
        <v>88</v>
      </c>
      <c r="B15" t="s">
        <v>312</v>
      </c>
      <c r="C15">
        <f>HYPERLINK("https://finance.naver.com/item/coinfo.nhn?code=036030", "A036030")</f>
        <v>0</v>
      </c>
      <c r="D15">
        <f>HYPERLINK("http://comp.fnguide.com/SVO2/ASP/SVD_Consensus.asp?pGB=1&amp;gicode=A036030&amp;cID=&amp;MenuYn=Y&amp;ReportGB=&amp;NewMenuID=108&amp;stkGb=701", "케이티알파")</f>
        <v>0</v>
      </c>
      <c r="E15">
        <v>3</v>
      </c>
      <c r="F15">
        <v>4530</v>
      </c>
      <c r="G15">
        <v>0</v>
      </c>
      <c r="H15">
        <v>6.11</v>
      </c>
      <c r="I15">
        <v>6580</v>
      </c>
      <c r="J15">
        <v>6368</v>
      </c>
      <c r="K15">
        <v>6294</v>
      </c>
      <c r="L15">
        <v>-45.25</v>
      </c>
      <c r="M15">
        <v>-40.58</v>
      </c>
      <c r="N15">
        <v>-38.95</v>
      </c>
      <c r="O15">
        <v>11.48</v>
      </c>
      <c r="P15" t="b">
        <v>1</v>
      </c>
      <c r="Q15">
        <v>0</v>
      </c>
      <c r="R15">
        <v>890</v>
      </c>
      <c r="U15" t="s">
        <v>536</v>
      </c>
      <c r="V15" t="s">
        <v>760</v>
      </c>
      <c r="W15">
        <v>0</v>
      </c>
      <c r="X15">
        <v>5.6</v>
      </c>
      <c r="Y15" t="s">
        <v>984</v>
      </c>
      <c r="Z15">
        <v>0</v>
      </c>
      <c r="AA15">
        <v>2221</v>
      </c>
      <c r="AB15">
        <v>69110</v>
      </c>
      <c r="AC15" t="s">
        <v>1206</v>
      </c>
      <c r="AD15">
        <v>72.97</v>
      </c>
      <c r="AE15" t="s">
        <v>1430</v>
      </c>
      <c r="AF15" t="s">
        <v>1652</v>
      </c>
      <c r="AG15">
        <v>3959</v>
      </c>
      <c r="AH15">
        <v>442</v>
      </c>
      <c r="AI15">
        <v>142</v>
      </c>
      <c r="AJ15">
        <v>5.15</v>
      </c>
      <c r="AK15" t="b">
        <v>1</v>
      </c>
    </row>
    <row r="16" spans="1:37">
      <c r="A16" s="1" t="s">
        <v>177</v>
      </c>
      <c r="B16" t="s">
        <v>401</v>
      </c>
      <c r="C16">
        <f>HYPERLINK("https://finance.naver.com/item/coinfo.nhn?code=284740", "A284740")</f>
        <v>0</v>
      </c>
      <c r="D16">
        <f>HYPERLINK("http://comp.fnguide.com/SVO2/ASP/SVD_Consensus.asp?pGB=1&amp;gicode=A284740&amp;cID=&amp;MenuYn=Y&amp;ReportGB=&amp;NewMenuID=108&amp;stkGb=701", "쿠쿠홈시스")</f>
        <v>0</v>
      </c>
      <c r="E16">
        <v>3</v>
      </c>
      <c r="F16">
        <v>21800</v>
      </c>
      <c r="G16">
        <v>0</v>
      </c>
      <c r="H16">
        <v>4.52</v>
      </c>
      <c r="I16">
        <v>58824</v>
      </c>
      <c r="J16">
        <v>53254</v>
      </c>
      <c r="K16">
        <v>51302</v>
      </c>
      <c r="L16">
        <v>-169.84</v>
      </c>
      <c r="M16">
        <v>-144.28</v>
      </c>
      <c r="N16">
        <v>-135.33</v>
      </c>
      <c r="O16">
        <v>13.12</v>
      </c>
      <c r="P16" t="b">
        <v>1</v>
      </c>
      <c r="Q16">
        <v>0</v>
      </c>
      <c r="R16">
        <v>5327</v>
      </c>
      <c r="U16" t="s">
        <v>625</v>
      </c>
      <c r="V16" t="s">
        <v>849</v>
      </c>
      <c r="W16">
        <v>0</v>
      </c>
      <c r="X16">
        <v>14.2</v>
      </c>
      <c r="Y16" t="s">
        <v>1072</v>
      </c>
      <c r="Z16">
        <v>3.692220670123847</v>
      </c>
      <c r="AA16">
        <v>4891</v>
      </c>
      <c r="AB16">
        <v>13317</v>
      </c>
      <c r="AC16" t="s">
        <v>1295</v>
      </c>
      <c r="AD16">
        <v>70.09</v>
      </c>
      <c r="AE16" t="s">
        <v>1519</v>
      </c>
      <c r="AF16" t="s">
        <v>1741</v>
      </c>
      <c r="AG16">
        <v>11213</v>
      </c>
      <c r="AH16">
        <v>1694</v>
      </c>
      <c r="AI16">
        <v>14950</v>
      </c>
      <c r="AJ16">
        <v>4.99</v>
      </c>
      <c r="AK16" t="b">
        <v>1</v>
      </c>
    </row>
    <row r="17" spans="1:37">
      <c r="A17" s="1" t="s">
        <v>100</v>
      </c>
      <c r="B17" t="s">
        <v>324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750</v>
      </c>
      <c r="G17">
        <v>0</v>
      </c>
      <c r="H17">
        <v>2.52</v>
      </c>
      <c r="I17">
        <v>2973</v>
      </c>
      <c r="J17">
        <v>2673</v>
      </c>
      <c r="K17">
        <v>2568</v>
      </c>
      <c r="L17">
        <v>-296.45</v>
      </c>
      <c r="M17">
        <v>-256.43</v>
      </c>
      <c r="N17">
        <v>-242.4</v>
      </c>
      <c r="O17">
        <v>13.31</v>
      </c>
      <c r="P17" t="b">
        <v>0</v>
      </c>
      <c r="Q17">
        <v>0</v>
      </c>
      <c r="R17">
        <v>319</v>
      </c>
      <c r="U17" t="s">
        <v>548</v>
      </c>
      <c r="V17" t="s">
        <v>772</v>
      </c>
      <c r="W17">
        <v>0</v>
      </c>
      <c r="Y17" t="s">
        <v>996</v>
      </c>
      <c r="Z17">
        <v>27.9026102584977</v>
      </c>
      <c r="AA17">
        <v>2367</v>
      </c>
      <c r="AB17">
        <v>304907</v>
      </c>
      <c r="AC17" t="s">
        <v>1218</v>
      </c>
      <c r="AD17">
        <v>80.5</v>
      </c>
      <c r="AE17" t="s">
        <v>1442</v>
      </c>
      <c r="AF17" t="s">
        <v>1664</v>
      </c>
      <c r="AG17">
        <v>1747</v>
      </c>
      <c r="AH17">
        <v>1279</v>
      </c>
      <c r="AI17">
        <v>2719001</v>
      </c>
      <c r="AJ17">
        <v>4.98</v>
      </c>
      <c r="AK17" t="b">
        <v>1</v>
      </c>
    </row>
    <row r="18" spans="1:37">
      <c r="A18" s="1" t="s">
        <v>162</v>
      </c>
      <c r="B18" t="s">
        <v>386</v>
      </c>
      <c r="C18">
        <f>HYPERLINK("https://finance.naver.com/item/coinfo.nhn?code=111380", "A111380")</f>
        <v>0</v>
      </c>
      <c r="D18">
        <f>HYPERLINK("http://comp.fnguide.com/SVO2/ASP/SVD_Consensus.asp?pGB=1&amp;gicode=A111380&amp;cID=&amp;MenuYn=Y&amp;ReportGB=&amp;NewMenuID=108&amp;stkGb=701", "동인기연")</f>
        <v>0</v>
      </c>
      <c r="E18">
        <v>3</v>
      </c>
      <c r="F18">
        <v>13050</v>
      </c>
      <c r="G18">
        <v>-2.24</v>
      </c>
      <c r="H18">
        <v>7.3</v>
      </c>
      <c r="I18">
        <v>27786</v>
      </c>
      <c r="J18">
        <v>26667</v>
      </c>
      <c r="K18">
        <v>26275</v>
      </c>
      <c r="L18">
        <v>-112.92</v>
      </c>
      <c r="M18">
        <v>-104.35</v>
      </c>
      <c r="N18">
        <v>-101.34</v>
      </c>
      <c r="O18">
        <v>11.67</v>
      </c>
      <c r="P18" t="b">
        <v>1</v>
      </c>
      <c r="Q18">
        <v>1</v>
      </c>
      <c r="R18">
        <v>1880</v>
      </c>
      <c r="S18">
        <v>3585</v>
      </c>
      <c r="T18">
        <v>90.7</v>
      </c>
      <c r="U18" t="s">
        <v>610</v>
      </c>
      <c r="V18" t="s">
        <v>834</v>
      </c>
      <c r="W18">
        <v>-3.263044631396139</v>
      </c>
      <c r="X18">
        <v>353.3</v>
      </c>
      <c r="Y18" t="s">
        <v>1057</v>
      </c>
      <c r="Z18">
        <v>23.74405249548861</v>
      </c>
      <c r="AA18">
        <v>800</v>
      </c>
      <c r="AB18">
        <v>7656</v>
      </c>
      <c r="AC18" t="s">
        <v>1280</v>
      </c>
      <c r="AD18">
        <v>68.52</v>
      </c>
      <c r="AE18" t="s">
        <v>1504</v>
      </c>
      <c r="AF18" t="s">
        <v>1726</v>
      </c>
      <c r="AG18">
        <v>2441</v>
      </c>
      <c r="AH18">
        <v>226</v>
      </c>
      <c r="AI18">
        <v>202778</v>
      </c>
      <c r="AJ18">
        <v>4.95</v>
      </c>
      <c r="AK18" t="b">
        <v>1</v>
      </c>
    </row>
    <row r="19" spans="1:37">
      <c r="A19" s="1" t="s">
        <v>213</v>
      </c>
      <c r="B19" t="s">
        <v>437</v>
      </c>
      <c r="C19">
        <f>HYPERLINK("https://finance.naver.com/item/coinfo.nhn?code=134380", "A134380")</f>
        <v>0</v>
      </c>
      <c r="D19">
        <f>HYPERLINK("http://comp.fnguide.com/SVO2/ASP/SVD_Consensus.asp?pGB=1&amp;gicode=A134380&amp;cID=&amp;MenuYn=Y&amp;ReportGB=&amp;NewMenuID=108&amp;stkGb=701", "미원화학")</f>
        <v>0</v>
      </c>
      <c r="E19">
        <v>2</v>
      </c>
      <c r="F19">
        <v>10400</v>
      </c>
      <c r="G19">
        <v>0</v>
      </c>
      <c r="H19">
        <v>8.25</v>
      </c>
      <c r="I19">
        <v>13139</v>
      </c>
      <c r="J19">
        <v>10909</v>
      </c>
      <c r="K19">
        <v>10128</v>
      </c>
      <c r="L19">
        <v>-26.34</v>
      </c>
      <c r="M19">
        <v>-4.9</v>
      </c>
      <c r="N19">
        <v>2.62</v>
      </c>
      <c r="O19">
        <v>15.83</v>
      </c>
      <c r="P19" t="b">
        <v>0</v>
      </c>
      <c r="Q19">
        <v>0</v>
      </c>
      <c r="R19">
        <v>1124</v>
      </c>
      <c r="U19" t="s">
        <v>661</v>
      </c>
      <c r="V19" t="s">
        <v>885</v>
      </c>
      <c r="W19">
        <v>0</v>
      </c>
      <c r="X19">
        <v>45.9</v>
      </c>
      <c r="Y19" t="s">
        <v>1108</v>
      </c>
      <c r="Z19">
        <v>26.04125748591484</v>
      </c>
      <c r="AA19">
        <v>2287</v>
      </c>
      <c r="AB19">
        <v>3754</v>
      </c>
      <c r="AC19" t="s">
        <v>1331</v>
      </c>
      <c r="AD19">
        <v>55.34</v>
      </c>
      <c r="AE19" t="s">
        <v>1555</v>
      </c>
      <c r="AF19" t="s">
        <v>1777</v>
      </c>
      <c r="AG19">
        <v>2845</v>
      </c>
      <c r="AH19">
        <v>292</v>
      </c>
      <c r="AI19">
        <v>2605150</v>
      </c>
      <c r="AJ19">
        <v>4.85</v>
      </c>
      <c r="AK19" t="b">
        <v>1</v>
      </c>
    </row>
    <row r="20" spans="1:37">
      <c r="A20" s="1" t="s">
        <v>140</v>
      </c>
      <c r="B20" t="s">
        <v>364</v>
      </c>
      <c r="C20">
        <f>HYPERLINK("https://finance.naver.com/item/coinfo.nhn?code=194370", "A194370")</f>
        <v>0</v>
      </c>
      <c r="D20">
        <f>HYPERLINK("http://comp.fnguide.com/SVO2/ASP/SVD_Consensus.asp?pGB=1&amp;gicode=A194370&amp;cID=&amp;MenuYn=Y&amp;ReportGB=&amp;NewMenuID=108&amp;stkGb=701", "제이에스코퍼레이션")</f>
        <v>0</v>
      </c>
      <c r="E20">
        <v>3</v>
      </c>
      <c r="F20">
        <v>10400</v>
      </c>
      <c r="G20">
        <v>-0.98</v>
      </c>
      <c r="H20">
        <v>4.86</v>
      </c>
      <c r="I20">
        <v>36068</v>
      </c>
      <c r="J20">
        <v>26533</v>
      </c>
      <c r="K20">
        <v>23192</v>
      </c>
      <c r="L20">
        <v>-246.81</v>
      </c>
      <c r="M20">
        <v>-155.13</v>
      </c>
      <c r="N20">
        <v>-123</v>
      </c>
      <c r="O20">
        <v>21.41</v>
      </c>
      <c r="P20" t="b">
        <v>1</v>
      </c>
      <c r="Q20">
        <v>1</v>
      </c>
      <c r="R20">
        <v>2638</v>
      </c>
      <c r="S20">
        <v>3536</v>
      </c>
      <c r="T20">
        <v>34</v>
      </c>
      <c r="U20" t="s">
        <v>588</v>
      </c>
      <c r="V20" t="s">
        <v>812</v>
      </c>
      <c r="W20">
        <v>-4.943962885357611</v>
      </c>
      <c r="X20">
        <v>-3</v>
      </c>
      <c r="Y20" t="s">
        <v>1035</v>
      </c>
      <c r="Z20">
        <v>7.164541059792895</v>
      </c>
      <c r="AA20">
        <v>3018</v>
      </c>
      <c r="AB20">
        <v>128174</v>
      </c>
      <c r="AC20" t="s">
        <v>1258</v>
      </c>
      <c r="AD20">
        <v>56.18</v>
      </c>
      <c r="AE20" t="s">
        <v>1482</v>
      </c>
      <c r="AF20" t="s">
        <v>1704</v>
      </c>
      <c r="AG20">
        <v>12882</v>
      </c>
      <c r="AH20">
        <v>1405</v>
      </c>
      <c r="AJ20">
        <v>4.68</v>
      </c>
      <c r="AK20" t="b">
        <v>1</v>
      </c>
    </row>
    <row r="21" spans="1:37">
      <c r="A21" s="1" t="s">
        <v>62</v>
      </c>
      <c r="B21" t="s">
        <v>286</v>
      </c>
      <c r="C21">
        <f>HYPERLINK("https://finance.naver.com/item/coinfo.nhn?code=067280", "A067280")</f>
        <v>0</v>
      </c>
      <c r="D21">
        <f>HYPERLINK("http://comp.fnguide.com/SVO2/ASP/SVD_Consensus.asp?pGB=1&amp;gicode=A067280&amp;cID=&amp;MenuYn=Y&amp;ReportGB=&amp;NewMenuID=108&amp;stkGb=701", "멀티캠퍼스")</f>
        <v>0</v>
      </c>
      <c r="E21">
        <v>3</v>
      </c>
      <c r="F21">
        <v>24750</v>
      </c>
      <c r="G21">
        <v>0</v>
      </c>
      <c r="H21">
        <v>7.02</v>
      </c>
      <c r="I21">
        <v>49771</v>
      </c>
      <c r="J21">
        <v>43973</v>
      </c>
      <c r="K21">
        <v>41941</v>
      </c>
      <c r="L21">
        <v>-101.09</v>
      </c>
      <c r="M21">
        <v>-77.67</v>
      </c>
      <c r="N21">
        <v>-69.45999999999999</v>
      </c>
      <c r="O21">
        <v>13.81</v>
      </c>
      <c r="P21" t="b">
        <v>0</v>
      </c>
      <c r="Q21">
        <v>0</v>
      </c>
      <c r="R21">
        <v>4417</v>
      </c>
      <c r="U21" t="s">
        <v>510</v>
      </c>
      <c r="V21" t="s">
        <v>734</v>
      </c>
      <c r="W21">
        <v>0</v>
      </c>
      <c r="X21">
        <v>-68</v>
      </c>
      <c r="Y21" t="s">
        <v>958</v>
      </c>
      <c r="Z21">
        <v>-16.28441233977928</v>
      </c>
      <c r="AA21">
        <v>1467</v>
      </c>
      <c r="AB21">
        <v>11637</v>
      </c>
      <c r="AC21" t="s">
        <v>1180</v>
      </c>
      <c r="AD21">
        <v>62.46</v>
      </c>
      <c r="AE21" t="s">
        <v>1404</v>
      </c>
      <c r="AF21" t="s">
        <v>1628</v>
      </c>
      <c r="AG21">
        <v>3308</v>
      </c>
      <c r="AH21">
        <v>319</v>
      </c>
      <c r="AJ21">
        <v>4.35</v>
      </c>
      <c r="AK21" t="b">
        <v>1</v>
      </c>
    </row>
    <row r="22" spans="1:37">
      <c r="A22" s="1" t="s">
        <v>256</v>
      </c>
      <c r="B22" t="s">
        <v>480</v>
      </c>
      <c r="C22">
        <f>HYPERLINK("https://finance.naver.com/item/coinfo.nhn?code=353810", "A353810")</f>
        <v>0</v>
      </c>
      <c r="D22">
        <f>HYPERLINK("http://comp.fnguide.com/SVO2/ASP/SVD_Consensus.asp?pGB=1&amp;gicode=A353810&amp;cID=&amp;MenuYn=Y&amp;ReportGB=&amp;NewMenuID=108&amp;stkGb=701", "이지바이오")</f>
        <v>0</v>
      </c>
      <c r="E22">
        <v>1</v>
      </c>
      <c r="F22">
        <v>6340</v>
      </c>
      <c r="G22">
        <v>0.17</v>
      </c>
      <c r="H22">
        <v>6.97</v>
      </c>
      <c r="I22">
        <v>8418</v>
      </c>
      <c r="J22">
        <v>5659</v>
      </c>
      <c r="K22">
        <v>4692</v>
      </c>
      <c r="L22">
        <v>-32.78</v>
      </c>
      <c r="M22">
        <v>10.74</v>
      </c>
      <c r="N22">
        <v>25.99</v>
      </c>
      <c r="O22">
        <v>28.03</v>
      </c>
      <c r="P22" t="b">
        <v>1</v>
      </c>
      <c r="Q22">
        <v>3</v>
      </c>
      <c r="R22">
        <v>834</v>
      </c>
      <c r="S22">
        <v>1251</v>
      </c>
      <c r="T22">
        <v>50</v>
      </c>
      <c r="U22" t="s">
        <v>704</v>
      </c>
      <c r="V22" t="s">
        <v>928</v>
      </c>
      <c r="W22">
        <v>40.06404382755682</v>
      </c>
      <c r="X22">
        <v>107.5</v>
      </c>
      <c r="Y22" t="s">
        <v>1150</v>
      </c>
      <c r="Z22">
        <v>40.31602955034855</v>
      </c>
      <c r="AA22">
        <v>2097</v>
      </c>
      <c r="AB22">
        <v>154556</v>
      </c>
      <c r="AC22" t="s">
        <v>1374</v>
      </c>
      <c r="AD22">
        <v>51.53</v>
      </c>
      <c r="AE22" t="s">
        <v>1598</v>
      </c>
      <c r="AF22" t="s">
        <v>1819</v>
      </c>
      <c r="AG22">
        <v>4769</v>
      </c>
      <c r="AH22">
        <v>450</v>
      </c>
      <c r="AJ22">
        <v>4.3</v>
      </c>
      <c r="AK22" t="b">
        <v>1</v>
      </c>
    </row>
    <row r="23" spans="1:37">
      <c r="A23" s="1" t="s">
        <v>103</v>
      </c>
      <c r="B23" t="s">
        <v>327</v>
      </c>
      <c r="C23">
        <f>HYPERLINK("https://finance.naver.com/item/coinfo.nhn?code=090850", "A090850")</f>
        <v>0</v>
      </c>
      <c r="D23">
        <f>HYPERLINK("http://comp.fnguide.com/SVO2/ASP/SVD_Consensus.asp?pGB=1&amp;gicode=A090850&amp;cID=&amp;MenuYn=Y&amp;ReportGB=&amp;NewMenuID=108&amp;stkGb=701", "현대이지웰")</f>
        <v>0</v>
      </c>
      <c r="E23">
        <v>3</v>
      </c>
      <c r="F23">
        <v>5470</v>
      </c>
      <c r="G23">
        <v>0</v>
      </c>
      <c r="H23">
        <v>5.09</v>
      </c>
      <c r="I23">
        <v>7176</v>
      </c>
      <c r="J23">
        <v>5943</v>
      </c>
      <c r="K23">
        <v>5511</v>
      </c>
      <c r="L23">
        <v>-31.19</v>
      </c>
      <c r="M23">
        <v>-8.65</v>
      </c>
      <c r="N23">
        <v>-0.75</v>
      </c>
      <c r="O23">
        <v>15.92</v>
      </c>
      <c r="P23" t="b">
        <v>1</v>
      </c>
      <c r="Q23">
        <v>0</v>
      </c>
      <c r="R23">
        <v>1011</v>
      </c>
      <c r="U23" t="s">
        <v>551</v>
      </c>
      <c r="V23" t="s">
        <v>775</v>
      </c>
      <c r="W23">
        <v>0</v>
      </c>
      <c r="X23">
        <v>-20.8</v>
      </c>
      <c r="Y23" t="s">
        <v>999</v>
      </c>
      <c r="Z23">
        <v>0</v>
      </c>
      <c r="AA23">
        <v>1230</v>
      </c>
      <c r="AB23">
        <v>34194</v>
      </c>
      <c r="AC23" t="s">
        <v>1221</v>
      </c>
      <c r="AD23">
        <v>52.82</v>
      </c>
      <c r="AE23" t="s">
        <v>1445</v>
      </c>
      <c r="AF23" t="s">
        <v>1667</v>
      </c>
      <c r="AG23">
        <v>1426</v>
      </c>
      <c r="AH23">
        <v>242</v>
      </c>
      <c r="AJ23">
        <v>4.28</v>
      </c>
      <c r="AK23" t="b">
        <v>1</v>
      </c>
    </row>
    <row r="24" spans="1:37">
      <c r="A24" s="1" t="s">
        <v>196</v>
      </c>
      <c r="B24" t="s">
        <v>420</v>
      </c>
      <c r="C24">
        <f>HYPERLINK("https://finance.naver.com/item/coinfo.nhn?code=007340", "A007340")</f>
        <v>0</v>
      </c>
      <c r="D24">
        <f>HYPERLINK("http://comp.fnguide.com/SVO2/ASP/SVD_Consensus.asp?pGB=1&amp;gicode=A007340&amp;cID=&amp;MenuYn=Y&amp;ReportGB=&amp;NewMenuID=108&amp;stkGb=701", "DN오토모티브")</f>
        <v>0</v>
      </c>
      <c r="E24">
        <v>3</v>
      </c>
      <c r="F24">
        <v>41250</v>
      </c>
      <c r="G24">
        <v>-1.58</v>
      </c>
      <c r="H24">
        <v>5.07</v>
      </c>
      <c r="I24">
        <v>67034</v>
      </c>
      <c r="J24">
        <v>51977</v>
      </c>
      <c r="K24">
        <v>46700</v>
      </c>
      <c r="L24">
        <v>-62.51</v>
      </c>
      <c r="M24">
        <v>-26</v>
      </c>
      <c r="N24">
        <v>-13.21</v>
      </c>
      <c r="O24">
        <v>18.65</v>
      </c>
      <c r="P24" t="b">
        <v>1</v>
      </c>
      <c r="Q24">
        <v>1</v>
      </c>
      <c r="R24">
        <v>4809</v>
      </c>
      <c r="S24">
        <v>4985</v>
      </c>
      <c r="T24">
        <v>3.7</v>
      </c>
      <c r="U24" t="s">
        <v>644</v>
      </c>
      <c r="V24" t="s">
        <v>868</v>
      </c>
      <c r="W24">
        <v>-3.215836158720942</v>
      </c>
      <c r="X24">
        <v>14</v>
      </c>
      <c r="Y24" t="s">
        <v>1091</v>
      </c>
      <c r="Z24">
        <v>27.64134493043462</v>
      </c>
      <c r="AA24">
        <v>24136</v>
      </c>
      <c r="AB24">
        <v>172858</v>
      </c>
      <c r="AC24" t="s">
        <v>1314</v>
      </c>
      <c r="AD24">
        <v>52.16</v>
      </c>
      <c r="AE24" t="s">
        <v>1538</v>
      </c>
      <c r="AF24" t="s">
        <v>1760</v>
      </c>
      <c r="AG24">
        <v>36757</v>
      </c>
      <c r="AH24">
        <v>5279</v>
      </c>
      <c r="AI24">
        <v>6748595</v>
      </c>
      <c r="AJ24">
        <v>4.1</v>
      </c>
      <c r="AK24" t="b">
        <v>1</v>
      </c>
    </row>
    <row r="25" spans="1:37">
      <c r="A25" s="1" t="s">
        <v>176</v>
      </c>
      <c r="B25" t="s">
        <v>400</v>
      </c>
      <c r="C25">
        <f>HYPERLINK("https://finance.naver.com/item/coinfo.nhn?code=010770", "A010770")</f>
        <v>0</v>
      </c>
      <c r="D25">
        <f>HYPERLINK("http://comp.fnguide.com/SVO2/ASP/SVD_Consensus.asp?pGB=1&amp;gicode=A010770&amp;cID=&amp;MenuYn=Y&amp;ReportGB=&amp;NewMenuID=108&amp;stkGb=701", "평화홀딩스")</f>
        <v>0</v>
      </c>
      <c r="E25">
        <v>3</v>
      </c>
      <c r="F25">
        <v>4180</v>
      </c>
      <c r="G25">
        <v>0</v>
      </c>
      <c r="H25">
        <v>1.6</v>
      </c>
      <c r="I25">
        <v>14314</v>
      </c>
      <c r="J25">
        <v>11404</v>
      </c>
      <c r="K25">
        <v>10385</v>
      </c>
      <c r="L25">
        <v>-242.43</v>
      </c>
      <c r="M25">
        <v>-172.83</v>
      </c>
      <c r="N25">
        <v>-148.44</v>
      </c>
      <c r="O25">
        <v>17.44</v>
      </c>
      <c r="P25" t="b">
        <v>1</v>
      </c>
      <c r="Q25">
        <v>0</v>
      </c>
      <c r="R25">
        <v>2375</v>
      </c>
      <c r="U25" t="s">
        <v>624</v>
      </c>
      <c r="V25" t="s">
        <v>848</v>
      </c>
      <c r="W25">
        <v>0</v>
      </c>
      <c r="X25">
        <v>219.6</v>
      </c>
      <c r="Y25" t="s">
        <v>1071</v>
      </c>
      <c r="Z25">
        <v>0</v>
      </c>
      <c r="AA25">
        <v>611</v>
      </c>
      <c r="AB25">
        <v>84255</v>
      </c>
      <c r="AC25" t="s">
        <v>1294</v>
      </c>
      <c r="AD25">
        <v>52.07</v>
      </c>
      <c r="AE25" t="s">
        <v>1518</v>
      </c>
      <c r="AF25" t="s">
        <v>1740</v>
      </c>
      <c r="AG25">
        <v>8837</v>
      </c>
      <c r="AH25">
        <v>349</v>
      </c>
      <c r="AI25">
        <v>236505</v>
      </c>
      <c r="AJ25">
        <v>3.96</v>
      </c>
      <c r="AK25" t="b">
        <v>1</v>
      </c>
    </row>
    <row r="26" spans="1:37">
      <c r="A26" s="1" t="s">
        <v>218</v>
      </c>
      <c r="B26" t="s">
        <v>442</v>
      </c>
      <c r="C26">
        <f>HYPERLINK("https://finance.naver.com/item/coinfo.nhn?code=383220", "A383220")</f>
        <v>0</v>
      </c>
      <c r="D26">
        <f>HYPERLINK("http://comp.fnguide.com/SVO2/ASP/SVD_Consensus.asp?pGB=1&amp;gicode=A383220&amp;cID=&amp;MenuYn=Y&amp;ReportGB=&amp;NewMenuID=108&amp;stkGb=701", "F&amp;F")</f>
        <v>0</v>
      </c>
      <c r="E26">
        <v>2</v>
      </c>
      <c r="F26">
        <v>73700</v>
      </c>
      <c r="G26">
        <v>1.38</v>
      </c>
      <c r="H26">
        <v>6.58</v>
      </c>
      <c r="I26">
        <v>122676</v>
      </c>
      <c r="J26">
        <v>84013</v>
      </c>
      <c r="K26">
        <v>70463</v>
      </c>
      <c r="L26">
        <v>-66.45</v>
      </c>
      <c r="M26">
        <v>-13.99</v>
      </c>
      <c r="N26">
        <v>4.39</v>
      </c>
      <c r="O26">
        <v>26.41</v>
      </c>
      <c r="P26" t="b">
        <v>1</v>
      </c>
      <c r="Q26">
        <v>2</v>
      </c>
      <c r="R26">
        <v>10404</v>
      </c>
      <c r="S26">
        <v>12759</v>
      </c>
      <c r="T26">
        <v>22.6</v>
      </c>
      <c r="U26" t="s">
        <v>666</v>
      </c>
      <c r="V26" t="s">
        <v>890</v>
      </c>
      <c r="W26">
        <v>4.764420841997374</v>
      </c>
      <c r="X26">
        <v>138</v>
      </c>
      <c r="Y26" t="s">
        <v>1113</v>
      </c>
      <c r="Z26">
        <v>33.259680228603</v>
      </c>
      <c r="AA26">
        <v>28232</v>
      </c>
      <c r="AB26">
        <v>122773</v>
      </c>
      <c r="AC26" t="s">
        <v>1336</v>
      </c>
      <c r="AD26">
        <v>62.82</v>
      </c>
      <c r="AE26" t="s">
        <v>1560</v>
      </c>
      <c r="AF26" t="s">
        <v>1782</v>
      </c>
      <c r="AG26">
        <v>19340</v>
      </c>
      <c r="AH26">
        <v>4686</v>
      </c>
      <c r="AI26">
        <v>825501</v>
      </c>
      <c r="AJ26">
        <v>3.94</v>
      </c>
      <c r="AK26" t="b">
        <v>1</v>
      </c>
    </row>
    <row r="27" spans="1:37">
      <c r="A27" s="1" t="s">
        <v>99</v>
      </c>
      <c r="B27" t="s">
        <v>323</v>
      </c>
      <c r="C27">
        <f>HYPERLINK("https://finance.naver.com/item/coinfo.nhn?code=025770", "A025770")</f>
        <v>0</v>
      </c>
      <c r="D27">
        <f>HYPERLINK("http://comp.fnguide.com/SVO2/ASP/SVD_Consensus.asp?pGB=1&amp;gicode=A025770&amp;cID=&amp;MenuYn=Y&amp;ReportGB=&amp;NewMenuID=108&amp;stkGb=701", "한국정보통신")</f>
        <v>0</v>
      </c>
      <c r="E27">
        <v>3</v>
      </c>
      <c r="F27">
        <v>7920</v>
      </c>
      <c r="G27">
        <v>0</v>
      </c>
      <c r="H27">
        <v>7.84</v>
      </c>
      <c r="I27">
        <v>11224</v>
      </c>
      <c r="J27">
        <v>10334</v>
      </c>
      <c r="K27">
        <v>10023</v>
      </c>
      <c r="L27">
        <v>-41.72</v>
      </c>
      <c r="M27">
        <v>-30.48</v>
      </c>
      <c r="N27">
        <v>-26.55</v>
      </c>
      <c r="O27">
        <v>12.68</v>
      </c>
      <c r="P27" t="b">
        <v>1</v>
      </c>
      <c r="Q27">
        <v>0</v>
      </c>
      <c r="R27">
        <v>978</v>
      </c>
      <c r="U27" t="s">
        <v>547</v>
      </c>
      <c r="V27" t="s">
        <v>771</v>
      </c>
      <c r="W27">
        <v>0</v>
      </c>
      <c r="X27">
        <v>0.8</v>
      </c>
      <c r="Y27" t="s">
        <v>995</v>
      </c>
      <c r="Z27">
        <v>27.9026102584977</v>
      </c>
      <c r="AA27">
        <v>2966</v>
      </c>
      <c r="AB27">
        <v>246066</v>
      </c>
      <c r="AC27" t="s">
        <v>1217</v>
      </c>
      <c r="AD27">
        <v>82.98999999999999</v>
      </c>
      <c r="AE27" t="s">
        <v>1441</v>
      </c>
      <c r="AF27" t="s">
        <v>1663</v>
      </c>
      <c r="AG27">
        <v>8363</v>
      </c>
      <c r="AH27">
        <v>452</v>
      </c>
      <c r="AI27">
        <v>2299077</v>
      </c>
      <c r="AJ27">
        <v>3.79</v>
      </c>
      <c r="AK27" t="b">
        <v>1</v>
      </c>
    </row>
    <row r="28" spans="1:37">
      <c r="A28" s="1" t="s">
        <v>259</v>
      </c>
      <c r="B28" t="s">
        <v>483</v>
      </c>
      <c r="C28">
        <f>HYPERLINK("https://finance.naver.com/item/coinfo.nhn?code=408920", "A408920")</f>
        <v>0</v>
      </c>
      <c r="D28">
        <f>HYPERLINK("http://comp.fnguide.com/SVO2/ASP/SVD_Consensus.asp?pGB=1&amp;gicode=A408920&amp;cID=&amp;MenuYn=Y&amp;ReportGB=&amp;NewMenuID=108&amp;stkGb=701", "메쎄이상")</f>
        <v>0</v>
      </c>
      <c r="E28">
        <v>1</v>
      </c>
      <c r="F28">
        <v>3105</v>
      </c>
      <c r="G28">
        <v>0</v>
      </c>
      <c r="H28">
        <v>8.949999999999999</v>
      </c>
      <c r="I28">
        <v>3327</v>
      </c>
      <c r="J28">
        <v>2554</v>
      </c>
      <c r="K28">
        <v>2283</v>
      </c>
      <c r="L28">
        <v>-7.16</v>
      </c>
      <c r="M28">
        <v>17.73</v>
      </c>
      <c r="N28">
        <v>26.46</v>
      </c>
      <c r="O28">
        <v>19.13</v>
      </c>
      <c r="P28" t="b">
        <v>0</v>
      </c>
      <c r="Q28">
        <v>0</v>
      </c>
      <c r="R28">
        <v>359</v>
      </c>
      <c r="U28" t="s">
        <v>707</v>
      </c>
      <c r="V28" t="s">
        <v>931</v>
      </c>
      <c r="W28">
        <v>0</v>
      </c>
      <c r="X28">
        <v>63.3</v>
      </c>
      <c r="Y28" t="s">
        <v>1153</v>
      </c>
      <c r="Z28">
        <v>43.48860356451303</v>
      </c>
      <c r="AA28">
        <v>1342</v>
      </c>
      <c r="AB28">
        <v>33991</v>
      </c>
      <c r="AC28" t="s">
        <v>1377</v>
      </c>
      <c r="AD28">
        <v>82.34</v>
      </c>
      <c r="AE28" t="s">
        <v>1601</v>
      </c>
      <c r="AF28" t="s">
        <v>1822</v>
      </c>
      <c r="AG28">
        <v>728</v>
      </c>
      <c r="AH28">
        <v>190</v>
      </c>
      <c r="AI28">
        <v>872251</v>
      </c>
      <c r="AJ28">
        <v>3.74</v>
      </c>
      <c r="AK28" t="b">
        <v>1</v>
      </c>
    </row>
    <row r="29" spans="1:37">
      <c r="A29" s="1" t="s">
        <v>232</v>
      </c>
      <c r="B29" t="s">
        <v>456</v>
      </c>
      <c r="C29">
        <f>HYPERLINK("https://finance.naver.com/item/coinfo.nhn?code=092460", "A092460")</f>
        <v>0</v>
      </c>
      <c r="D29">
        <f>HYPERLINK("http://comp.fnguide.com/SVO2/ASP/SVD_Consensus.asp?pGB=1&amp;gicode=A092460&amp;cID=&amp;MenuYn=Y&amp;ReportGB=&amp;NewMenuID=108&amp;stkGb=701", "한라IMS")</f>
        <v>0</v>
      </c>
      <c r="E29">
        <v>1</v>
      </c>
      <c r="F29">
        <v>19430</v>
      </c>
      <c r="G29">
        <v>0</v>
      </c>
      <c r="H29">
        <v>11.41</v>
      </c>
      <c r="I29">
        <v>20258</v>
      </c>
      <c r="J29">
        <v>15651</v>
      </c>
      <c r="K29">
        <v>14037</v>
      </c>
      <c r="L29">
        <v>-4.26</v>
      </c>
      <c r="M29">
        <v>19.45</v>
      </c>
      <c r="N29">
        <v>27.76</v>
      </c>
      <c r="O29">
        <v>18.82</v>
      </c>
      <c r="P29" t="b">
        <v>1</v>
      </c>
      <c r="Q29">
        <v>0</v>
      </c>
      <c r="R29">
        <v>1490</v>
      </c>
      <c r="U29" t="s">
        <v>680</v>
      </c>
      <c r="V29" t="s">
        <v>904</v>
      </c>
      <c r="W29">
        <v>0</v>
      </c>
      <c r="X29">
        <v>17.7</v>
      </c>
      <c r="Y29" t="s">
        <v>1126</v>
      </c>
      <c r="Z29">
        <v>49.68282290974844</v>
      </c>
      <c r="AA29">
        <v>3324</v>
      </c>
      <c r="AB29">
        <v>118231</v>
      </c>
      <c r="AC29" t="s">
        <v>1350</v>
      </c>
      <c r="AD29">
        <v>55.47</v>
      </c>
      <c r="AE29" t="s">
        <v>1574</v>
      </c>
      <c r="AF29" t="s">
        <v>1796</v>
      </c>
      <c r="AG29">
        <v>1335</v>
      </c>
      <c r="AH29">
        <v>223</v>
      </c>
      <c r="AJ29">
        <v>3.65</v>
      </c>
      <c r="AK29" t="b">
        <v>1</v>
      </c>
    </row>
    <row r="30" spans="1:37">
      <c r="A30" s="1" t="s">
        <v>202</v>
      </c>
      <c r="B30" t="s">
        <v>426</v>
      </c>
      <c r="C30">
        <f>HYPERLINK("https://finance.naver.com/item/coinfo.nhn?code=005440", "A005440")</f>
        <v>0</v>
      </c>
      <c r="D30">
        <f>HYPERLINK("http://comp.fnguide.com/SVO2/ASP/SVD_Consensus.asp?pGB=1&amp;gicode=A005440&amp;cID=&amp;MenuYn=Y&amp;ReportGB=&amp;NewMenuID=108&amp;stkGb=701", "현대지에프홀딩스")</f>
        <v>0</v>
      </c>
      <c r="E30">
        <v>3</v>
      </c>
      <c r="F30">
        <v>12640</v>
      </c>
      <c r="G30">
        <v>-0.07000000000000001</v>
      </c>
      <c r="H30">
        <v>3.15</v>
      </c>
      <c r="I30">
        <v>52429</v>
      </c>
      <c r="J30">
        <v>38469</v>
      </c>
      <c r="K30">
        <v>33577</v>
      </c>
      <c r="L30">
        <v>-314.79</v>
      </c>
      <c r="M30">
        <v>-204.35</v>
      </c>
      <c r="N30">
        <v>-165.64</v>
      </c>
      <c r="O30">
        <v>21.56</v>
      </c>
      <c r="P30" t="b">
        <v>1</v>
      </c>
      <c r="Q30">
        <v>0</v>
      </c>
      <c r="R30">
        <v>2643</v>
      </c>
      <c r="S30">
        <v>1987</v>
      </c>
      <c r="T30">
        <v>-24.8</v>
      </c>
      <c r="U30" t="s">
        <v>650</v>
      </c>
      <c r="V30" t="s">
        <v>874</v>
      </c>
      <c r="W30">
        <v>-43.80341201804045</v>
      </c>
      <c r="X30">
        <v>-47.4</v>
      </c>
      <c r="Y30" t="s">
        <v>1097</v>
      </c>
      <c r="Z30">
        <v>25.55568232876848</v>
      </c>
      <c r="AA30">
        <v>19706</v>
      </c>
      <c r="AB30">
        <v>193175</v>
      </c>
      <c r="AC30" t="s">
        <v>1320</v>
      </c>
      <c r="AD30">
        <v>77.15000000000001</v>
      </c>
      <c r="AE30" t="s">
        <v>1544</v>
      </c>
      <c r="AF30" t="s">
        <v>1766</v>
      </c>
      <c r="AG30">
        <v>80916</v>
      </c>
      <c r="AH30">
        <v>2741</v>
      </c>
      <c r="AI30">
        <v>3420585</v>
      </c>
      <c r="AJ30">
        <v>3.61</v>
      </c>
      <c r="AK30" t="b">
        <v>1</v>
      </c>
    </row>
    <row r="31" spans="1:37">
      <c r="A31" s="1" t="s">
        <v>169</v>
      </c>
      <c r="B31" t="s">
        <v>393</v>
      </c>
      <c r="C31">
        <f>HYPERLINK("https://finance.naver.com/item/coinfo.nhn?code=035150", "A035150")</f>
        <v>0</v>
      </c>
      <c r="D31">
        <f>HYPERLINK("http://comp.fnguide.com/SVO2/ASP/SVD_Consensus.asp?pGB=1&amp;gicode=A035150&amp;cID=&amp;MenuYn=Y&amp;ReportGB=&amp;NewMenuID=108&amp;stkGb=701", "백산")</f>
        <v>0</v>
      </c>
      <c r="E31">
        <v>3</v>
      </c>
      <c r="F31">
        <v>10270</v>
      </c>
      <c r="G31">
        <v>0.86</v>
      </c>
      <c r="H31">
        <v>8.210000000000001</v>
      </c>
      <c r="I31">
        <v>23039</v>
      </c>
      <c r="J31">
        <v>17696</v>
      </c>
      <c r="K31">
        <v>15823</v>
      </c>
      <c r="L31">
        <v>-124.34</v>
      </c>
      <c r="M31">
        <v>-72.31</v>
      </c>
      <c r="N31">
        <v>-54.07</v>
      </c>
      <c r="O31">
        <v>19.11</v>
      </c>
      <c r="P31" t="b">
        <v>0</v>
      </c>
      <c r="Q31">
        <v>1</v>
      </c>
      <c r="R31">
        <v>1590</v>
      </c>
      <c r="S31">
        <v>2365</v>
      </c>
      <c r="T31">
        <v>48.7</v>
      </c>
      <c r="U31" t="s">
        <v>617</v>
      </c>
      <c r="V31" t="s">
        <v>841</v>
      </c>
      <c r="W31">
        <v>9.566127485011865</v>
      </c>
      <c r="X31">
        <v>2</v>
      </c>
      <c r="Y31" t="s">
        <v>1064</v>
      </c>
      <c r="Z31">
        <v>15.42531005227983</v>
      </c>
      <c r="AA31">
        <v>2057</v>
      </c>
      <c r="AB31">
        <v>23016</v>
      </c>
      <c r="AC31" t="s">
        <v>1287</v>
      </c>
      <c r="AD31">
        <v>61.23</v>
      </c>
      <c r="AE31" t="s">
        <v>1511</v>
      </c>
      <c r="AF31" t="s">
        <v>1733</v>
      </c>
      <c r="AG31">
        <v>5049</v>
      </c>
      <c r="AH31">
        <v>536</v>
      </c>
      <c r="AI31">
        <v>154908</v>
      </c>
      <c r="AJ31">
        <v>3.45</v>
      </c>
      <c r="AK31" t="b">
        <v>1</v>
      </c>
    </row>
    <row r="32" spans="1:37">
      <c r="A32" s="1" t="s">
        <v>125</v>
      </c>
      <c r="B32" t="s">
        <v>349</v>
      </c>
      <c r="C32">
        <f>HYPERLINK("https://finance.naver.com/item/coinfo.nhn?code=071200", "A071200")</f>
        <v>0</v>
      </c>
      <c r="D32">
        <f>HYPERLINK("http://comp.fnguide.com/SVO2/ASP/SVD_Consensus.asp?pGB=1&amp;gicode=A071200&amp;cID=&amp;MenuYn=Y&amp;ReportGB=&amp;NewMenuID=108&amp;stkGb=701", "인피니트헬스케어")</f>
        <v>0</v>
      </c>
      <c r="E32">
        <v>3</v>
      </c>
      <c r="F32">
        <v>7290</v>
      </c>
      <c r="G32">
        <v>0</v>
      </c>
      <c r="H32">
        <v>5.5</v>
      </c>
      <c r="I32">
        <v>13090</v>
      </c>
      <c r="J32">
        <v>10305</v>
      </c>
      <c r="K32">
        <v>9329</v>
      </c>
      <c r="L32">
        <v>-79.56</v>
      </c>
      <c r="M32">
        <v>-41.36</v>
      </c>
      <c r="N32">
        <v>-27.97</v>
      </c>
      <c r="O32">
        <v>17.96</v>
      </c>
      <c r="P32" t="b">
        <v>1</v>
      </c>
      <c r="Q32">
        <v>0</v>
      </c>
      <c r="R32">
        <v>1082</v>
      </c>
      <c r="U32" t="s">
        <v>573</v>
      </c>
      <c r="V32" t="s">
        <v>797</v>
      </c>
      <c r="W32">
        <v>0</v>
      </c>
      <c r="Y32" t="s">
        <v>1020</v>
      </c>
      <c r="Z32">
        <v>0</v>
      </c>
      <c r="AA32">
        <v>1779</v>
      </c>
      <c r="AB32">
        <v>46784</v>
      </c>
      <c r="AC32" t="s">
        <v>1243</v>
      </c>
      <c r="AD32">
        <v>50.6</v>
      </c>
      <c r="AE32" t="s">
        <v>1467</v>
      </c>
      <c r="AF32" t="s">
        <v>1689</v>
      </c>
      <c r="AG32">
        <v>1024</v>
      </c>
      <c r="AH32">
        <v>142</v>
      </c>
      <c r="AI32">
        <v>20005</v>
      </c>
      <c r="AJ32">
        <v>3.36</v>
      </c>
      <c r="AK32" t="b">
        <v>1</v>
      </c>
    </row>
    <row r="33" spans="1:37">
      <c r="A33" s="1" t="s">
        <v>49</v>
      </c>
      <c r="B33" t="s">
        <v>273</v>
      </c>
      <c r="C33">
        <f>HYPERLINK("https://finance.naver.com/item/coinfo.nhn?code=332370", "A332370")</f>
        <v>0</v>
      </c>
      <c r="D33">
        <f>HYPERLINK("http://comp.fnguide.com/SVO2/ASP/SVD_Consensus.asp?pGB=1&amp;gicode=A332370&amp;cID=&amp;MenuYn=Y&amp;ReportGB=&amp;NewMenuID=108&amp;stkGb=701", "아이디피")</f>
        <v>0</v>
      </c>
      <c r="E33">
        <v>3</v>
      </c>
      <c r="F33">
        <v>5100</v>
      </c>
      <c r="G33">
        <v>0.27</v>
      </c>
      <c r="H33">
        <v>6.55</v>
      </c>
      <c r="I33">
        <v>8752</v>
      </c>
      <c r="J33">
        <v>7173</v>
      </c>
      <c r="K33">
        <v>6619</v>
      </c>
      <c r="L33">
        <v>-71.62</v>
      </c>
      <c r="M33">
        <v>-40.64</v>
      </c>
      <c r="N33">
        <v>-29.78</v>
      </c>
      <c r="O33">
        <v>16.32</v>
      </c>
      <c r="P33" t="b">
        <v>0</v>
      </c>
      <c r="Q33">
        <v>1</v>
      </c>
      <c r="R33">
        <v>776</v>
      </c>
      <c r="S33">
        <v>859</v>
      </c>
      <c r="T33">
        <v>10.7</v>
      </c>
      <c r="U33" t="s">
        <v>497</v>
      </c>
      <c r="V33" t="s">
        <v>721</v>
      </c>
      <c r="W33">
        <v>23.95759857927276</v>
      </c>
      <c r="X33">
        <v>60.8</v>
      </c>
      <c r="Y33" t="s">
        <v>945</v>
      </c>
      <c r="Z33">
        <v>31.20223861519731</v>
      </c>
      <c r="AA33">
        <v>677</v>
      </c>
      <c r="AB33">
        <v>43373</v>
      </c>
      <c r="AC33" t="s">
        <v>1167</v>
      </c>
      <c r="AD33">
        <v>58.92</v>
      </c>
      <c r="AE33" t="s">
        <v>1391</v>
      </c>
      <c r="AF33" t="s">
        <v>1615</v>
      </c>
      <c r="AG33">
        <v>491</v>
      </c>
      <c r="AH33">
        <v>109</v>
      </c>
      <c r="AI33">
        <v>1352282</v>
      </c>
      <c r="AJ33">
        <v>3.35</v>
      </c>
      <c r="AK33" t="b">
        <v>1</v>
      </c>
    </row>
    <row r="34" spans="1:37">
      <c r="A34" s="1" t="s">
        <v>181</v>
      </c>
      <c r="B34" t="s">
        <v>405</v>
      </c>
      <c r="C34">
        <f>HYPERLINK("https://finance.naver.com/item/coinfo.nhn?code=015760", "A015760")</f>
        <v>0</v>
      </c>
      <c r="D34">
        <f>HYPERLINK("http://comp.fnguide.com/SVO2/ASP/SVD_Consensus.asp?pGB=1&amp;gicode=A015760&amp;cID=&amp;MenuYn=Y&amp;ReportGB=&amp;NewMenuID=108&amp;stkGb=701", "한국전력")</f>
        <v>0</v>
      </c>
      <c r="E34">
        <v>3</v>
      </c>
      <c r="F34">
        <v>38100</v>
      </c>
      <c r="G34">
        <v>0</v>
      </c>
      <c r="H34">
        <v>3.55</v>
      </c>
      <c r="I34">
        <v>88828</v>
      </c>
      <c r="J34">
        <v>81478</v>
      </c>
      <c r="K34">
        <v>78902</v>
      </c>
      <c r="L34">
        <v>-133.14</v>
      </c>
      <c r="M34">
        <v>-113.85</v>
      </c>
      <c r="N34">
        <v>-107.09</v>
      </c>
      <c r="O34">
        <v>12.77</v>
      </c>
      <c r="P34" t="b">
        <v>1</v>
      </c>
      <c r="Q34">
        <v>0</v>
      </c>
      <c r="R34">
        <v>13311</v>
      </c>
      <c r="S34">
        <v>8903</v>
      </c>
      <c r="T34">
        <v>-33.1</v>
      </c>
      <c r="U34" t="s">
        <v>629</v>
      </c>
      <c r="V34" t="s">
        <v>853</v>
      </c>
      <c r="W34">
        <v>0</v>
      </c>
      <c r="X34">
        <v>7.1</v>
      </c>
      <c r="Y34" t="s">
        <v>1076</v>
      </c>
      <c r="Z34">
        <v>0</v>
      </c>
      <c r="AA34">
        <v>244588</v>
      </c>
      <c r="AB34">
        <v>2208549</v>
      </c>
      <c r="AC34" t="s">
        <v>1299</v>
      </c>
      <c r="AD34">
        <v>51.11</v>
      </c>
      <c r="AE34" t="s">
        <v>1523</v>
      </c>
      <c r="AF34" t="s">
        <v>1745</v>
      </c>
      <c r="AG34">
        <v>974293</v>
      </c>
      <c r="AH34">
        <v>134906</v>
      </c>
      <c r="AJ34">
        <v>3.27</v>
      </c>
      <c r="AK34" t="b">
        <v>1</v>
      </c>
    </row>
    <row r="35" spans="1:37">
      <c r="A35" s="1" t="s">
        <v>171</v>
      </c>
      <c r="B35" t="s">
        <v>395</v>
      </c>
      <c r="C35">
        <f>HYPERLINK("https://finance.naver.com/item/coinfo.nhn?code=009770", "A009770")</f>
        <v>0</v>
      </c>
      <c r="D35">
        <f>HYPERLINK("http://comp.fnguide.com/SVO2/ASP/SVD_Consensus.asp?pGB=1&amp;gicode=A009770&amp;cID=&amp;MenuYn=Y&amp;ReportGB=&amp;NewMenuID=108&amp;stkGb=701", "삼정펄프")</f>
        <v>0</v>
      </c>
      <c r="E35">
        <v>3</v>
      </c>
      <c r="F35">
        <v>26250</v>
      </c>
      <c r="G35">
        <v>0</v>
      </c>
      <c r="H35">
        <v>2.48</v>
      </c>
      <c r="I35">
        <v>127782</v>
      </c>
      <c r="J35">
        <v>120864</v>
      </c>
      <c r="K35">
        <v>118440</v>
      </c>
      <c r="L35">
        <v>-386.79</v>
      </c>
      <c r="M35">
        <v>-360.44</v>
      </c>
      <c r="N35">
        <v>-351.2</v>
      </c>
      <c r="O35">
        <v>12.01</v>
      </c>
      <c r="P35" t="b">
        <v>0</v>
      </c>
      <c r="Q35">
        <v>0</v>
      </c>
      <c r="R35">
        <v>12556</v>
      </c>
      <c r="U35" t="s">
        <v>619</v>
      </c>
      <c r="V35" t="s">
        <v>843</v>
      </c>
      <c r="W35">
        <v>0</v>
      </c>
      <c r="Y35" t="s">
        <v>1066</v>
      </c>
      <c r="Z35">
        <v>0</v>
      </c>
      <c r="AA35">
        <v>656</v>
      </c>
      <c r="AB35">
        <v>1041</v>
      </c>
      <c r="AC35" t="s">
        <v>1289</v>
      </c>
      <c r="AD35">
        <v>73.93000000000001</v>
      </c>
      <c r="AE35" t="s">
        <v>1513</v>
      </c>
      <c r="AF35" t="s">
        <v>1735</v>
      </c>
      <c r="AG35">
        <v>1486</v>
      </c>
      <c r="AH35">
        <v>-14</v>
      </c>
      <c r="AJ35">
        <v>3.22</v>
      </c>
      <c r="AK35" t="b">
        <v>1</v>
      </c>
    </row>
    <row r="36" spans="1:37">
      <c r="A36" s="1" t="s">
        <v>73</v>
      </c>
      <c r="B36" t="s">
        <v>297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2230</v>
      </c>
      <c r="G36">
        <v>0</v>
      </c>
      <c r="H36">
        <v>6.03</v>
      </c>
      <c r="I36">
        <v>8005</v>
      </c>
      <c r="J36">
        <v>6854</v>
      </c>
      <c r="K36">
        <v>6451</v>
      </c>
      <c r="L36">
        <v>-258.95</v>
      </c>
      <c r="M36">
        <v>-207.36</v>
      </c>
      <c r="N36">
        <v>-189.28</v>
      </c>
      <c r="O36">
        <v>14.78</v>
      </c>
      <c r="P36" t="b">
        <v>1</v>
      </c>
      <c r="Q36">
        <v>0</v>
      </c>
      <c r="R36">
        <v>530</v>
      </c>
      <c r="U36" t="s">
        <v>521</v>
      </c>
      <c r="V36" t="s">
        <v>745</v>
      </c>
      <c r="W36">
        <v>0</v>
      </c>
      <c r="X36">
        <v>11.4</v>
      </c>
      <c r="Y36" t="s">
        <v>969</v>
      </c>
      <c r="Z36">
        <v>-1.316451232335525</v>
      </c>
      <c r="AA36">
        <v>5125</v>
      </c>
      <c r="AB36">
        <v>1173356</v>
      </c>
      <c r="AC36" t="s">
        <v>1191</v>
      </c>
      <c r="AD36">
        <v>59.84</v>
      </c>
      <c r="AE36" t="s">
        <v>1415</v>
      </c>
      <c r="AF36" t="s">
        <v>1639</v>
      </c>
      <c r="AG36">
        <v>11001</v>
      </c>
      <c r="AH36">
        <v>1444</v>
      </c>
      <c r="AI36">
        <v>44439842</v>
      </c>
      <c r="AJ36">
        <v>3.13</v>
      </c>
      <c r="AK36" t="b">
        <v>1</v>
      </c>
    </row>
    <row r="37" spans="1:37">
      <c r="A37" s="1" t="s">
        <v>134</v>
      </c>
      <c r="B37" t="s">
        <v>358</v>
      </c>
      <c r="C37">
        <f>HYPERLINK("https://finance.naver.com/item/coinfo.nhn?code=032190", "A032190")</f>
        <v>0</v>
      </c>
      <c r="D37">
        <f>HYPERLINK("http://comp.fnguide.com/SVO2/ASP/SVD_Consensus.asp?pGB=1&amp;gicode=A032190&amp;cID=&amp;MenuYn=Y&amp;ReportGB=&amp;NewMenuID=108&amp;stkGb=701", "다우데이타")</f>
        <v>0</v>
      </c>
      <c r="E37">
        <v>3</v>
      </c>
      <c r="F37">
        <v>19330</v>
      </c>
      <c r="G37">
        <v>0</v>
      </c>
      <c r="H37">
        <v>3.22</v>
      </c>
      <c r="I37">
        <v>49159</v>
      </c>
      <c r="J37">
        <v>45369</v>
      </c>
      <c r="K37">
        <v>44041</v>
      </c>
      <c r="L37">
        <v>-154.31</v>
      </c>
      <c r="M37">
        <v>-134.71</v>
      </c>
      <c r="N37">
        <v>-127.84</v>
      </c>
      <c r="O37">
        <v>12.62</v>
      </c>
      <c r="P37" t="b">
        <v>1</v>
      </c>
      <c r="Q37">
        <v>0</v>
      </c>
      <c r="R37">
        <v>5713</v>
      </c>
      <c r="U37" t="s">
        <v>582</v>
      </c>
      <c r="V37" t="s">
        <v>806</v>
      </c>
      <c r="W37">
        <v>0</v>
      </c>
      <c r="X37">
        <v>82.40000000000001</v>
      </c>
      <c r="Y37" t="s">
        <v>1029</v>
      </c>
      <c r="Z37">
        <v>22.11850701721445</v>
      </c>
      <c r="AA37">
        <v>7403</v>
      </c>
      <c r="AB37">
        <v>113349</v>
      </c>
      <c r="AC37" t="s">
        <v>1252</v>
      </c>
      <c r="AD37">
        <v>63.29</v>
      </c>
      <c r="AE37" t="s">
        <v>1476</v>
      </c>
      <c r="AF37" t="s">
        <v>1698</v>
      </c>
      <c r="AG37">
        <v>180520</v>
      </c>
      <c r="AH37">
        <v>15999</v>
      </c>
      <c r="AJ37">
        <v>2.99</v>
      </c>
      <c r="AK37" t="b">
        <v>1</v>
      </c>
    </row>
    <row r="38" spans="1:37">
      <c r="A38" s="1" t="s">
        <v>200</v>
      </c>
      <c r="B38" t="s">
        <v>424</v>
      </c>
      <c r="C38">
        <f>HYPERLINK("https://finance.naver.com/item/coinfo.nhn?code=008260", "A008260")</f>
        <v>0</v>
      </c>
      <c r="D38">
        <f>HYPERLINK("http://comp.fnguide.com/SVO2/ASP/SVD_Consensus.asp?pGB=1&amp;gicode=A008260&amp;cID=&amp;MenuYn=Y&amp;ReportGB=&amp;NewMenuID=108&amp;stkGb=701", "NI스틸")</f>
        <v>0</v>
      </c>
      <c r="E38">
        <v>3</v>
      </c>
      <c r="F38">
        <v>3035</v>
      </c>
      <c r="G38">
        <v>0</v>
      </c>
      <c r="H38">
        <v>5.28</v>
      </c>
      <c r="I38">
        <v>9853</v>
      </c>
      <c r="J38">
        <v>9713</v>
      </c>
      <c r="K38">
        <v>9663</v>
      </c>
      <c r="L38">
        <v>-224.65</v>
      </c>
      <c r="M38">
        <v>-220.02</v>
      </c>
      <c r="N38">
        <v>-218.4</v>
      </c>
      <c r="O38">
        <v>11.09</v>
      </c>
      <c r="P38" t="b">
        <v>1</v>
      </c>
      <c r="Q38">
        <v>0</v>
      </c>
      <c r="R38">
        <v>663</v>
      </c>
      <c r="U38" t="s">
        <v>648</v>
      </c>
      <c r="V38" t="s">
        <v>872</v>
      </c>
      <c r="W38">
        <v>0</v>
      </c>
      <c r="X38">
        <v>-2</v>
      </c>
      <c r="Y38" t="s">
        <v>1095</v>
      </c>
      <c r="Z38">
        <v>-3.361411245299306</v>
      </c>
      <c r="AA38">
        <v>868</v>
      </c>
      <c r="AB38">
        <v>59095</v>
      </c>
      <c r="AC38" t="s">
        <v>1318</v>
      </c>
      <c r="AD38">
        <v>59</v>
      </c>
      <c r="AE38" t="s">
        <v>1542</v>
      </c>
      <c r="AF38" t="s">
        <v>1764</v>
      </c>
      <c r="AG38">
        <v>2479</v>
      </c>
      <c r="AH38">
        <v>301</v>
      </c>
      <c r="AI38">
        <v>412813</v>
      </c>
      <c r="AJ38">
        <v>2.86</v>
      </c>
      <c r="AK38" t="b">
        <v>1</v>
      </c>
    </row>
    <row r="39" spans="1:37">
      <c r="A39" s="1" t="s">
        <v>224</v>
      </c>
      <c r="B39" t="s">
        <v>448</v>
      </c>
      <c r="C39">
        <f>HYPERLINK("https://finance.naver.com/item/coinfo.nhn?code=472850", "A472850")</f>
        <v>0</v>
      </c>
      <c r="D39">
        <f>HYPERLINK("http://comp.fnguide.com/SVO2/ASP/SVD_Consensus.asp?pGB=1&amp;gicode=A472850&amp;cID=&amp;MenuYn=Y&amp;ReportGB=&amp;NewMenuID=108&amp;stkGb=701", "폰드그룹")</f>
        <v>0</v>
      </c>
      <c r="E39">
        <v>2</v>
      </c>
      <c r="F39">
        <v>4230</v>
      </c>
      <c r="G39">
        <v>0</v>
      </c>
      <c r="H39">
        <v>9.44</v>
      </c>
      <c r="I39">
        <v>4504</v>
      </c>
      <c r="J39">
        <v>4274</v>
      </c>
      <c r="K39">
        <v>4194</v>
      </c>
      <c r="L39">
        <v>-6.48</v>
      </c>
      <c r="M39">
        <v>-1.05</v>
      </c>
      <c r="N39">
        <v>0.86</v>
      </c>
      <c r="O39">
        <v>11.93</v>
      </c>
      <c r="P39" t="b">
        <v>1</v>
      </c>
      <c r="Q39">
        <v>0</v>
      </c>
      <c r="R39">
        <v>600</v>
      </c>
      <c r="U39" t="s">
        <v>672</v>
      </c>
      <c r="V39" t="s">
        <v>896</v>
      </c>
      <c r="W39">
        <v>0</v>
      </c>
      <c r="X39">
        <v>34.9</v>
      </c>
      <c r="Y39" t="s">
        <v>1119</v>
      </c>
      <c r="Z39">
        <v>0</v>
      </c>
      <c r="AA39">
        <v>2435</v>
      </c>
      <c r="AB39">
        <v>67854</v>
      </c>
      <c r="AC39" t="s">
        <v>1342</v>
      </c>
      <c r="AD39">
        <v>76.45</v>
      </c>
      <c r="AE39" t="s">
        <v>1566</v>
      </c>
      <c r="AF39" t="s">
        <v>1788</v>
      </c>
      <c r="AG39">
        <v>4856</v>
      </c>
      <c r="AH39">
        <v>574</v>
      </c>
      <c r="AI39">
        <v>17956</v>
      </c>
      <c r="AJ39">
        <v>2.78</v>
      </c>
      <c r="AK39" t="b">
        <v>1</v>
      </c>
    </row>
    <row r="40" spans="1:37">
      <c r="A40" s="1" t="s">
        <v>80</v>
      </c>
      <c r="B40" t="s">
        <v>304</v>
      </c>
      <c r="C40">
        <f>HYPERLINK("https://finance.naver.com/item/coinfo.nhn?code=019010", "A019010")</f>
        <v>0</v>
      </c>
      <c r="D40">
        <f>HYPERLINK("http://comp.fnguide.com/SVO2/ASP/SVD_Consensus.asp?pGB=1&amp;gicode=A019010&amp;cID=&amp;MenuYn=Y&amp;ReportGB=&amp;NewMenuID=108&amp;stkGb=701", "베뉴지")</f>
        <v>0</v>
      </c>
      <c r="E40">
        <v>3</v>
      </c>
      <c r="F40">
        <v>5150</v>
      </c>
      <c r="G40">
        <v>0</v>
      </c>
      <c r="H40">
        <v>1.38</v>
      </c>
      <c r="I40">
        <v>12897</v>
      </c>
      <c r="J40">
        <v>11202</v>
      </c>
      <c r="K40">
        <v>10608</v>
      </c>
      <c r="L40">
        <v>-150.42</v>
      </c>
      <c r="M40">
        <v>-117.51</v>
      </c>
      <c r="N40">
        <v>-105.98</v>
      </c>
      <c r="O40">
        <v>14.32</v>
      </c>
      <c r="P40" t="b">
        <v>1</v>
      </c>
      <c r="Q40">
        <v>0</v>
      </c>
      <c r="R40">
        <v>1945</v>
      </c>
      <c r="U40" t="s">
        <v>528</v>
      </c>
      <c r="V40" t="s">
        <v>752</v>
      </c>
      <c r="W40">
        <v>0</v>
      </c>
      <c r="X40">
        <v>510.8</v>
      </c>
      <c r="Y40" t="s">
        <v>976</v>
      </c>
      <c r="Z40">
        <v>0</v>
      </c>
      <c r="AA40">
        <v>2482</v>
      </c>
      <c r="AB40">
        <v>124495</v>
      </c>
      <c r="AC40" t="s">
        <v>1198</v>
      </c>
      <c r="AD40">
        <v>51.96</v>
      </c>
      <c r="AE40" t="s">
        <v>1422</v>
      </c>
      <c r="AF40" t="s">
        <v>1646</v>
      </c>
      <c r="AG40">
        <v>482</v>
      </c>
      <c r="AH40">
        <v>150</v>
      </c>
      <c r="AI40">
        <v>8000000</v>
      </c>
      <c r="AJ40">
        <v>2.61</v>
      </c>
      <c r="AK40" t="b">
        <v>1</v>
      </c>
    </row>
    <row r="41" spans="1:37">
      <c r="A41" s="1" t="s">
        <v>208</v>
      </c>
      <c r="B41" t="s">
        <v>432</v>
      </c>
      <c r="C41">
        <f>HYPERLINK("https://finance.naver.com/item/coinfo.nhn?code=003480", "A003480")</f>
        <v>0</v>
      </c>
      <c r="D41">
        <f>HYPERLINK("http://comp.fnguide.com/SVO2/ASP/SVD_Consensus.asp?pGB=1&amp;gicode=A003480&amp;cID=&amp;MenuYn=Y&amp;ReportGB=&amp;NewMenuID=108&amp;stkGb=701", "한진중공업홀딩스")</f>
        <v>0</v>
      </c>
      <c r="E41">
        <v>3</v>
      </c>
      <c r="F41">
        <v>4910</v>
      </c>
      <c r="G41">
        <v>0</v>
      </c>
      <c r="H41">
        <v>2.33</v>
      </c>
      <c r="I41">
        <v>19947</v>
      </c>
      <c r="J41">
        <v>18400</v>
      </c>
      <c r="K41">
        <v>17859</v>
      </c>
      <c r="L41">
        <v>-306.24</v>
      </c>
      <c r="M41">
        <v>-274.75</v>
      </c>
      <c r="N41">
        <v>-263.72</v>
      </c>
      <c r="O41">
        <v>12.63</v>
      </c>
      <c r="P41" t="b">
        <v>1</v>
      </c>
      <c r="Q41">
        <v>0</v>
      </c>
      <c r="R41">
        <v>2001</v>
      </c>
      <c r="U41" t="s">
        <v>656</v>
      </c>
      <c r="V41" t="s">
        <v>880</v>
      </c>
      <c r="W41">
        <v>0</v>
      </c>
      <c r="X41">
        <v>26.1</v>
      </c>
      <c r="Y41" t="s">
        <v>1103</v>
      </c>
      <c r="Z41">
        <v>0</v>
      </c>
      <c r="AA41">
        <v>1450</v>
      </c>
      <c r="AB41">
        <v>79513</v>
      </c>
      <c r="AC41" t="s">
        <v>1326</v>
      </c>
      <c r="AD41">
        <v>50.48</v>
      </c>
      <c r="AE41" t="s">
        <v>1550</v>
      </c>
      <c r="AF41" t="s">
        <v>1772</v>
      </c>
      <c r="AG41">
        <v>12017</v>
      </c>
      <c r="AH41">
        <v>733</v>
      </c>
      <c r="AI41">
        <v>3440308</v>
      </c>
      <c r="AJ41">
        <v>2.58</v>
      </c>
      <c r="AK41" t="b">
        <v>1</v>
      </c>
    </row>
    <row r="42" spans="1:37">
      <c r="A42" s="1" t="s">
        <v>154</v>
      </c>
      <c r="B42" t="s">
        <v>378</v>
      </c>
      <c r="C42">
        <f>HYPERLINK("https://finance.naver.com/item/coinfo.nhn?code=111770", "A111770")</f>
        <v>0</v>
      </c>
      <c r="D42">
        <f>HYPERLINK("http://comp.fnguide.com/SVO2/ASP/SVD_Consensus.asp?pGB=1&amp;gicode=A111770&amp;cID=&amp;MenuYn=Y&amp;ReportGB=&amp;NewMenuID=108&amp;stkGb=701", "영원무역")</f>
        <v>0</v>
      </c>
      <c r="E42">
        <v>3</v>
      </c>
      <c r="F42">
        <v>79800</v>
      </c>
      <c r="G42">
        <v>1.73</v>
      </c>
      <c r="H42">
        <v>7.36</v>
      </c>
      <c r="I42">
        <v>118298</v>
      </c>
      <c r="J42">
        <v>106497</v>
      </c>
      <c r="K42">
        <v>102362</v>
      </c>
      <c r="L42">
        <v>-48.24</v>
      </c>
      <c r="M42">
        <v>-33.46</v>
      </c>
      <c r="N42">
        <v>-28.27</v>
      </c>
      <c r="O42">
        <v>13.28</v>
      </c>
      <c r="P42" t="b">
        <v>1</v>
      </c>
      <c r="Q42">
        <v>2</v>
      </c>
      <c r="R42">
        <v>11109</v>
      </c>
      <c r="S42">
        <v>13181</v>
      </c>
      <c r="T42">
        <v>18.7</v>
      </c>
      <c r="U42" t="s">
        <v>602</v>
      </c>
      <c r="V42" t="s">
        <v>826</v>
      </c>
      <c r="W42">
        <v>4.256575193862466</v>
      </c>
      <c r="X42">
        <v>68.90000000000001</v>
      </c>
      <c r="Y42" t="s">
        <v>1049</v>
      </c>
      <c r="Z42">
        <v>22.79114711174488</v>
      </c>
      <c r="AA42">
        <v>35361</v>
      </c>
      <c r="AB42">
        <v>61541</v>
      </c>
      <c r="AC42" t="s">
        <v>1272</v>
      </c>
      <c r="AD42">
        <v>50.75</v>
      </c>
      <c r="AE42" t="s">
        <v>1496</v>
      </c>
      <c r="AF42" t="s">
        <v>1718</v>
      </c>
      <c r="AG42">
        <v>40636</v>
      </c>
      <c r="AH42">
        <v>5144</v>
      </c>
      <c r="AI42">
        <v>1751356</v>
      </c>
      <c r="AJ42">
        <v>2.57</v>
      </c>
      <c r="AK42" t="b">
        <v>1</v>
      </c>
    </row>
    <row r="43" spans="1:37">
      <c r="A43" s="1" t="s">
        <v>206</v>
      </c>
      <c r="B43" t="s">
        <v>430</v>
      </c>
      <c r="C43">
        <f>HYPERLINK("https://finance.naver.com/item/coinfo.nhn?code=378850", "A378850")</f>
        <v>0</v>
      </c>
      <c r="D43">
        <f>HYPERLINK("http://comp.fnguide.com/SVO2/ASP/SVD_Consensus.asp?pGB=1&amp;gicode=A378850&amp;cID=&amp;MenuYn=Y&amp;ReportGB=&amp;NewMenuID=108&amp;stkGb=701", "화승알앤에이")</f>
        <v>0</v>
      </c>
      <c r="E43">
        <v>3</v>
      </c>
      <c r="F43">
        <v>3195</v>
      </c>
      <c r="G43">
        <v>0</v>
      </c>
      <c r="H43">
        <v>3.41</v>
      </c>
      <c r="I43">
        <v>14578</v>
      </c>
      <c r="J43">
        <v>11493</v>
      </c>
      <c r="K43">
        <v>10412</v>
      </c>
      <c r="L43">
        <v>-356.28</v>
      </c>
      <c r="M43">
        <v>-259.71</v>
      </c>
      <c r="N43">
        <v>-225.87</v>
      </c>
      <c r="O43">
        <v>17.9</v>
      </c>
      <c r="P43" t="b">
        <v>1</v>
      </c>
      <c r="Q43">
        <v>0</v>
      </c>
      <c r="R43">
        <v>960</v>
      </c>
      <c r="U43" t="s">
        <v>654</v>
      </c>
      <c r="V43" t="s">
        <v>878</v>
      </c>
      <c r="W43">
        <v>0</v>
      </c>
      <c r="X43">
        <v>115.5</v>
      </c>
      <c r="Y43" t="s">
        <v>1101</v>
      </c>
      <c r="Z43">
        <v>36.43375321972242</v>
      </c>
      <c r="AA43">
        <v>607</v>
      </c>
      <c r="AB43">
        <v>65518</v>
      </c>
      <c r="AC43" t="s">
        <v>1324</v>
      </c>
      <c r="AD43">
        <v>55.97</v>
      </c>
      <c r="AE43" t="s">
        <v>1548</v>
      </c>
      <c r="AF43" t="s">
        <v>1770</v>
      </c>
      <c r="AG43">
        <v>7146</v>
      </c>
      <c r="AH43">
        <v>271</v>
      </c>
      <c r="AI43">
        <v>2837</v>
      </c>
      <c r="AJ43">
        <v>2.29</v>
      </c>
      <c r="AK43" t="b">
        <v>1</v>
      </c>
    </row>
    <row r="44" spans="1:37">
      <c r="A44" s="1" t="s">
        <v>157</v>
      </c>
      <c r="B44" t="s">
        <v>381</v>
      </c>
      <c r="C44">
        <f>HYPERLINK("https://finance.naver.com/item/coinfo.nhn?code=268280", "A268280")</f>
        <v>0</v>
      </c>
      <c r="D44">
        <f>HYPERLINK("http://comp.fnguide.com/SVO2/ASP/SVD_Consensus.asp?pGB=1&amp;gicode=A268280&amp;cID=&amp;MenuYn=Y&amp;ReportGB=&amp;NewMenuID=108&amp;stkGb=701", "미원에스씨")</f>
        <v>0</v>
      </c>
      <c r="E44">
        <v>3</v>
      </c>
      <c r="F44">
        <v>96200</v>
      </c>
      <c r="G44">
        <v>0</v>
      </c>
      <c r="H44">
        <v>11.44</v>
      </c>
      <c r="I44">
        <v>109317</v>
      </c>
      <c r="J44">
        <v>100705</v>
      </c>
      <c r="K44">
        <v>97688</v>
      </c>
      <c r="L44">
        <v>-13.63</v>
      </c>
      <c r="M44">
        <v>-4.68</v>
      </c>
      <c r="N44">
        <v>-1.55</v>
      </c>
      <c r="O44">
        <v>12.66</v>
      </c>
      <c r="P44" t="b">
        <v>0</v>
      </c>
      <c r="Q44">
        <v>0</v>
      </c>
      <c r="R44">
        <v>12261</v>
      </c>
      <c r="U44" t="s">
        <v>605</v>
      </c>
      <c r="V44" t="s">
        <v>829</v>
      </c>
      <c r="W44">
        <v>0</v>
      </c>
      <c r="X44">
        <v>31.2</v>
      </c>
      <c r="Y44" t="s">
        <v>1052</v>
      </c>
      <c r="Z44">
        <v>0.5429047728179759</v>
      </c>
      <c r="AA44">
        <v>4810</v>
      </c>
      <c r="AB44">
        <v>1693</v>
      </c>
      <c r="AC44" t="s">
        <v>1275</v>
      </c>
      <c r="AD44">
        <v>73.54000000000001</v>
      </c>
      <c r="AE44" t="s">
        <v>1499</v>
      </c>
      <c r="AF44" t="s">
        <v>1721</v>
      </c>
      <c r="AG44">
        <v>5321</v>
      </c>
      <c r="AH44">
        <v>655</v>
      </c>
      <c r="AI44">
        <v>185569</v>
      </c>
      <c r="AJ44">
        <v>2.28</v>
      </c>
      <c r="AK44" t="b">
        <v>1</v>
      </c>
    </row>
    <row r="45" spans="1:37">
      <c r="A45" s="1" t="s">
        <v>195</v>
      </c>
      <c r="B45" t="s">
        <v>419</v>
      </c>
      <c r="C45">
        <f>HYPERLINK("https://finance.naver.com/item/coinfo.nhn?code=212560", "A212560")</f>
        <v>0</v>
      </c>
      <c r="D45">
        <f>HYPERLINK("http://comp.fnguide.com/SVO2/ASP/SVD_Consensus.asp?pGB=1&amp;gicode=A212560&amp;cID=&amp;MenuYn=Y&amp;ReportGB=&amp;NewMenuID=108&amp;stkGb=701", "네오오토")</f>
        <v>0</v>
      </c>
      <c r="E45">
        <v>3</v>
      </c>
      <c r="F45">
        <v>10710</v>
      </c>
      <c r="G45">
        <v>0</v>
      </c>
      <c r="H45">
        <v>7.02</v>
      </c>
      <c r="I45">
        <v>13738</v>
      </c>
      <c r="J45">
        <v>12625</v>
      </c>
      <c r="K45">
        <v>12235</v>
      </c>
      <c r="L45">
        <v>-28.28</v>
      </c>
      <c r="M45">
        <v>-17.88</v>
      </c>
      <c r="N45">
        <v>-14.24</v>
      </c>
      <c r="O45">
        <v>12.72</v>
      </c>
      <c r="P45" t="b">
        <v>1</v>
      </c>
      <c r="Q45">
        <v>0</v>
      </c>
      <c r="R45">
        <v>1260</v>
      </c>
      <c r="U45" t="s">
        <v>643</v>
      </c>
      <c r="V45" t="s">
        <v>867</v>
      </c>
      <c r="W45">
        <v>0</v>
      </c>
      <c r="X45">
        <v>17.5</v>
      </c>
      <c r="Y45" t="s">
        <v>1090</v>
      </c>
      <c r="Z45">
        <v>21.63325480233003</v>
      </c>
      <c r="AA45">
        <v>1265</v>
      </c>
      <c r="AB45">
        <v>201880</v>
      </c>
      <c r="AC45" t="s">
        <v>1313</v>
      </c>
      <c r="AD45">
        <v>51.18</v>
      </c>
      <c r="AE45" t="s">
        <v>1537</v>
      </c>
      <c r="AF45" t="s">
        <v>1759</v>
      </c>
      <c r="AG45">
        <v>2321</v>
      </c>
      <c r="AH45">
        <v>137</v>
      </c>
      <c r="AI45">
        <v>406</v>
      </c>
      <c r="AJ45">
        <v>2.26</v>
      </c>
      <c r="AK45" t="b">
        <v>1</v>
      </c>
    </row>
    <row r="46" spans="1:37">
      <c r="A46" s="1" t="s">
        <v>164</v>
      </c>
      <c r="B46" t="s">
        <v>388</v>
      </c>
      <c r="C46">
        <f>HYPERLINK("https://finance.naver.com/item/coinfo.nhn?code=317450", "A317450")</f>
        <v>0</v>
      </c>
      <c r="D46">
        <f>HYPERLINK("http://comp.fnguide.com/SVO2/ASP/SVD_Consensus.asp?pGB=1&amp;gicode=A317450&amp;cID=&amp;MenuYn=Y&amp;ReportGB=&amp;NewMenuID=108&amp;stkGb=701", "명인제약")</f>
        <v>0</v>
      </c>
      <c r="E46">
        <v>3</v>
      </c>
      <c r="F46">
        <v>44100</v>
      </c>
      <c r="G46">
        <v>0</v>
      </c>
      <c r="H46">
        <v>10.26</v>
      </c>
      <c r="I46">
        <v>67934</v>
      </c>
      <c r="J46">
        <v>60727</v>
      </c>
      <c r="K46">
        <v>58202</v>
      </c>
      <c r="L46">
        <v>-54.05</v>
      </c>
      <c r="M46">
        <v>-37.7</v>
      </c>
      <c r="N46">
        <v>-31.98</v>
      </c>
      <c r="O46">
        <v>13.47</v>
      </c>
      <c r="P46" t="b">
        <v>1</v>
      </c>
      <c r="Q46">
        <v>0</v>
      </c>
      <c r="R46">
        <v>6718</v>
      </c>
      <c r="U46" t="s">
        <v>612</v>
      </c>
      <c r="V46" t="s">
        <v>836</v>
      </c>
      <c r="W46">
        <v>0</v>
      </c>
      <c r="X46">
        <v>-6.4</v>
      </c>
      <c r="Y46" t="s">
        <v>1059</v>
      </c>
      <c r="Z46">
        <v>3.346586720458045</v>
      </c>
      <c r="AA46">
        <v>6439</v>
      </c>
      <c r="AB46">
        <v>15938</v>
      </c>
      <c r="AC46" t="s">
        <v>1282</v>
      </c>
      <c r="AD46">
        <v>73.47</v>
      </c>
      <c r="AE46" t="s">
        <v>1506</v>
      </c>
      <c r="AF46" t="s">
        <v>1728</v>
      </c>
      <c r="AG46">
        <v>2873</v>
      </c>
      <c r="AH46">
        <v>925</v>
      </c>
      <c r="AJ46">
        <v>2.18</v>
      </c>
      <c r="AK46" t="b">
        <v>1</v>
      </c>
    </row>
    <row r="47" spans="1:37">
      <c r="A47" s="1" t="s">
        <v>191</v>
      </c>
      <c r="B47" t="s">
        <v>415</v>
      </c>
      <c r="C47">
        <f>HYPERLINK("https://finance.naver.com/item/coinfo.nhn?code=066620", "A066620")</f>
        <v>0</v>
      </c>
      <c r="D47">
        <f>HYPERLINK("http://comp.fnguide.com/SVO2/ASP/SVD_Consensus.asp?pGB=1&amp;gicode=A066620&amp;cID=&amp;MenuYn=Y&amp;ReportGB=&amp;NewMenuID=108&amp;stkGb=701", "국보디자인")</f>
        <v>0</v>
      </c>
      <c r="E47">
        <v>3</v>
      </c>
      <c r="F47">
        <v>25850</v>
      </c>
      <c r="G47">
        <v>0</v>
      </c>
      <c r="H47">
        <v>4.42</v>
      </c>
      <c r="I47">
        <v>65198</v>
      </c>
      <c r="J47">
        <v>55962</v>
      </c>
      <c r="K47">
        <v>52726</v>
      </c>
      <c r="L47">
        <v>-152.22</v>
      </c>
      <c r="M47">
        <v>-116.49</v>
      </c>
      <c r="N47">
        <v>-103.97</v>
      </c>
      <c r="O47">
        <v>14.7</v>
      </c>
      <c r="P47" t="b">
        <v>1</v>
      </c>
      <c r="Q47">
        <v>0</v>
      </c>
      <c r="R47">
        <v>5293</v>
      </c>
      <c r="U47" t="s">
        <v>639</v>
      </c>
      <c r="V47" t="s">
        <v>863</v>
      </c>
      <c r="W47">
        <v>0</v>
      </c>
      <c r="X47">
        <v>78.09999999999999</v>
      </c>
      <c r="Y47" t="s">
        <v>1086</v>
      </c>
      <c r="Z47">
        <v>29.33767547045088</v>
      </c>
      <c r="AA47">
        <v>1939</v>
      </c>
      <c r="AB47">
        <v>11441</v>
      </c>
      <c r="AC47" t="s">
        <v>1309</v>
      </c>
      <c r="AD47">
        <v>53.11</v>
      </c>
      <c r="AE47" t="s">
        <v>1533</v>
      </c>
      <c r="AF47" t="s">
        <v>1755</v>
      </c>
      <c r="AG47">
        <v>4389</v>
      </c>
      <c r="AH47">
        <v>458</v>
      </c>
      <c r="AI47">
        <v>733339</v>
      </c>
      <c r="AJ47">
        <v>2.14</v>
      </c>
      <c r="AK47" t="b">
        <v>1</v>
      </c>
    </row>
    <row r="48" spans="1:37">
      <c r="A48" s="1" t="s">
        <v>174</v>
      </c>
      <c r="B48" t="s">
        <v>398</v>
      </c>
      <c r="C48">
        <f>HYPERLINK("https://finance.naver.com/item/coinfo.nhn?code=136490", "A136490")</f>
        <v>0</v>
      </c>
      <c r="D48">
        <f>HYPERLINK("http://comp.fnguide.com/SVO2/ASP/SVD_Consensus.asp?pGB=1&amp;gicode=A136490&amp;cID=&amp;MenuYn=Y&amp;ReportGB=&amp;NewMenuID=108&amp;stkGb=701", "선진")</f>
        <v>0</v>
      </c>
      <c r="E48">
        <v>3</v>
      </c>
      <c r="F48">
        <v>9730</v>
      </c>
      <c r="G48">
        <v>0</v>
      </c>
      <c r="H48">
        <v>1.94</v>
      </c>
      <c r="I48">
        <v>27887</v>
      </c>
      <c r="J48">
        <v>25645</v>
      </c>
      <c r="K48">
        <v>24860</v>
      </c>
      <c r="L48">
        <v>-186.61</v>
      </c>
      <c r="M48">
        <v>-163.57</v>
      </c>
      <c r="N48">
        <v>-155.49</v>
      </c>
      <c r="O48">
        <v>12.71</v>
      </c>
      <c r="P48" t="b">
        <v>1</v>
      </c>
      <c r="Q48">
        <v>0</v>
      </c>
      <c r="R48">
        <v>5002</v>
      </c>
      <c r="U48" t="s">
        <v>622</v>
      </c>
      <c r="V48" t="s">
        <v>846</v>
      </c>
      <c r="W48">
        <v>0</v>
      </c>
      <c r="X48">
        <v>-14.2</v>
      </c>
      <c r="Y48" t="s">
        <v>1069</v>
      </c>
      <c r="Z48">
        <v>26.09148639002598</v>
      </c>
      <c r="AA48">
        <v>2314</v>
      </c>
      <c r="AB48">
        <v>77622</v>
      </c>
      <c r="AC48" t="s">
        <v>1292</v>
      </c>
      <c r="AD48">
        <v>50.06</v>
      </c>
      <c r="AE48" t="s">
        <v>1516</v>
      </c>
      <c r="AF48" t="s">
        <v>1738</v>
      </c>
      <c r="AG48">
        <v>18957</v>
      </c>
      <c r="AH48">
        <v>1792</v>
      </c>
      <c r="AI48">
        <v>396</v>
      </c>
      <c r="AJ48">
        <v>2.06</v>
      </c>
      <c r="AK48" t="b">
        <v>1</v>
      </c>
    </row>
    <row r="49" spans="1:37">
      <c r="A49" s="1" t="s">
        <v>209</v>
      </c>
      <c r="B49" t="s">
        <v>433</v>
      </c>
      <c r="C49">
        <f>HYPERLINK("https://finance.naver.com/item/coinfo.nhn?code=010690", "A010690")</f>
        <v>0</v>
      </c>
      <c r="D49">
        <f>HYPERLINK("http://comp.fnguide.com/SVO2/ASP/SVD_Consensus.asp?pGB=1&amp;gicode=A010690&amp;cID=&amp;MenuYn=Y&amp;ReportGB=&amp;NewMenuID=108&amp;stkGb=701", "화신")</f>
        <v>0</v>
      </c>
      <c r="E49">
        <v>3</v>
      </c>
      <c r="F49">
        <v>9360</v>
      </c>
      <c r="G49">
        <v>0.99</v>
      </c>
      <c r="H49">
        <v>4.35</v>
      </c>
      <c r="I49">
        <v>19883</v>
      </c>
      <c r="J49">
        <v>18050</v>
      </c>
      <c r="K49">
        <v>17408</v>
      </c>
      <c r="L49">
        <v>-112.43</v>
      </c>
      <c r="M49">
        <v>-92.84999999999999</v>
      </c>
      <c r="N49">
        <v>-85.98</v>
      </c>
      <c r="O49">
        <v>13.05</v>
      </c>
      <c r="P49" t="b">
        <v>1</v>
      </c>
      <c r="Q49">
        <v>2</v>
      </c>
      <c r="R49">
        <v>1910</v>
      </c>
      <c r="S49">
        <v>2520</v>
      </c>
      <c r="T49">
        <v>31.9</v>
      </c>
      <c r="U49" t="s">
        <v>657</v>
      </c>
      <c r="V49" t="s">
        <v>881</v>
      </c>
      <c r="W49">
        <v>4.403676875390561</v>
      </c>
      <c r="X49">
        <v>-2.8</v>
      </c>
      <c r="Y49" t="s">
        <v>1104</v>
      </c>
      <c r="Z49">
        <v>21.58859658309689</v>
      </c>
      <c r="AA49">
        <v>3269</v>
      </c>
      <c r="AB49">
        <v>223327</v>
      </c>
      <c r="AC49" t="s">
        <v>1327</v>
      </c>
      <c r="AD49">
        <v>50.41</v>
      </c>
      <c r="AE49" t="s">
        <v>1551</v>
      </c>
      <c r="AF49" t="s">
        <v>1773</v>
      </c>
      <c r="AG49">
        <v>19625</v>
      </c>
      <c r="AH49">
        <v>1024</v>
      </c>
      <c r="AI49">
        <v>171969</v>
      </c>
      <c r="AJ49">
        <v>2.05</v>
      </c>
      <c r="AK49" t="b">
        <v>1</v>
      </c>
    </row>
    <row r="50" spans="1:37">
      <c r="A50" s="1" t="s">
        <v>173</v>
      </c>
      <c r="B50" t="s">
        <v>397</v>
      </c>
      <c r="C50">
        <f>HYPERLINK("https://finance.naver.com/item/coinfo.nhn?code=200880", "A200880")</f>
        <v>0</v>
      </c>
      <c r="D50">
        <f>HYPERLINK("http://comp.fnguide.com/SVO2/ASP/SVD_Consensus.asp?pGB=1&amp;gicode=A200880&amp;cID=&amp;MenuYn=Y&amp;ReportGB=&amp;NewMenuID=108&amp;stkGb=701", "서연이화")</f>
        <v>0</v>
      </c>
      <c r="E50">
        <v>3</v>
      </c>
      <c r="F50">
        <v>12410</v>
      </c>
      <c r="G50">
        <v>0</v>
      </c>
      <c r="H50">
        <v>5.86</v>
      </c>
      <c r="I50">
        <v>43697</v>
      </c>
      <c r="J50">
        <v>43511</v>
      </c>
      <c r="K50">
        <v>43446</v>
      </c>
      <c r="L50">
        <v>-252.11</v>
      </c>
      <c r="M50">
        <v>-250.61</v>
      </c>
      <c r="N50">
        <v>-250.09</v>
      </c>
      <c r="O50">
        <v>10.88</v>
      </c>
      <c r="P50" t="b">
        <v>1</v>
      </c>
      <c r="Q50">
        <v>0</v>
      </c>
      <c r="R50">
        <v>2220</v>
      </c>
      <c r="U50" t="s">
        <v>621</v>
      </c>
      <c r="V50" t="s">
        <v>845</v>
      </c>
      <c r="W50">
        <v>0</v>
      </c>
      <c r="X50">
        <v>188.2</v>
      </c>
      <c r="Y50" t="s">
        <v>1068</v>
      </c>
      <c r="Z50">
        <v>45.74451277669227</v>
      </c>
      <c r="AA50">
        <v>3354</v>
      </c>
      <c r="AB50">
        <v>88276</v>
      </c>
      <c r="AC50" t="s">
        <v>1291</v>
      </c>
      <c r="AD50">
        <v>57.06</v>
      </c>
      <c r="AE50" t="s">
        <v>1515</v>
      </c>
      <c r="AF50" t="s">
        <v>1737</v>
      </c>
      <c r="AG50">
        <v>45053</v>
      </c>
      <c r="AH50">
        <v>1618</v>
      </c>
      <c r="AI50">
        <v>5686</v>
      </c>
      <c r="AJ50">
        <v>1.92</v>
      </c>
      <c r="AK50" t="b">
        <v>1</v>
      </c>
    </row>
    <row r="51" spans="1:37">
      <c r="A51" s="1" t="s">
        <v>121</v>
      </c>
      <c r="B51" t="s">
        <v>345</v>
      </c>
      <c r="C51">
        <f>HYPERLINK("https://finance.naver.com/item/coinfo.nhn?code=465480", "A465480")</f>
        <v>0</v>
      </c>
      <c r="D51">
        <f>HYPERLINK("http://comp.fnguide.com/SVO2/ASP/SVD_Consensus.asp?pGB=1&amp;gicode=A465480&amp;cID=&amp;MenuYn=Y&amp;ReportGB=&amp;NewMenuID=108&amp;stkGb=701", "인스피언")</f>
        <v>0</v>
      </c>
      <c r="E51">
        <v>3</v>
      </c>
      <c r="F51">
        <v>4490</v>
      </c>
      <c r="G51">
        <v>0</v>
      </c>
      <c r="H51">
        <v>20.04</v>
      </c>
      <c r="I51">
        <v>6224</v>
      </c>
      <c r="J51">
        <v>6014</v>
      </c>
      <c r="K51">
        <v>5941</v>
      </c>
      <c r="L51">
        <v>-38.62</v>
      </c>
      <c r="M51">
        <v>-33.94</v>
      </c>
      <c r="N51">
        <v>-32.31</v>
      </c>
      <c r="O51">
        <v>11.52</v>
      </c>
      <c r="P51" t="b">
        <v>1</v>
      </c>
      <c r="Q51">
        <v>0</v>
      </c>
      <c r="R51">
        <v>264</v>
      </c>
      <c r="U51" t="s">
        <v>569</v>
      </c>
      <c r="V51" t="s">
        <v>793</v>
      </c>
      <c r="W51">
        <v>0</v>
      </c>
      <c r="X51">
        <v>-7.3</v>
      </c>
      <c r="Y51" t="s">
        <v>1016</v>
      </c>
      <c r="Z51">
        <v>0</v>
      </c>
      <c r="AA51">
        <v>455</v>
      </c>
      <c r="AB51">
        <v>60573</v>
      </c>
      <c r="AC51" t="s">
        <v>1239</v>
      </c>
      <c r="AD51">
        <v>72.66</v>
      </c>
      <c r="AE51" t="s">
        <v>1463</v>
      </c>
      <c r="AF51" t="s">
        <v>1685</v>
      </c>
      <c r="AG51">
        <v>200</v>
      </c>
      <c r="AH51">
        <v>26</v>
      </c>
      <c r="AI51">
        <v>532733</v>
      </c>
      <c r="AJ51">
        <v>1.89</v>
      </c>
      <c r="AK51" t="b">
        <v>1</v>
      </c>
    </row>
    <row r="52" spans="1:37">
      <c r="A52" s="1" t="s">
        <v>175</v>
      </c>
      <c r="B52" t="s">
        <v>399</v>
      </c>
      <c r="C52">
        <f>HYPERLINK("https://finance.naver.com/item/coinfo.nhn?code=031440", "A031440")</f>
        <v>0</v>
      </c>
      <c r="D52">
        <f>HYPERLINK("http://comp.fnguide.com/SVO2/ASP/SVD_Consensus.asp?pGB=1&amp;gicode=A031440&amp;cID=&amp;MenuYn=Y&amp;ReportGB=&amp;NewMenuID=108&amp;stkGb=701", "신세계푸드")</f>
        <v>0</v>
      </c>
      <c r="E52">
        <v>3</v>
      </c>
      <c r="F52">
        <v>44750</v>
      </c>
      <c r="G52">
        <v>0</v>
      </c>
      <c r="H52">
        <v>2.4</v>
      </c>
      <c r="I52">
        <v>126102</v>
      </c>
      <c r="J52">
        <v>111655</v>
      </c>
      <c r="K52">
        <v>106592</v>
      </c>
      <c r="L52">
        <v>-181.79</v>
      </c>
      <c r="M52">
        <v>-149.51</v>
      </c>
      <c r="N52">
        <v>-138.19</v>
      </c>
      <c r="O52">
        <v>13.74</v>
      </c>
      <c r="P52" t="b">
        <v>1</v>
      </c>
      <c r="Q52">
        <v>0</v>
      </c>
      <c r="R52">
        <v>19939</v>
      </c>
      <c r="U52" t="s">
        <v>623</v>
      </c>
      <c r="V52" t="s">
        <v>847</v>
      </c>
      <c r="W52">
        <v>0</v>
      </c>
      <c r="X52">
        <v>-23.3</v>
      </c>
      <c r="Y52" t="s">
        <v>1070</v>
      </c>
      <c r="Z52">
        <v>0</v>
      </c>
      <c r="AA52">
        <v>1733</v>
      </c>
      <c r="AB52">
        <v>16247</v>
      </c>
      <c r="AC52" t="s">
        <v>1293</v>
      </c>
      <c r="AD52">
        <v>66.45999999999999</v>
      </c>
      <c r="AE52" t="s">
        <v>1517</v>
      </c>
      <c r="AF52" t="s">
        <v>1739</v>
      </c>
      <c r="AG52">
        <v>12332</v>
      </c>
      <c r="AH52">
        <v>48</v>
      </c>
      <c r="AI52">
        <v>257029</v>
      </c>
      <c r="AJ52">
        <v>1.88</v>
      </c>
      <c r="AK52" t="b">
        <v>1</v>
      </c>
    </row>
    <row r="53" spans="1:37">
      <c r="A53" s="1" t="s">
        <v>92</v>
      </c>
      <c r="B53" t="s">
        <v>316</v>
      </c>
      <c r="C53">
        <f>HYPERLINK("https://finance.naver.com/item/coinfo.nhn?code=336680", "A336680")</f>
        <v>0</v>
      </c>
      <c r="D53">
        <f>HYPERLINK("http://comp.fnguide.com/SVO2/ASP/SVD_Consensus.asp?pGB=1&amp;gicode=A336680&amp;cID=&amp;MenuYn=Y&amp;ReportGB=&amp;NewMenuID=108&amp;stkGb=701", "탑런토탈솔루션")</f>
        <v>0</v>
      </c>
      <c r="E53">
        <v>3</v>
      </c>
      <c r="F53">
        <v>3060</v>
      </c>
      <c r="G53">
        <v>0</v>
      </c>
      <c r="H53">
        <v>23.91</v>
      </c>
      <c r="I53">
        <v>4888</v>
      </c>
      <c r="J53">
        <v>4765</v>
      </c>
      <c r="K53">
        <v>4722</v>
      </c>
      <c r="L53">
        <v>-59.73</v>
      </c>
      <c r="M53">
        <v>-55.71</v>
      </c>
      <c r="N53">
        <v>-54.3</v>
      </c>
      <c r="O53">
        <v>11.33</v>
      </c>
      <c r="P53" t="b">
        <v>0</v>
      </c>
      <c r="Q53">
        <v>0</v>
      </c>
      <c r="R53">
        <v>169</v>
      </c>
      <c r="U53" t="s">
        <v>540</v>
      </c>
      <c r="V53" t="s">
        <v>764</v>
      </c>
      <c r="W53">
        <v>0</v>
      </c>
      <c r="Y53" t="s">
        <v>988</v>
      </c>
      <c r="Z53">
        <v>0</v>
      </c>
      <c r="AA53">
        <v>1198</v>
      </c>
      <c r="AB53">
        <v>39466</v>
      </c>
      <c r="AC53" t="s">
        <v>1210</v>
      </c>
      <c r="AD53">
        <v>74.13</v>
      </c>
      <c r="AE53" t="s">
        <v>1434</v>
      </c>
      <c r="AF53" t="s">
        <v>1656</v>
      </c>
      <c r="AG53">
        <v>5501</v>
      </c>
      <c r="AH53">
        <v>89</v>
      </c>
      <c r="AJ53">
        <v>1.85</v>
      </c>
      <c r="AK53" t="b">
        <v>1</v>
      </c>
    </row>
    <row r="54" spans="1:37">
      <c r="A54" s="1" t="s">
        <v>132</v>
      </c>
      <c r="B54" t="s">
        <v>356</v>
      </c>
      <c r="C54">
        <f>HYPERLINK("https://finance.naver.com/item/coinfo.nhn?code=005710", "A005710")</f>
        <v>0</v>
      </c>
      <c r="D54">
        <f>HYPERLINK("http://comp.fnguide.com/SVO2/ASP/SVD_Consensus.asp?pGB=1&amp;gicode=A005710&amp;cID=&amp;MenuYn=Y&amp;ReportGB=&amp;NewMenuID=108&amp;stkGb=701", "대원산업")</f>
        <v>0</v>
      </c>
      <c r="E54">
        <v>3</v>
      </c>
      <c r="F54">
        <v>10230</v>
      </c>
      <c r="G54">
        <v>0</v>
      </c>
      <c r="H54">
        <v>3.69</v>
      </c>
      <c r="I54">
        <v>36330</v>
      </c>
      <c r="J54">
        <v>32514</v>
      </c>
      <c r="K54">
        <v>31177</v>
      </c>
      <c r="L54">
        <v>-255.13</v>
      </c>
      <c r="M54">
        <v>-217.83</v>
      </c>
      <c r="N54">
        <v>-204.76</v>
      </c>
      <c r="O54">
        <v>13.44</v>
      </c>
      <c r="P54" t="b">
        <v>1</v>
      </c>
      <c r="Q54">
        <v>0</v>
      </c>
      <c r="R54">
        <v>3836</v>
      </c>
      <c r="U54" t="s">
        <v>580</v>
      </c>
      <c r="V54" t="s">
        <v>804</v>
      </c>
      <c r="W54">
        <v>0</v>
      </c>
      <c r="X54">
        <v>-23.9</v>
      </c>
      <c r="Y54" t="s">
        <v>1027</v>
      </c>
      <c r="Z54">
        <v>12.31394309999496</v>
      </c>
      <c r="AA54">
        <v>2050</v>
      </c>
      <c r="AB54">
        <v>10342</v>
      </c>
      <c r="AC54" t="s">
        <v>1250</v>
      </c>
      <c r="AD54">
        <v>62.95</v>
      </c>
      <c r="AE54" t="s">
        <v>1474</v>
      </c>
      <c r="AF54" t="s">
        <v>1696</v>
      </c>
      <c r="AG54">
        <v>10589</v>
      </c>
      <c r="AH54">
        <v>708</v>
      </c>
      <c r="AJ54">
        <v>1.77</v>
      </c>
      <c r="AK54" t="b">
        <v>1</v>
      </c>
    </row>
    <row r="55" spans="1:37">
      <c r="A55" s="1" t="s">
        <v>225</v>
      </c>
      <c r="B55" t="s">
        <v>449</v>
      </c>
      <c r="C55">
        <f>HYPERLINK("https://finance.naver.com/item/coinfo.nhn?code=179290", "A179290")</f>
        <v>0</v>
      </c>
      <c r="D55">
        <f>HYPERLINK("http://comp.fnguide.com/SVO2/ASP/SVD_Consensus.asp?pGB=1&amp;gicode=A179290&amp;cID=&amp;MenuYn=Y&amp;ReportGB=&amp;NewMenuID=108&amp;stkGb=701", "엠아이텍")</f>
        <v>0</v>
      </c>
      <c r="E55">
        <v>2</v>
      </c>
      <c r="F55">
        <v>4695</v>
      </c>
      <c r="G55">
        <v>0</v>
      </c>
      <c r="H55">
        <v>10.78</v>
      </c>
      <c r="I55">
        <v>6172</v>
      </c>
      <c r="J55">
        <v>4956</v>
      </c>
      <c r="K55">
        <v>4530</v>
      </c>
      <c r="L55">
        <v>-31.46</v>
      </c>
      <c r="M55">
        <v>-5.56</v>
      </c>
      <c r="N55">
        <v>3.52</v>
      </c>
      <c r="O55">
        <v>17.12</v>
      </c>
      <c r="P55" t="b">
        <v>1</v>
      </c>
      <c r="Q55">
        <v>0</v>
      </c>
      <c r="R55">
        <v>628</v>
      </c>
      <c r="U55" t="s">
        <v>673</v>
      </c>
      <c r="V55" t="s">
        <v>897</v>
      </c>
      <c r="W55">
        <v>0</v>
      </c>
      <c r="X55">
        <v>-16.9</v>
      </c>
      <c r="Y55" t="s">
        <v>1120</v>
      </c>
      <c r="Z55">
        <v>5.955882633358822</v>
      </c>
      <c r="AA55">
        <v>1520</v>
      </c>
      <c r="AB55">
        <v>106182</v>
      </c>
      <c r="AC55" t="s">
        <v>1343</v>
      </c>
      <c r="AD55">
        <v>53.09</v>
      </c>
      <c r="AE55" t="s">
        <v>1567</v>
      </c>
      <c r="AF55" t="s">
        <v>1789</v>
      </c>
      <c r="AG55">
        <v>672</v>
      </c>
      <c r="AH55">
        <v>207</v>
      </c>
      <c r="AJ55">
        <v>1.77</v>
      </c>
      <c r="AK55" t="b">
        <v>1</v>
      </c>
    </row>
    <row r="56" spans="1:37">
      <c r="A56" s="1" t="s">
        <v>60</v>
      </c>
      <c r="B56" t="s">
        <v>284</v>
      </c>
      <c r="C56">
        <f>HYPERLINK("https://finance.naver.com/item/coinfo.nhn?code=080470", "A080470")</f>
        <v>0</v>
      </c>
      <c r="D56">
        <f>HYPERLINK("http://comp.fnguide.com/SVO2/ASP/SVD_Consensus.asp?pGB=1&amp;gicode=A080470&amp;cID=&amp;MenuYn=Y&amp;ReportGB=&amp;NewMenuID=108&amp;stkGb=701", "성창오토텍")</f>
        <v>0</v>
      </c>
      <c r="E56">
        <v>3</v>
      </c>
      <c r="F56">
        <v>3030</v>
      </c>
      <c r="G56">
        <v>0</v>
      </c>
      <c r="H56">
        <v>3.46</v>
      </c>
      <c r="I56">
        <v>10036</v>
      </c>
      <c r="J56">
        <v>9097</v>
      </c>
      <c r="K56">
        <v>8768</v>
      </c>
      <c r="L56">
        <v>-231.23</v>
      </c>
      <c r="M56">
        <v>-200.24</v>
      </c>
      <c r="N56">
        <v>-189.38</v>
      </c>
      <c r="O56">
        <v>13.09</v>
      </c>
      <c r="P56" t="b">
        <v>1</v>
      </c>
      <c r="Q56">
        <v>0</v>
      </c>
      <c r="R56">
        <v>1163</v>
      </c>
      <c r="U56" t="s">
        <v>508</v>
      </c>
      <c r="V56" t="s">
        <v>732</v>
      </c>
      <c r="W56">
        <v>0</v>
      </c>
      <c r="X56">
        <v>-5.6</v>
      </c>
      <c r="Y56" t="s">
        <v>956</v>
      </c>
      <c r="Z56">
        <v>15.75638863979705</v>
      </c>
      <c r="AA56">
        <v>221</v>
      </c>
      <c r="AB56">
        <v>24426</v>
      </c>
      <c r="AC56" t="s">
        <v>1178</v>
      </c>
      <c r="AD56">
        <v>52.38</v>
      </c>
      <c r="AE56" t="s">
        <v>1402</v>
      </c>
      <c r="AF56" t="s">
        <v>1626</v>
      </c>
      <c r="AG56">
        <v>2435</v>
      </c>
      <c r="AH56">
        <v>116</v>
      </c>
      <c r="AJ56">
        <v>1.74</v>
      </c>
      <c r="AK56" t="b">
        <v>1</v>
      </c>
    </row>
    <row r="57" spans="1:37">
      <c r="A57" s="1" t="s">
        <v>58</v>
      </c>
      <c r="B57" t="s">
        <v>282</v>
      </c>
      <c r="C57">
        <f>HYPERLINK("https://finance.naver.com/item/coinfo.nhn?code=009780", "A009780")</f>
        <v>0</v>
      </c>
      <c r="D57">
        <f>HYPERLINK("http://comp.fnguide.com/SVO2/ASP/SVD_Consensus.asp?pGB=1&amp;gicode=A009780&amp;cID=&amp;MenuYn=Y&amp;ReportGB=&amp;NewMenuID=108&amp;stkGb=701", "엠에스씨")</f>
        <v>0</v>
      </c>
      <c r="E57">
        <v>3</v>
      </c>
      <c r="F57">
        <v>6110</v>
      </c>
      <c r="G57">
        <v>0</v>
      </c>
      <c r="H57">
        <v>6.06</v>
      </c>
      <c r="I57">
        <v>13075</v>
      </c>
      <c r="J57">
        <v>11836</v>
      </c>
      <c r="K57">
        <v>11402</v>
      </c>
      <c r="L57">
        <v>-113.99</v>
      </c>
      <c r="M57">
        <v>-93.70999999999999</v>
      </c>
      <c r="N57">
        <v>-86.61</v>
      </c>
      <c r="O57">
        <v>13.12</v>
      </c>
      <c r="P57" t="b">
        <v>1</v>
      </c>
      <c r="Q57">
        <v>0</v>
      </c>
      <c r="R57">
        <v>1307</v>
      </c>
      <c r="U57" t="s">
        <v>506</v>
      </c>
      <c r="V57" t="s">
        <v>730</v>
      </c>
      <c r="W57">
        <v>0</v>
      </c>
      <c r="X57">
        <v>4.1</v>
      </c>
      <c r="Y57" t="s">
        <v>954</v>
      </c>
      <c r="Z57">
        <v>9.262667564083959</v>
      </c>
      <c r="AA57">
        <v>1075</v>
      </c>
      <c r="AB57">
        <v>9903</v>
      </c>
      <c r="AC57" t="s">
        <v>1176</v>
      </c>
      <c r="AD57">
        <v>73.22</v>
      </c>
      <c r="AE57" t="s">
        <v>1400</v>
      </c>
      <c r="AF57" t="s">
        <v>1624</v>
      </c>
      <c r="AG57">
        <v>1977</v>
      </c>
      <c r="AH57">
        <v>297</v>
      </c>
      <c r="AJ57">
        <v>1.64</v>
      </c>
      <c r="AK57" t="b">
        <v>1</v>
      </c>
    </row>
    <row r="58" spans="1:37">
      <c r="A58" s="1" t="s">
        <v>77</v>
      </c>
      <c r="B58" t="s">
        <v>301</v>
      </c>
      <c r="C58">
        <f>HYPERLINK("https://finance.naver.com/item/coinfo.nhn?code=043150", "A043150")</f>
        <v>0</v>
      </c>
      <c r="D58">
        <f>HYPERLINK("http://comp.fnguide.com/SVO2/ASP/SVD_Consensus.asp?pGB=1&amp;gicode=A043150&amp;cID=&amp;MenuYn=Y&amp;ReportGB=&amp;NewMenuID=108&amp;stkGb=701", "바텍")</f>
        <v>0</v>
      </c>
      <c r="E58">
        <v>3</v>
      </c>
      <c r="F58">
        <v>18630</v>
      </c>
      <c r="G58">
        <v>-3.63</v>
      </c>
      <c r="H58">
        <v>7.24</v>
      </c>
      <c r="I58">
        <v>33551</v>
      </c>
      <c r="J58">
        <v>33455</v>
      </c>
      <c r="K58">
        <v>33421</v>
      </c>
      <c r="L58">
        <v>-80.09</v>
      </c>
      <c r="M58">
        <v>-79.58</v>
      </c>
      <c r="N58">
        <v>-79.40000000000001</v>
      </c>
      <c r="O58">
        <v>10.85</v>
      </c>
      <c r="P58" t="b">
        <v>1</v>
      </c>
      <c r="Q58">
        <v>1</v>
      </c>
      <c r="R58">
        <v>2701</v>
      </c>
      <c r="S58">
        <v>3277</v>
      </c>
      <c r="T58">
        <v>21.3</v>
      </c>
      <c r="U58" t="s">
        <v>525</v>
      </c>
      <c r="V58" t="s">
        <v>749</v>
      </c>
      <c r="W58">
        <v>-1.994647522662896</v>
      </c>
      <c r="X58">
        <v>17.4</v>
      </c>
      <c r="Y58" t="s">
        <v>973</v>
      </c>
      <c r="Z58">
        <v>-1.646348679756093</v>
      </c>
      <c r="AA58">
        <v>2767</v>
      </c>
      <c r="AB58">
        <v>21388</v>
      </c>
      <c r="AC58" t="s">
        <v>1195</v>
      </c>
      <c r="AD58">
        <v>53.65</v>
      </c>
      <c r="AE58" t="s">
        <v>1419</v>
      </c>
      <c r="AF58" t="s">
        <v>1643</v>
      </c>
      <c r="AG58">
        <v>4264</v>
      </c>
      <c r="AH58">
        <v>548</v>
      </c>
      <c r="AJ58">
        <v>1.53</v>
      </c>
      <c r="AK58" t="b">
        <v>1</v>
      </c>
    </row>
    <row r="59" spans="1:37">
      <c r="A59" s="1" t="s">
        <v>236</v>
      </c>
      <c r="B59" t="s">
        <v>460</v>
      </c>
      <c r="C59">
        <f>HYPERLINK("https://finance.naver.com/item/coinfo.nhn?code=445180", "A445180")</f>
        <v>0</v>
      </c>
      <c r="D59">
        <f>HYPERLINK("http://comp.fnguide.com/SVO2/ASP/SVD_Consensus.asp?pGB=1&amp;gicode=A445180&amp;cID=&amp;MenuYn=Y&amp;ReportGB=&amp;NewMenuID=108&amp;stkGb=701", "퓨릿")</f>
        <v>0</v>
      </c>
      <c r="E59">
        <v>1</v>
      </c>
      <c r="F59">
        <v>8860</v>
      </c>
      <c r="G59">
        <v>0</v>
      </c>
      <c r="H59">
        <v>9.85</v>
      </c>
      <c r="I59">
        <v>8878</v>
      </c>
      <c r="J59">
        <v>7479</v>
      </c>
      <c r="K59">
        <v>6989</v>
      </c>
      <c r="L59">
        <v>-0.2</v>
      </c>
      <c r="M59">
        <v>15.58</v>
      </c>
      <c r="N59">
        <v>21.11</v>
      </c>
      <c r="O59">
        <v>15.32</v>
      </c>
      <c r="P59" t="b">
        <v>1</v>
      </c>
      <c r="Q59">
        <v>0</v>
      </c>
      <c r="R59">
        <v>893</v>
      </c>
      <c r="U59" t="s">
        <v>684</v>
      </c>
      <c r="V59" t="s">
        <v>908</v>
      </c>
      <c r="W59">
        <v>0</v>
      </c>
      <c r="X59">
        <v>46.7</v>
      </c>
      <c r="Y59" t="s">
        <v>1130</v>
      </c>
      <c r="Z59">
        <v>19.36767822432097</v>
      </c>
      <c r="AA59">
        <v>1523</v>
      </c>
      <c r="AB59">
        <v>78055</v>
      </c>
      <c r="AC59" t="s">
        <v>1354</v>
      </c>
      <c r="AD59">
        <v>50.33</v>
      </c>
      <c r="AE59" t="s">
        <v>1578</v>
      </c>
      <c r="AF59" t="s">
        <v>1800</v>
      </c>
      <c r="AG59">
        <v>1425</v>
      </c>
      <c r="AH59">
        <v>172</v>
      </c>
      <c r="AJ59">
        <v>1.37</v>
      </c>
      <c r="AK59" t="b">
        <v>1</v>
      </c>
    </row>
    <row r="60" spans="1:37">
      <c r="A60" s="1" t="s">
        <v>222</v>
      </c>
      <c r="B60" t="s">
        <v>446</v>
      </c>
      <c r="C60">
        <f>HYPERLINK("https://finance.naver.com/item/coinfo.nhn?code=032620", "A032620")</f>
        <v>0</v>
      </c>
      <c r="D60">
        <f>HYPERLINK("http://comp.fnguide.com/SVO2/ASP/SVD_Consensus.asp?pGB=1&amp;gicode=A032620&amp;cID=&amp;MenuYn=Y&amp;ReportGB=&amp;NewMenuID=108&amp;stkGb=701", "GC메디아이")</f>
        <v>0</v>
      </c>
      <c r="E60">
        <v>2</v>
      </c>
      <c r="F60">
        <v>3155</v>
      </c>
      <c r="G60">
        <v>0</v>
      </c>
      <c r="H60">
        <v>5.15</v>
      </c>
      <c r="I60">
        <v>3966</v>
      </c>
      <c r="J60">
        <v>3338</v>
      </c>
      <c r="K60">
        <v>3117</v>
      </c>
      <c r="L60">
        <v>-25.72</v>
      </c>
      <c r="M60">
        <v>-5.79</v>
      </c>
      <c r="N60">
        <v>1.2</v>
      </c>
      <c r="O60">
        <v>15.36</v>
      </c>
      <c r="P60" t="b">
        <v>1</v>
      </c>
      <c r="Q60">
        <v>0</v>
      </c>
      <c r="R60">
        <v>708</v>
      </c>
      <c r="U60" t="s">
        <v>670</v>
      </c>
      <c r="V60" t="s">
        <v>894</v>
      </c>
      <c r="W60">
        <v>0</v>
      </c>
      <c r="X60">
        <v>-97</v>
      </c>
      <c r="Y60" t="s">
        <v>1117</v>
      </c>
      <c r="Z60">
        <v>0</v>
      </c>
      <c r="AA60">
        <v>1647</v>
      </c>
      <c r="AB60">
        <v>94675</v>
      </c>
      <c r="AC60" t="s">
        <v>1340</v>
      </c>
      <c r="AD60">
        <v>53.03</v>
      </c>
      <c r="AE60" t="s">
        <v>1564</v>
      </c>
      <c r="AF60" t="s">
        <v>1786</v>
      </c>
      <c r="AG60">
        <v>1977</v>
      </c>
      <c r="AH60">
        <v>75</v>
      </c>
      <c r="AI60">
        <v>1413299</v>
      </c>
      <c r="AJ60">
        <v>1.37</v>
      </c>
      <c r="AK60" t="b">
        <v>1</v>
      </c>
    </row>
    <row r="61" spans="1:37">
      <c r="A61" s="1" t="s">
        <v>235</v>
      </c>
      <c r="B61" t="s">
        <v>459</v>
      </c>
      <c r="C61">
        <f>HYPERLINK("https://finance.naver.com/item/coinfo.nhn?code=009450", "A009450")</f>
        <v>0</v>
      </c>
      <c r="D61">
        <f>HYPERLINK("http://comp.fnguide.com/SVO2/ASP/SVD_Consensus.asp?pGB=1&amp;gicode=A009450&amp;cID=&amp;MenuYn=Y&amp;ReportGB=&amp;NewMenuID=108&amp;stkGb=701", "경동나비엔")</f>
        <v>0</v>
      </c>
      <c r="E61">
        <v>1</v>
      </c>
      <c r="F61">
        <v>67700</v>
      </c>
      <c r="G61">
        <v>0.33</v>
      </c>
      <c r="H61">
        <v>9.01</v>
      </c>
      <c r="I61">
        <v>74663</v>
      </c>
      <c r="J61">
        <v>63285</v>
      </c>
      <c r="K61">
        <v>59297</v>
      </c>
      <c r="L61">
        <v>-10.29</v>
      </c>
      <c r="M61">
        <v>6.52</v>
      </c>
      <c r="N61">
        <v>12.41</v>
      </c>
      <c r="O61">
        <v>15.11</v>
      </c>
      <c r="P61" t="b">
        <v>1</v>
      </c>
      <c r="Q61">
        <v>1</v>
      </c>
      <c r="R61">
        <v>6157</v>
      </c>
      <c r="S61">
        <v>11851</v>
      </c>
      <c r="T61">
        <v>92.5</v>
      </c>
      <c r="U61" t="s">
        <v>683</v>
      </c>
      <c r="V61" t="s">
        <v>907</v>
      </c>
      <c r="W61">
        <v>27.57508431472868</v>
      </c>
      <c r="X61">
        <v>52.2</v>
      </c>
      <c r="Y61" t="s">
        <v>1129</v>
      </c>
      <c r="Z61">
        <v>9.946760367496378</v>
      </c>
      <c r="AA61">
        <v>9863</v>
      </c>
      <c r="AB61">
        <v>39390</v>
      </c>
      <c r="AC61" t="s">
        <v>1353</v>
      </c>
      <c r="AD61">
        <v>57.61</v>
      </c>
      <c r="AE61" t="s">
        <v>1577</v>
      </c>
      <c r="AF61" t="s">
        <v>1799</v>
      </c>
      <c r="AG61">
        <v>15022</v>
      </c>
      <c r="AH61">
        <v>1434</v>
      </c>
      <c r="AI61">
        <v>115660</v>
      </c>
      <c r="AJ61">
        <v>1.35</v>
      </c>
      <c r="AK61" t="b">
        <v>1</v>
      </c>
    </row>
    <row r="62" spans="1:37">
      <c r="A62" s="1" t="s">
        <v>43</v>
      </c>
      <c r="B62" t="s">
        <v>267</v>
      </c>
      <c r="C62">
        <f>HYPERLINK("https://finance.naver.com/item/coinfo.nhn?code=036830", "A036830")</f>
        <v>0</v>
      </c>
      <c r="D62">
        <f>HYPERLINK("http://comp.fnguide.com/SVO2/ASP/SVD_Consensus.asp?pGB=1&amp;gicode=A036830&amp;cID=&amp;MenuYn=Y&amp;ReportGB=&amp;NewMenuID=108&amp;stkGb=701", "솔브레인홀딩스")</f>
        <v>0</v>
      </c>
      <c r="E62">
        <v>3</v>
      </c>
      <c r="F62">
        <v>44600</v>
      </c>
      <c r="G62">
        <v>0</v>
      </c>
      <c r="H62">
        <v>1.6</v>
      </c>
      <c r="I62">
        <v>148188</v>
      </c>
      <c r="J62">
        <v>114450</v>
      </c>
      <c r="K62">
        <v>102626</v>
      </c>
      <c r="L62">
        <v>-232.26</v>
      </c>
      <c r="M62">
        <v>-156.61</v>
      </c>
      <c r="N62">
        <v>-130.1</v>
      </c>
      <c r="O62">
        <v>18.84</v>
      </c>
      <c r="P62" t="b">
        <v>0</v>
      </c>
      <c r="Q62">
        <v>0</v>
      </c>
      <c r="R62">
        <v>23248</v>
      </c>
      <c r="U62" t="s">
        <v>491</v>
      </c>
      <c r="V62" t="s">
        <v>715</v>
      </c>
      <c r="W62">
        <v>0</v>
      </c>
      <c r="X62">
        <v>95.7</v>
      </c>
      <c r="Y62" t="s">
        <v>939</v>
      </c>
      <c r="Z62">
        <v>97.86621055024895</v>
      </c>
      <c r="AA62">
        <v>9145</v>
      </c>
      <c r="AB62">
        <v>74078</v>
      </c>
      <c r="AC62" t="s">
        <v>1161</v>
      </c>
      <c r="AD62">
        <v>77.27</v>
      </c>
      <c r="AE62" t="s">
        <v>1385</v>
      </c>
      <c r="AF62" t="s">
        <v>1609</v>
      </c>
      <c r="AG62">
        <v>5566</v>
      </c>
      <c r="AH62">
        <v>-34</v>
      </c>
      <c r="AI62">
        <v>58000</v>
      </c>
      <c r="AJ62">
        <v>1.34</v>
      </c>
      <c r="AK62" t="b">
        <v>1</v>
      </c>
    </row>
    <row r="63" spans="1:37">
      <c r="A63" s="1" t="s">
        <v>244</v>
      </c>
      <c r="B63" t="s">
        <v>468</v>
      </c>
      <c r="C63">
        <f>HYPERLINK("https://finance.naver.com/item/coinfo.nhn?code=489460", "A489460")</f>
        <v>0</v>
      </c>
      <c r="D63">
        <f>HYPERLINK("http://comp.fnguide.com/SVO2/ASP/SVD_Consensus.asp?pGB=1&amp;gicode=A489460&amp;cID=&amp;MenuYn=Y&amp;ReportGB=&amp;NewMenuID=108&amp;stkGb=701", "바이오비쥬")</f>
        <v>0</v>
      </c>
      <c r="E63">
        <v>1</v>
      </c>
      <c r="F63">
        <v>6810</v>
      </c>
      <c r="G63">
        <v>3.94</v>
      </c>
      <c r="H63">
        <v>45.19</v>
      </c>
      <c r="I63">
        <v>8213</v>
      </c>
      <c r="J63">
        <v>6037</v>
      </c>
      <c r="K63">
        <v>5275</v>
      </c>
      <c r="L63">
        <v>-20.6</v>
      </c>
      <c r="M63">
        <v>11.34</v>
      </c>
      <c r="N63">
        <v>22.54</v>
      </c>
      <c r="O63">
        <v>21.45</v>
      </c>
      <c r="P63" t="b">
        <v>1</v>
      </c>
      <c r="Q63">
        <v>1</v>
      </c>
      <c r="R63">
        <v>298</v>
      </c>
      <c r="S63">
        <v>425</v>
      </c>
      <c r="T63">
        <v>42.6</v>
      </c>
      <c r="U63" t="s">
        <v>692</v>
      </c>
      <c r="V63" t="s">
        <v>916</v>
      </c>
      <c r="W63">
        <v>11.46707590980778</v>
      </c>
      <c r="X63">
        <v>35.6</v>
      </c>
      <c r="Y63" t="s">
        <v>1138</v>
      </c>
      <c r="Z63">
        <v>102.3631804773211</v>
      </c>
      <c r="AA63">
        <v>1025</v>
      </c>
      <c r="AB63">
        <v>71348</v>
      </c>
      <c r="AC63" t="s">
        <v>1362</v>
      </c>
      <c r="AD63">
        <v>59.82</v>
      </c>
      <c r="AE63" t="s">
        <v>1586</v>
      </c>
      <c r="AF63" t="s">
        <v>1808</v>
      </c>
      <c r="AG63">
        <v>285</v>
      </c>
      <c r="AH63">
        <v>42</v>
      </c>
      <c r="AI63">
        <v>35599</v>
      </c>
      <c r="AJ63">
        <v>0.74</v>
      </c>
      <c r="AK6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2026-06-06T03:53:10Z</dcterms:created>
  <dcterms:modified xsi:type="dcterms:W3CDTF">2026-06-06T03:53:10Z</dcterms:modified>
</cp:coreProperties>
</file>