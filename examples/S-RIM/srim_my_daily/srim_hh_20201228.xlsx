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PycharmProjects/pystocklib/examples/S-RIM/srim_my_daily/"/>
    </mc:Choice>
  </mc:AlternateContent>
  <xr:revisionPtr revIDLastSave="0" documentId="13_ncr:1_{BFA278D7-8191-454A-8BA8-D62B161D33AB}" xr6:coauthVersionLast="36" xr6:coauthVersionMax="36" xr10:uidLastSave="{00000000-0000-0000-0000-000000000000}"/>
  <bookViews>
    <workbookView xWindow="240" yWindow="460" windowWidth="28360" windowHeight="24940" activeTab="1" xr2:uid="{00000000-000D-0000-FFFF-FFFF00000000}"/>
  </bookViews>
  <sheets>
    <sheet name="rim" sheetId="1" r:id="rId1"/>
    <sheet name="pick" sheetId="3" r:id="rId2"/>
    <sheet name="dividend" sheetId="2" r:id="rId3"/>
  </sheets>
  <definedNames>
    <definedName name="_xlnm._FilterDatabase" localSheetId="0" hidden="1">rim!$A$1:$AJ$865</definedName>
  </definedNames>
  <calcPr calcId="181029"/>
</workbook>
</file>

<file path=xl/calcChain.xml><?xml version="1.0" encoding="utf-8"?>
<calcChain xmlns="http://schemas.openxmlformats.org/spreadsheetml/2006/main">
  <c r="D5" i="3" l="1"/>
  <c r="C5" i="3"/>
  <c r="D4" i="3"/>
  <c r="C4" i="3"/>
  <c r="D3" i="3"/>
  <c r="C3" i="3"/>
  <c r="D2" i="3"/>
  <c r="C2" i="3"/>
  <c r="D252" i="2"/>
  <c r="C252" i="2"/>
  <c r="D251" i="2"/>
  <c r="C251" i="2"/>
  <c r="D250" i="2"/>
  <c r="C250" i="2"/>
  <c r="D249" i="2"/>
  <c r="C249" i="2"/>
  <c r="D248" i="2"/>
  <c r="C248" i="2"/>
  <c r="D247" i="2"/>
  <c r="C247" i="2"/>
  <c r="D246" i="2"/>
  <c r="C246" i="2"/>
  <c r="D245" i="2"/>
  <c r="C245" i="2"/>
  <c r="D244" i="2"/>
  <c r="C244" i="2"/>
  <c r="D243" i="2"/>
  <c r="C243" i="2"/>
  <c r="D242" i="2"/>
  <c r="C242" i="2"/>
  <c r="D241" i="2"/>
  <c r="C241" i="2"/>
  <c r="D240" i="2"/>
  <c r="C240" i="2"/>
  <c r="D239" i="2"/>
  <c r="C239" i="2"/>
  <c r="D238" i="2"/>
  <c r="C238" i="2"/>
  <c r="D237" i="2"/>
  <c r="C237" i="2"/>
  <c r="D236" i="2"/>
  <c r="C236" i="2"/>
  <c r="D235" i="2"/>
  <c r="C235" i="2"/>
  <c r="D234" i="2"/>
  <c r="C234" i="2"/>
  <c r="D233" i="2"/>
  <c r="C233" i="2"/>
  <c r="D232" i="2"/>
  <c r="C232" i="2"/>
  <c r="D231" i="2"/>
  <c r="C231" i="2"/>
  <c r="D230" i="2"/>
  <c r="C230" i="2"/>
  <c r="D229" i="2"/>
  <c r="C229" i="2"/>
  <c r="D228" i="2"/>
  <c r="C228" i="2"/>
  <c r="D227" i="2"/>
  <c r="C227" i="2"/>
  <c r="D226" i="2"/>
  <c r="C226" i="2"/>
  <c r="D225" i="2"/>
  <c r="C225" i="2"/>
  <c r="D224" i="2"/>
  <c r="C224" i="2"/>
  <c r="D223" i="2"/>
  <c r="C223" i="2"/>
  <c r="D222" i="2"/>
  <c r="C222" i="2"/>
  <c r="D221" i="2"/>
  <c r="C221" i="2"/>
  <c r="D220" i="2"/>
  <c r="C220" i="2"/>
  <c r="D219" i="2"/>
  <c r="C219" i="2"/>
  <c r="D218" i="2"/>
  <c r="C218" i="2"/>
  <c r="D217" i="2"/>
  <c r="C217" i="2"/>
  <c r="D216" i="2"/>
  <c r="C216" i="2"/>
  <c r="D215" i="2"/>
  <c r="C215" i="2"/>
  <c r="D214" i="2"/>
  <c r="C214" i="2"/>
  <c r="D213" i="2"/>
  <c r="C213" i="2"/>
  <c r="D212" i="2"/>
  <c r="C212" i="2"/>
  <c r="D211" i="2"/>
  <c r="C211" i="2"/>
  <c r="D210" i="2"/>
  <c r="C210" i="2"/>
  <c r="D209" i="2"/>
  <c r="C209" i="2"/>
  <c r="D208" i="2"/>
  <c r="C208" i="2"/>
  <c r="D207" i="2"/>
  <c r="C207" i="2"/>
  <c r="D206" i="2"/>
  <c r="C206" i="2"/>
  <c r="D205" i="2"/>
  <c r="C205" i="2"/>
  <c r="D204" i="2"/>
  <c r="C204" i="2"/>
  <c r="D203" i="2"/>
  <c r="C203" i="2"/>
  <c r="D202" i="2"/>
  <c r="C202" i="2"/>
  <c r="D201" i="2"/>
  <c r="C201" i="2"/>
  <c r="D200" i="2"/>
  <c r="C200" i="2"/>
  <c r="D199" i="2"/>
  <c r="C199" i="2"/>
  <c r="D198" i="2"/>
  <c r="C198" i="2"/>
  <c r="D197" i="2"/>
  <c r="C197" i="2"/>
  <c r="D196" i="2"/>
  <c r="C196" i="2"/>
  <c r="D195" i="2"/>
  <c r="C195" i="2"/>
  <c r="D194" i="2"/>
  <c r="C194" i="2"/>
  <c r="D193" i="2"/>
  <c r="C193" i="2"/>
  <c r="D192" i="2"/>
  <c r="C192" i="2"/>
  <c r="D191" i="2"/>
  <c r="C191" i="2"/>
  <c r="D190" i="2"/>
  <c r="C190" i="2"/>
  <c r="D189" i="2"/>
  <c r="C189" i="2"/>
  <c r="D188" i="2"/>
  <c r="C188" i="2"/>
  <c r="D187" i="2"/>
  <c r="C187" i="2"/>
  <c r="D186" i="2"/>
  <c r="C186" i="2"/>
  <c r="D185" i="2"/>
  <c r="C185" i="2"/>
  <c r="D184" i="2"/>
  <c r="C184" i="2"/>
  <c r="D183" i="2"/>
  <c r="C183" i="2"/>
  <c r="D182" i="2"/>
  <c r="C182" i="2"/>
  <c r="D181" i="2"/>
  <c r="C181" i="2"/>
  <c r="D180" i="2"/>
  <c r="C180" i="2"/>
  <c r="D179" i="2"/>
  <c r="C179" i="2"/>
  <c r="D178" i="2"/>
  <c r="C178" i="2"/>
  <c r="D177" i="2"/>
  <c r="C177" i="2"/>
  <c r="D176" i="2"/>
  <c r="C176" i="2"/>
  <c r="D175" i="2"/>
  <c r="C175" i="2"/>
  <c r="D174" i="2"/>
  <c r="C174" i="2"/>
  <c r="D173" i="2"/>
  <c r="C173" i="2"/>
  <c r="D172" i="2"/>
  <c r="C172" i="2"/>
  <c r="D171" i="2"/>
  <c r="C171" i="2"/>
  <c r="D170" i="2"/>
  <c r="C170" i="2"/>
  <c r="D169" i="2"/>
  <c r="C169" i="2"/>
  <c r="D168" i="2"/>
  <c r="C168" i="2"/>
  <c r="D167" i="2"/>
  <c r="C167" i="2"/>
  <c r="D166" i="2"/>
  <c r="C166" i="2"/>
  <c r="D165" i="2"/>
  <c r="C165" i="2"/>
  <c r="D164" i="2"/>
  <c r="C164" i="2"/>
  <c r="D163" i="2"/>
  <c r="C163" i="2"/>
  <c r="D162" i="2"/>
  <c r="C162" i="2"/>
  <c r="D161" i="2"/>
  <c r="C161" i="2"/>
  <c r="D160" i="2"/>
  <c r="C160" i="2"/>
  <c r="D159" i="2"/>
  <c r="C159" i="2"/>
  <c r="D158" i="2"/>
  <c r="C158" i="2"/>
  <c r="D157" i="2"/>
  <c r="C157" i="2"/>
  <c r="D156" i="2"/>
  <c r="C156" i="2"/>
  <c r="D155" i="2"/>
  <c r="C155" i="2"/>
  <c r="D154" i="2"/>
  <c r="C154" i="2"/>
  <c r="D153" i="2"/>
  <c r="C153" i="2"/>
  <c r="D152" i="2"/>
  <c r="C152" i="2"/>
  <c r="D151" i="2"/>
  <c r="C151" i="2"/>
  <c r="D150" i="2"/>
  <c r="C150" i="2"/>
  <c r="D149" i="2"/>
  <c r="C149" i="2"/>
  <c r="D148" i="2"/>
  <c r="C148" i="2"/>
  <c r="D147" i="2"/>
  <c r="C147" i="2"/>
  <c r="D146" i="2"/>
  <c r="C146" i="2"/>
  <c r="D145" i="2"/>
  <c r="C145" i="2"/>
  <c r="D144" i="2"/>
  <c r="C144" i="2"/>
  <c r="D143" i="2"/>
  <c r="C143" i="2"/>
  <c r="D142" i="2"/>
  <c r="C142" i="2"/>
  <c r="D141" i="2"/>
  <c r="C141" i="2"/>
  <c r="D140" i="2"/>
  <c r="C140" i="2"/>
  <c r="D139" i="2"/>
  <c r="C139" i="2"/>
  <c r="D138" i="2"/>
  <c r="C138" i="2"/>
  <c r="D137" i="2"/>
  <c r="C137" i="2"/>
  <c r="D136" i="2"/>
  <c r="C136" i="2"/>
  <c r="D135" i="2"/>
  <c r="C135" i="2"/>
  <c r="D134" i="2"/>
  <c r="C134" i="2"/>
  <c r="D133" i="2"/>
  <c r="C133" i="2"/>
  <c r="D132" i="2"/>
  <c r="C132" i="2"/>
  <c r="D131" i="2"/>
  <c r="C131" i="2"/>
  <c r="D130" i="2"/>
  <c r="C130" i="2"/>
  <c r="D129" i="2"/>
  <c r="C129" i="2"/>
  <c r="D128" i="2"/>
  <c r="C128" i="2"/>
  <c r="D127" i="2"/>
  <c r="C127" i="2"/>
  <c r="D126" i="2"/>
  <c r="C126" i="2"/>
  <c r="D125" i="2"/>
  <c r="C125" i="2"/>
  <c r="D124" i="2"/>
  <c r="C124" i="2"/>
  <c r="D123" i="2"/>
  <c r="C123" i="2"/>
  <c r="D122" i="2"/>
  <c r="C122" i="2"/>
  <c r="D121" i="2"/>
  <c r="C121" i="2"/>
  <c r="D120" i="2"/>
  <c r="C120" i="2"/>
  <c r="D119" i="2"/>
  <c r="C119" i="2"/>
  <c r="D118" i="2"/>
  <c r="C118" i="2"/>
  <c r="D117" i="2"/>
  <c r="C117" i="2"/>
  <c r="D116" i="2"/>
  <c r="C116" i="2"/>
  <c r="D115" i="2"/>
  <c r="C115" i="2"/>
  <c r="D114" i="2"/>
  <c r="C114" i="2"/>
  <c r="D113" i="2"/>
  <c r="C113" i="2"/>
  <c r="D112" i="2"/>
  <c r="C112" i="2"/>
  <c r="D111" i="2"/>
  <c r="C111" i="2"/>
  <c r="D110" i="2"/>
  <c r="C110" i="2"/>
  <c r="D109" i="2"/>
  <c r="C109" i="2"/>
  <c r="D108" i="2"/>
  <c r="C108" i="2"/>
  <c r="D107" i="2"/>
  <c r="C107" i="2"/>
  <c r="D106" i="2"/>
  <c r="C106" i="2"/>
  <c r="D105" i="2"/>
  <c r="C105" i="2"/>
  <c r="D104" i="2"/>
  <c r="C104" i="2"/>
  <c r="D103" i="2"/>
  <c r="C103" i="2"/>
  <c r="D102" i="2"/>
  <c r="C102" i="2"/>
  <c r="D101" i="2"/>
  <c r="C101" i="2"/>
  <c r="D100" i="2"/>
  <c r="C100" i="2"/>
  <c r="D99" i="2"/>
  <c r="C99" i="2"/>
  <c r="D98" i="2"/>
  <c r="C98" i="2"/>
  <c r="D97" i="2"/>
  <c r="C97" i="2"/>
  <c r="D96" i="2"/>
  <c r="C96" i="2"/>
  <c r="D95" i="2"/>
  <c r="C95" i="2"/>
  <c r="D94" i="2"/>
  <c r="C94" i="2"/>
  <c r="D93" i="2"/>
  <c r="C93" i="2"/>
  <c r="D92" i="2"/>
  <c r="C92" i="2"/>
  <c r="D91" i="2"/>
  <c r="C91" i="2"/>
  <c r="D90" i="2"/>
  <c r="C90" i="2"/>
  <c r="D89" i="2"/>
  <c r="C89" i="2"/>
  <c r="D88" i="2"/>
  <c r="C88" i="2"/>
  <c r="D87" i="2"/>
  <c r="C87" i="2"/>
  <c r="D86" i="2"/>
  <c r="C86" i="2"/>
  <c r="D85" i="2"/>
  <c r="C85" i="2"/>
  <c r="D84" i="2"/>
  <c r="C84" i="2"/>
  <c r="D83" i="2"/>
  <c r="C83" i="2"/>
  <c r="D82" i="2"/>
  <c r="C82" i="2"/>
  <c r="D81" i="2"/>
  <c r="C81" i="2"/>
  <c r="D80" i="2"/>
  <c r="C80" i="2"/>
  <c r="D79" i="2"/>
  <c r="C79" i="2"/>
  <c r="D78" i="2"/>
  <c r="C78" i="2"/>
  <c r="D77" i="2"/>
  <c r="C77" i="2"/>
  <c r="D76" i="2"/>
  <c r="C76" i="2"/>
  <c r="D75" i="2"/>
  <c r="C75" i="2"/>
  <c r="D74" i="2"/>
  <c r="C74" i="2"/>
  <c r="D73" i="2"/>
  <c r="C73" i="2"/>
  <c r="D72" i="2"/>
  <c r="C72" i="2"/>
  <c r="D71" i="2"/>
  <c r="C71" i="2"/>
  <c r="D70" i="2"/>
  <c r="C70" i="2"/>
  <c r="D69" i="2"/>
  <c r="C69" i="2"/>
  <c r="D68" i="2"/>
  <c r="C68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" i="2"/>
  <c r="C2" i="2"/>
  <c r="D865" i="1"/>
  <c r="C865" i="1"/>
  <c r="D864" i="1"/>
  <c r="C864" i="1"/>
  <c r="D863" i="1"/>
  <c r="C863" i="1"/>
  <c r="D862" i="1"/>
  <c r="C862" i="1"/>
  <c r="D861" i="1"/>
  <c r="C861" i="1"/>
  <c r="D860" i="1"/>
  <c r="C860" i="1"/>
  <c r="D859" i="1"/>
  <c r="C859" i="1"/>
  <c r="D858" i="1"/>
  <c r="C858" i="1"/>
  <c r="D857" i="1"/>
  <c r="C857" i="1"/>
  <c r="D856" i="1"/>
  <c r="C856" i="1"/>
  <c r="D855" i="1"/>
  <c r="C855" i="1"/>
  <c r="D854" i="1"/>
  <c r="C854" i="1"/>
  <c r="D853" i="1"/>
  <c r="C853" i="1"/>
  <c r="D852" i="1"/>
  <c r="C852" i="1"/>
  <c r="D851" i="1"/>
  <c r="C851" i="1"/>
  <c r="D850" i="1"/>
  <c r="C850" i="1"/>
  <c r="D849" i="1"/>
  <c r="C849" i="1"/>
  <c r="D848" i="1"/>
  <c r="C848" i="1"/>
  <c r="D847" i="1"/>
  <c r="C847" i="1"/>
  <c r="D846" i="1"/>
  <c r="C846" i="1"/>
  <c r="D845" i="1"/>
  <c r="C845" i="1"/>
  <c r="D844" i="1"/>
  <c r="C844" i="1"/>
  <c r="D843" i="1"/>
  <c r="C843" i="1"/>
  <c r="D842" i="1"/>
  <c r="C842" i="1"/>
  <c r="D841" i="1"/>
  <c r="C841" i="1"/>
  <c r="D840" i="1"/>
  <c r="C840" i="1"/>
  <c r="D839" i="1"/>
  <c r="C839" i="1"/>
  <c r="D838" i="1"/>
  <c r="C838" i="1"/>
  <c r="D837" i="1"/>
  <c r="C837" i="1"/>
  <c r="D836" i="1"/>
  <c r="C836" i="1"/>
  <c r="D835" i="1"/>
  <c r="C835" i="1"/>
  <c r="D834" i="1"/>
  <c r="C834" i="1"/>
  <c r="D833" i="1"/>
  <c r="C833" i="1"/>
  <c r="D832" i="1"/>
  <c r="C832" i="1"/>
  <c r="D831" i="1"/>
  <c r="C831" i="1"/>
  <c r="D830" i="1"/>
  <c r="C830" i="1"/>
  <c r="D829" i="1"/>
  <c r="C829" i="1"/>
  <c r="D828" i="1"/>
  <c r="C828" i="1"/>
  <c r="D827" i="1"/>
  <c r="C827" i="1"/>
  <c r="D826" i="1"/>
  <c r="C826" i="1"/>
  <c r="D825" i="1"/>
  <c r="C825" i="1"/>
  <c r="D824" i="1"/>
  <c r="C824" i="1"/>
  <c r="D823" i="1"/>
  <c r="C823" i="1"/>
  <c r="D822" i="1"/>
  <c r="C822" i="1"/>
  <c r="D821" i="1"/>
  <c r="C821" i="1"/>
  <c r="D820" i="1"/>
  <c r="C820" i="1"/>
  <c r="D819" i="1"/>
  <c r="C819" i="1"/>
  <c r="D818" i="1"/>
  <c r="C818" i="1"/>
  <c r="D817" i="1"/>
  <c r="C817" i="1"/>
  <c r="D816" i="1"/>
  <c r="C816" i="1"/>
  <c r="D815" i="1"/>
  <c r="C815" i="1"/>
  <c r="D814" i="1"/>
  <c r="C814" i="1"/>
  <c r="D813" i="1"/>
  <c r="C813" i="1"/>
  <c r="D812" i="1"/>
  <c r="C812" i="1"/>
  <c r="D811" i="1"/>
  <c r="C811" i="1"/>
  <c r="D810" i="1"/>
  <c r="C810" i="1"/>
  <c r="D809" i="1"/>
  <c r="C809" i="1"/>
  <c r="D808" i="1"/>
  <c r="C808" i="1"/>
  <c r="D807" i="1"/>
  <c r="C807" i="1"/>
  <c r="D806" i="1"/>
  <c r="C806" i="1"/>
  <c r="D805" i="1"/>
  <c r="C805" i="1"/>
  <c r="D804" i="1"/>
  <c r="C804" i="1"/>
  <c r="D803" i="1"/>
  <c r="C803" i="1"/>
  <c r="D802" i="1"/>
  <c r="C802" i="1"/>
  <c r="D801" i="1"/>
  <c r="C801" i="1"/>
  <c r="D800" i="1"/>
  <c r="C800" i="1"/>
  <c r="D799" i="1"/>
  <c r="C799" i="1"/>
  <c r="D798" i="1"/>
  <c r="C798" i="1"/>
  <c r="D797" i="1"/>
  <c r="C797" i="1"/>
  <c r="D796" i="1"/>
  <c r="C796" i="1"/>
  <c r="D795" i="1"/>
  <c r="C795" i="1"/>
  <c r="D794" i="1"/>
  <c r="C794" i="1"/>
  <c r="D793" i="1"/>
  <c r="C793" i="1"/>
  <c r="D792" i="1"/>
  <c r="C792" i="1"/>
  <c r="D791" i="1"/>
  <c r="C791" i="1"/>
  <c r="D790" i="1"/>
  <c r="C790" i="1"/>
  <c r="D789" i="1"/>
  <c r="C789" i="1"/>
  <c r="D788" i="1"/>
  <c r="C788" i="1"/>
  <c r="D787" i="1"/>
  <c r="C787" i="1"/>
  <c r="D786" i="1"/>
  <c r="C786" i="1"/>
  <c r="D785" i="1"/>
  <c r="C785" i="1"/>
  <c r="D784" i="1"/>
  <c r="C784" i="1"/>
  <c r="D783" i="1"/>
  <c r="C783" i="1"/>
  <c r="D782" i="1"/>
  <c r="C782" i="1"/>
  <c r="D781" i="1"/>
  <c r="C781" i="1"/>
  <c r="D780" i="1"/>
  <c r="C780" i="1"/>
  <c r="D779" i="1"/>
  <c r="C779" i="1"/>
  <c r="D778" i="1"/>
  <c r="C778" i="1"/>
  <c r="D777" i="1"/>
  <c r="C777" i="1"/>
  <c r="D776" i="1"/>
  <c r="C776" i="1"/>
  <c r="D775" i="1"/>
  <c r="C775" i="1"/>
  <c r="D774" i="1"/>
  <c r="C774" i="1"/>
  <c r="D773" i="1"/>
  <c r="C773" i="1"/>
  <c r="D772" i="1"/>
  <c r="C772" i="1"/>
  <c r="D771" i="1"/>
  <c r="C771" i="1"/>
  <c r="D770" i="1"/>
  <c r="C770" i="1"/>
  <c r="D769" i="1"/>
  <c r="C769" i="1"/>
  <c r="D768" i="1"/>
  <c r="C768" i="1"/>
  <c r="D767" i="1"/>
  <c r="C767" i="1"/>
  <c r="D766" i="1"/>
  <c r="C766" i="1"/>
  <c r="D765" i="1"/>
  <c r="C765" i="1"/>
  <c r="D764" i="1"/>
  <c r="C764" i="1"/>
  <c r="D763" i="1"/>
  <c r="C763" i="1"/>
  <c r="D762" i="1"/>
  <c r="C762" i="1"/>
  <c r="D761" i="1"/>
  <c r="C761" i="1"/>
  <c r="D760" i="1"/>
  <c r="C760" i="1"/>
  <c r="D759" i="1"/>
  <c r="C759" i="1"/>
  <c r="D758" i="1"/>
  <c r="C758" i="1"/>
  <c r="D757" i="1"/>
  <c r="C757" i="1"/>
  <c r="D756" i="1"/>
  <c r="C756" i="1"/>
  <c r="D755" i="1"/>
  <c r="C755" i="1"/>
  <c r="D754" i="1"/>
  <c r="C754" i="1"/>
  <c r="D753" i="1"/>
  <c r="C753" i="1"/>
  <c r="D752" i="1"/>
  <c r="C752" i="1"/>
  <c r="D751" i="1"/>
  <c r="C751" i="1"/>
  <c r="D750" i="1"/>
  <c r="C750" i="1"/>
  <c r="D749" i="1"/>
  <c r="C749" i="1"/>
  <c r="D748" i="1"/>
  <c r="C748" i="1"/>
  <c r="D747" i="1"/>
  <c r="C747" i="1"/>
  <c r="D746" i="1"/>
  <c r="C746" i="1"/>
  <c r="D745" i="1"/>
  <c r="C745" i="1"/>
  <c r="D744" i="1"/>
  <c r="C744" i="1"/>
  <c r="D743" i="1"/>
  <c r="C743" i="1"/>
  <c r="D742" i="1"/>
  <c r="C742" i="1"/>
  <c r="D741" i="1"/>
  <c r="C741" i="1"/>
  <c r="D740" i="1"/>
  <c r="C740" i="1"/>
  <c r="D739" i="1"/>
  <c r="C739" i="1"/>
  <c r="D738" i="1"/>
  <c r="C738" i="1"/>
  <c r="D737" i="1"/>
  <c r="C737" i="1"/>
  <c r="D736" i="1"/>
  <c r="C736" i="1"/>
  <c r="D735" i="1"/>
  <c r="C735" i="1"/>
  <c r="D734" i="1"/>
  <c r="C734" i="1"/>
  <c r="D733" i="1"/>
  <c r="C733" i="1"/>
  <c r="D732" i="1"/>
  <c r="C732" i="1"/>
  <c r="D731" i="1"/>
  <c r="C731" i="1"/>
  <c r="D730" i="1"/>
  <c r="C730" i="1"/>
  <c r="D729" i="1"/>
  <c r="C729" i="1"/>
  <c r="D728" i="1"/>
  <c r="C728" i="1"/>
  <c r="D727" i="1"/>
  <c r="C727" i="1"/>
  <c r="D726" i="1"/>
  <c r="C726" i="1"/>
  <c r="D725" i="1"/>
  <c r="C725" i="1"/>
  <c r="D724" i="1"/>
  <c r="C724" i="1"/>
  <c r="D723" i="1"/>
  <c r="C723" i="1"/>
  <c r="D722" i="1"/>
  <c r="C722" i="1"/>
  <c r="D721" i="1"/>
  <c r="C721" i="1"/>
  <c r="D720" i="1"/>
  <c r="C720" i="1"/>
  <c r="D719" i="1"/>
  <c r="C719" i="1"/>
  <c r="D718" i="1"/>
  <c r="C718" i="1"/>
  <c r="D717" i="1"/>
  <c r="C717" i="1"/>
  <c r="D716" i="1"/>
  <c r="C716" i="1"/>
  <c r="D715" i="1"/>
  <c r="C715" i="1"/>
  <c r="D714" i="1"/>
  <c r="C714" i="1"/>
  <c r="D713" i="1"/>
  <c r="C713" i="1"/>
  <c r="D712" i="1"/>
  <c r="C712" i="1"/>
  <c r="D711" i="1"/>
  <c r="C711" i="1"/>
  <c r="D710" i="1"/>
  <c r="C710" i="1"/>
  <c r="D709" i="1"/>
  <c r="C709" i="1"/>
  <c r="D708" i="1"/>
  <c r="C708" i="1"/>
  <c r="D707" i="1"/>
  <c r="C707" i="1"/>
  <c r="D706" i="1"/>
  <c r="C706" i="1"/>
  <c r="D705" i="1"/>
  <c r="C705" i="1"/>
  <c r="D704" i="1"/>
  <c r="C704" i="1"/>
  <c r="D703" i="1"/>
  <c r="C703" i="1"/>
  <c r="D702" i="1"/>
  <c r="C702" i="1"/>
  <c r="D701" i="1"/>
  <c r="C701" i="1"/>
  <c r="D700" i="1"/>
  <c r="C700" i="1"/>
  <c r="D699" i="1"/>
  <c r="C699" i="1"/>
  <c r="D698" i="1"/>
  <c r="C698" i="1"/>
  <c r="D697" i="1"/>
  <c r="C697" i="1"/>
  <c r="D696" i="1"/>
  <c r="C696" i="1"/>
  <c r="D695" i="1"/>
  <c r="C695" i="1"/>
  <c r="D694" i="1"/>
  <c r="C694" i="1"/>
  <c r="D693" i="1"/>
  <c r="C693" i="1"/>
  <c r="D692" i="1"/>
  <c r="C692" i="1"/>
  <c r="D691" i="1"/>
  <c r="C691" i="1"/>
  <c r="D690" i="1"/>
  <c r="C690" i="1"/>
  <c r="D689" i="1"/>
  <c r="C689" i="1"/>
  <c r="D688" i="1"/>
  <c r="C688" i="1"/>
  <c r="D687" i="1"/>
  <c r="C687" i="1"/>
  <c r="D686" i="1"/>
  <c r="C686" i="1"/>
  <c r="D685" i="1"/>
  <c r="C685" i="1"/>
  <c r="D684" i="1"/>
  <c r="C684" i="1"/>
  <c r="D683" i="1"/>
  <c r="C683" i="1"/>
  <c r="D682" i="1"/>
  <c r="C682" i="1"/>
  <c r="D681" i="1"/>
  <c r="C681" i="1"/>
  <c r="D680" i="1"/>
  <c r="C680" i="1"/>
  <c r="D679" i="1"/>
  <c r="C679" i="1"/>
  <c r="D678" i="1"/>
  <c r="C678" i="1"/>
  <c r="D677" i="1"/>
  <c r="C677" i="1"/>
  <c r="D676" i="1"/>
  <c r="C676" i="1"/>
  <c r="D675" i="1"/>
  <c r="C675" i="1"/>
  <c r="D674" i="1"/>
  <c r="C674" i="1"/>
  <c r="D673" i="1"/>
  <c r="C673" i="1"/>
  <c r="D672" i="1"/>
  <c r="C672" i="1"/>
  <c r="D671" i="1"/>
  <c r="C671" i="1"/>
  <c r="D670" i="1"/>
  <c r="C670" i="1"/>
  <c r="D669" i="1"/>
  <c r="C669" i="1"/>
  <c r="D668" i="1"/>
  <c r="C668" i="1"/>
  <c r="D667" i="1"/>
  <c r="C667" i="1"/>
  <c r="D666" i="1"/>
  <c r="C666" i="1"/>
  <c r="D665" i="1"/>
  <c r="C665" i="1"/>
  <c r="D664" i="1"/>
  <c r="C664" i="1"/>
  <c r="D663" i="1"/>
  <c r="C663" i="1"/>
  <c r="D662" i="1"/>
  <c r="C662" i="1"/>
  <c r="D661" i="1"/>
  <c r="C661" i="1"/>
  <c r="D660" i="1"/>
  <c r="C660" i="1"/>
  <c r="D659" i="1"/>
  <c r="C659" i="1"/>
  <c r="D658" i="1"/>
  <c r="C658" i="1"/>
  <c r="D657" i="1"/>
  <c r="C657" i="1"/>
  <c r="D656" i="1"/>
  <c r="C656" i="1"/>
  <c r="D655" i="1"/>
  <c r="C655" i="1"/>
  <c r="D654" i="1"/>
  <c r="C654" i="1"/>
  <c r="D653" i="1"/>
  <c r="C653" i="1"/>
  <c r="D652" i="1"/>
  <c r="C652" i="1"/>
  <c r="D651" i="1"/>
  <c r="C651" i="1"/>
  <c r="D650" i="1"/>
  <c r="C650" i="1"/>
  <c r="D649" i="1"/>
  <c r="C649" i="1"/>
  <c r="D648" i="1"/>
  <c r="C648" i="1"/>
  <c r="D647" i="1"/>
  <c r="C647" i="1"/>
  <c r="D646" i="1"/>
  <c r="C646" i="1"/>
  <c r="D645" i="1"/>
  <c r="C645" i="1"/>
  <c r="D644" i="1"/>
  <c r="C644" i="1"/>
  <c r="D643" i="1"/>
  <c r="C643" i="1"/>
  <c r="D642" i="1"/>
  <c r="C642" i="1"/>
  <c r="D641" i="1"/>
  <c r="C641" i="1"/>
  <c r="D640" i="1"/>
  <c r="C640" i="1"/>
  <c r="D639" i="1"/>
  <c r="C639" i="1"/>
  <c r="D638" i="1"/>
  <c r="C638" i="1"/>
  <c r="D637" i="1"/>
  <c r="C637" i="1"/>
  <c r="D636" i="1"/>
  <c r="C636" i="1"/>
  <c r="D635" i="1"/>
  <c r="C635" i="1"/>
  <c r="D634" i="1"/>
  <c r="C634" i="1"/>
  <c r="D633" i="1"/>
  <c r="C633" i="1"/>
  <c r="D632" i="1"/>
  <c r="C632" i="1"/>
  <c r="D631" i="1"/>
  <c r="C631" i="1"/>
  <c r="D630" i="1"/>
  <c r="C630" i="1"/>
  <c r="D629" i="1"/>
  <c r="C629" i="1"/>
  <c r="D628" i="1"/>
  <c r="C628" i="1"/>
  <c r="D627" i="1"/>
  <c r="C627" i="1"/>
  <c r="D626" i="1"/>
  <c r="C626" i="1"/>
  <c r="D625" i="1"/>
  <c r="C625" i="1"/>
  <c r="D624" i="1"/>
  <c r="C624" i="1"/>
  <c r="D623" i="1"/>
  <c r="C623" i="1"/>
  <c r="D622" i="1"/>
  <c r="C622" i="1"/>
  <c r="D621" i="1"/>
  <c r="C621" i="1"/>
  <c r="D620" i="1"/>
  <c r="C620" i="1"/>
  <c r="D619" i="1"/>
  <c r="C619" i="1"/>
  <c r="D618" i="1"/>
  <c r="C618" i="1"/>
  <c r="D617" i="1"/>
  <c r="C617" i="1"/>
  <c r="D616" i="1"/>
  <c r="C616" i="1"/>
  <c r="D615" i="1"/>
  <c r="C615" i="1"/>
  <c r="D614" i="1"/>
  <c r="C614" i="1"/>
  <c r="D613" i="1"/>
  <c r="C613" i="1"/>
  <c r="D612" i="1"/>
  <c r="C612" i="1"/>
  <c r="D611" i="1"/>
  <c r="C611" i="1"/>
  <c r="D610" i="1"/>
  <c r="C610" i="1"/>
  <c r="D609" i="1"/>
  <c r="C609" i="1"/>
  <c r="D608" i="1"/>
  <c r="C608" i="1"/>
  <c r="D607" i="1"/>
  <c r="C607" i="1"/>
  <c r="D606" i="1"/>
  <c r="C606" i="1"/>
  <c r="D605" i="1"/>
  <c r="C605" i="1"/>
  <c r="D604" i="1"/>
  <c r="C604" i="1"/>
  <c r="D603" i="1"/>
  <c r="C603" i="1"/>
  <c r="D602" i="1"/>
  <c r="C602" i="1"/>
  <c r="D601" i="1"/>
  <c r="C601" i="1"/>
  <c r="D600" i="1"/>
  <c r="C600" i="1"/>
  <c r="D599" i="1"/>
  <c r="C599" i="1"/>
  <c r="D598" i="1"/>
  <c r="C598" i="1"/>
  <c r="D597" i="1"/>
  <c r="C597" i="1"/>
  <c r="D596" i="1"/>
  <c r="C596" i="1"/>
  <c r="D595" i="1"/>
  <c r="C595" i="1"/>
  <c r="D594" i="1"/>
  <c r="C594" i="1"/>
  <c r="D593" i="1"/>
  <c r="C593" i="1"/>
  <c r="D592" i="1"/>
  <c r="C592" i="1"/>
  <c r="D591" i="1"/>
  <c r="C591" i="1"/>
  <c r="D590" i="1"/>
  <c r="C590" i="1"/>
  <c r="D589" i="1"/>
  <c r="C589" i="1"/>
  <c r="D588" i="1"/>
  <c r="C588" i="1"/>
  <c r="D587" i="1"/>
  <c r="C587" i="1"/>
  <c r="D586" i="1"/>
  <c r="C586" i="1"/>
  <c r="D585" i="1"/>
  <c r="C585" i="1"/>
  <c r="D584" i="1"/>
  <c r="C584" i="1"/>
  <c r="D583" i="1"/>
  <c r="C583" i="1"/>
  <c r="D582" i="1"/>
  <c r="C582" i="1"/>
  <c r="D581" i="1"/>
  <c r="C581" i="1"/>
  <c r="D580" i="1"/>
  <c r="C580" i="1"/>
  <c r="D579" i="1"/>
  <c r="C579" i="1"/>
  <c r="D578" i="1"/>
  <c r="C578" i="1"/>
  <c r="D577" i="1"/>
  <c r="C577" i="1"/>
  <c r="D576" i="1"/>
  <c r="C576" i="1"/>
  <c r="D575" i="1"/>
  <c r="C575" i="1"/>
  <c r="D574" i="1"/>
  <c r="C574" i="1"/>
  <c r="D573" i="1"/>
  <c r="C573" i="1"/>
  <c r="D572" i="1"/>
  <c r="C572" i="1"/>
  <c r="D571" i="1"/>
  <c r="C571" i="1"/>
  <c r="D570" i="1"/>
  <c r="C570" i="1"/>
  <c r="D569" i="1"/>
  <c r="C569" i="1"/>
  <c r="D568" i="1"/>
  <c r="C568" i="1"/>
  <c r="D567" i="1"/>
  <c r="C567" i="1"/>
  <c r="D566" i="1"/>
  <c r="C566" i="1"/>
  <c r="D565" i="1"/>
  <c r="C565" i="1"/>
  <c r="D564" i="1"/>
  <c r="C564" i="1"/>
  <c r="D563" i="1"/>
  <c r="C563" i="1"/>
  <c r="D562" i="1"/>
  <c r="C562" i="1"/>
  <c r="D561" i="1"/>
  <c r="C561" i="1"/>
  <c r="D560" i="1"/>
  <c r="C560" i="1"/>
  <c r="D559" i="1"/>
  <c r="C559" i="1"/>
  <c r="D558" i="1"/>
  <c r="C558" i="1"/>
  <c r="D557" i="1"/>
  <c r="C557" i="1"/>
  <c r="D556" i="1"/>
  <c r="C556" i="1"/>
  <c r="D555" i="1"/>
  <c r="C555" i="1"/>
  <c r="D554" i="1"/>
  <c r="C554" i="1"/>
  <c r="D553" i="1"/>
  <c r="C553" i="1"/>
  <c r="D552" i="1"/>
  <c r="C552" i="1"/>
  <c r="D551" i="1"/>
  <c r="C551" i="1"/>
  <c r="D550" i="1"/>
  <c r="C550" i="1"/>
  <c r="D549" i="1"/>
  <c r="C549" i="1"/>
  <c r="D548" i="1"/>
  <c r="C548" i="1"/>
  <c r="D547" i="1"/>
  <c r="C547" i="1"/>
  <c r="D546" i="1"/>
  <c r="C546" i="1"/>
  <c r="D545" i="1"/>
  <c r="C545" i="1"/>
  <c r="D544" i="1"/>
  <c r="C544" i="1"/>
  <c r="D543" i="1"/>
  <c r="C543" i="1"/>
  <c r="D542" i="1"/>
  <c r="C542" i="1"/>
  <c r="D541" i="1"/>
  <c r="C541" i="1"/>
  <c r="D540" i="1"/>
  <c r="C540" i="1"/>
  <c r="D539" i="1"/>
  <c r="C539" i="1"/>
  <c r="D538" i="1"/>
  <c r="C538" i="1"/>
  <c r="D537" i="1"/>
  <c r="C537" i="1"/>
  <c r="D536" i="1"/>
  <c r="C536" i="1"/>
  <c r="D535" i="1"/>
  <c r="C535" i="1"/>
  <c r="D534" i="1"/>
  <c r="C534" i="1"/>
  <c r="D533" i="1"/>
  <c r="C533" i="1"/>
  <c r="D532" i="1"/>
  <c r="C532" i="1"/>
  <c r="D531" i="1"/>
  <c r="C531" i="1"/>
  <c r="D530" i="1"/>
  <c r="C530" i="1"/>
  <c r="D529" i="1"/>
  <c r="C529" i="1"/>
  <c r="D528" i="1"/>
  <c r="C528" i="1"/>
  <c r="D527" i="1"/>
  <c r="C527" i="1"/>
  <c r="D526" i="1"/>
  <c r="C526" i="1"/>
  <c r="D525" i="1"/>
  <c r="C525" i="1"/>
  <c r="D524" i="1"/>
  <c r="C524" i="1"/>
  <c r="D523" i="1"/>
  <c r="C523" i="1"/>
  <c r="D522" i="1"/>
  <c r="C522" i="1"/>
  <c r="D521" i="1"/>
  <c r="C521" i="1"/>
  <c r="D520" i="1"/>
  <c r="C520" i="1"/>
  <c r="D519" i="1"/>
  <c r="C519" i="1"/>
  <c r="D518" i="1"/>
  <c r="C518" i="1"/>
  <c r="D517" i="1"/>
  <c r="C517" i="1"/>
  <c r="D516" i="1"/>
  <c r="C516" i="1"/>
  <c r="D515" i="1"/>
  <c r="C515" i="1"/>
  <c r="D514" i="1"/>
  <c r="C514" i="1"/>
  <c r="D513" i="1"/>
  <c r="C513" i="1"/>
  <c r="D512" i="1"/>
  <c r="C512" i="1"/>
  <c r="D511" i="1"/>
  <c r="C511" i="1"/>
  <c r="D510" i="1"/>
  <c r="C510" i="1"/>
  <c r="D509" i="1"/>
  <c r="C509" i="1"/>
  <c r="D508" i="1"/>
  <c r="C508" i="1"/>
  <c r="D507" i="1"/>
  <c r="C507" i="1"/>
  <c r="D506" i="1"/>
  <c r="C506" i="1"/>
  <c r="D505" i="1"/>
  <c r="C505" i="1"/>
  <c r="D504" i="1"/>
  <c r="C504" i="1"/>
  <c r="D503" i="1"/>
  <c r="C503" i="1"/>
  <c r="D502" i="1"/>
  <c r="C502" i="1"/>
  <c r="D501" i="1"/>
  <c r="C501" i="1"/>
  <c r="D500" i="1"/>
  <c r="C500" i="1"/>
  <c r="D499" i="1"/>
  <c r="C499" i="1"/>
  <c r="D498" i="1"/>
  <c r="C498" i="1"/>
  <c r="D497" i="1"/>
  <c r="C497" i="1"/>
  <c r="D496" i="1"/>
  <c r="C496" i="1"/>
  <c r="D495" i="1"/>
  <c r="C495" i="1"/>
  <c r="D494" i="1"/>
  <c r="C494" i="1"/>
  <c r="D493" i="1"/>
  <c r="C493" i="1"/>
  <c r="D492" i="1"/>
  <c r="C492" i="1"/>
  <c r="D491" i="1"/>
  <c r="C491" i="1"/>
  <c r="D490" i="1"/>
  <c r="C490" i="1"/>
  <c r="D489" i="1"/>
  <c r="C489" i="1"/>
  <c r="D488" i="1"/>
  <c r="C488" i="1"/>
  <c r="D487" i="1"/>
  <c r="C487" i="1"/>
  <c r="D486" i="1"/>
  <c r="C486" i="1"/>
  <c r="D485" i="1"/>
  <c r="C485" i="1"/>
  <c r="D484" i="1"/>
  <c r="C484" i="1"/>
  <c r="D483" i="1"/>
  <c r="C483" i="1"/>
  <c r="D482" i="1"/>
  <c r="C482" i="1"/>
  <c r="D481" i="1"/>
  <c r="C481" i="1"/>
  <c r="D480" i="1"/>
  <c r="C480" i="1"/>
  <c r="D479" i="1"/>
  <c r="C479" i="1"/>
  <c r="D478" i="1"/>
  <c r="C478" i="1"/>
  <c r="D477" i="1"/>
  <c r="C477" i="1"/>
  <c r="D476" i="1"/>
  <c r="C476" i="1"/>
  <c r="D475" i="1"/>
  <c r="C475" i="1"/>
  <c r="D474" i="1"/>
  <c r="C474" i="1"/>
  <c r="D473" i="1"/>
  <c r="C473" i="1"/>
  <c r="D472" i="1"/>
  <c r="C472" i="1"/>
  <c r="D471" i="1"/>
  <c r="C471" i="1"/>
  <c r="D470" i="1"/>
  <c r="C470" i="1"/>
  <c r="D469" i="1"/>
  <c r="C469" i="1"/>
  <c r="D468" i="1"/>
  <c r="C468" i="1"/>
  <c r="D467" i="1"/>
  <c r="C467" i="1"/>
  <c r="D466" i="1"/>
  <c r="C466" i="1"/>
  <c r="D465" i="1"/>
  <c r="C465" i="1"/>
  <c r="D464" i="1"/>
  <c r="C464" i="1"/>
  <c r="D463" i="1"/>
  <c r="C463" i="1"/>
  <c r="D462" i="1"/>
  <c r="C462" i="1"/>
  <c r="D461" i="1"/>
  <c r="C461" i="1"/>
  <c r="D460" i="1"/>
  <c r="C460" i="1"/>
  <c r="D459" i="1"/>
  <c r="C459" i="1"/>
  <c r="D458" i="1"/>
  <c r="C458" i="1"/>
  <c r="D457" i="1"/>
  <c r="C457" i="1"/>
  <c r="D456" i="1"/>
  <c r="C456" i="1"/>
  <c r="D455" i="1"/>
  <c r="C455" i="1"/>
  <c r="D454" i="1"/>
  <c r="C454" i="1"/>
  <c r="D453" i="1"/>
  <c r="C453" i="1"/>
  <c r="D452" i="1"/>
  <c r="C452" i="1"/>
  <c r="D451" i="1"/>
  <c r="C451" i="1"/>
  <c r="D450" i="1"/>
  <c r="C450" i="1"/>
  <c r="D449" i="1"/>
  <c r="C449" i="1"/>
  <c r="D448" i="1"/>
  <c r="C448" i="1"/>
  <c r="D447" i="1"/>
  <c r="C447" i="1"/>
  <c r="D446" i="1"/>
  <c r="C446" i="1"/>
  <c r="D445" i="1"/>
  <c r="C445" i="1"/>
  <c r="D444" i="1"/>
  <c r="C444" i="1"/>
  <c r="D443" i="1"/>
  <c r="C443" i="1"/>
  <c r="D442" i="1"/>
  <c r="C442" i="1"/>
  <c r="D441" i="1"/>
  <c r="C441" i="1"/>
  <c r="D440" i="1"/>
  <c r="C440" i="1"/>
  <c r="D439" i="1"/>
  <c r="C439" i="1"/>
  <c r="D438" i="1"/>
  <c r="C438" i="1"/>
  <c r="D437" i="1"/>
  <c r="C437" i="1"/>
  <c r="D436" i="1"/>
  <c r="C436" i="1"/>
  <c r="D435" i="1"/>
  <c r="C435" i="1"/>
  <c r="D434" i="1"/>
  <c r="C434" i="1"/>
  <c r="D433" i="1"/>
  <c r="C433" i="1"/>
  <c r="D432" i="1"/>
  <c r="C432" i="1"/>
  <c r="D431" i="1"/>
  <c r="C431" i="1"/>
  <c r="D430" i="1"/>
  <c r="C430" i="1"/>
  <c r="D429" i="1"/>
  <c r="C429" i="1"/>
  <c r="D428" i="1"/>
  <c r="C428" i="1"/>
  <c r="D427" i="1"/>
  <c r="C427" i="1"/>
  <c r="D426" i="1"/>
  <c r="C426" i="1"/>
  <c r="D425" i="1"/>
  <c r="C425" i="1"/>
  <c r="D424" i="1"/>
  <c r="C424" i="1"/>
  <c r="D423" i="1"/>
  <c r="C423" i="1"/>
  <c r="D422" i="1"/>
  <c r="C422" i="1"/>
  <c r="D421" i="1"/>
  <c r="C421" i="1"/>
  <c r="D420" i="1"/>
  <c r="C420" i="1"/>
  <c r="D419" i="1"/>
  <c r="C419" i="1"/>
  <c r="D418" i="1"/>
  <c r="C418" i="1"/>
  <c r="D417" i="1"/>
  <c r="C417" i="1"/>
  <c r="D416" i="1"/>
  <c r="C416" i="1"/>
  <c r="D415" i="1"/>
  <c r="C415" i="1"/>
  <c r="D414" i="1"/>
  <c r="C414" i="1"/>
  <c r="D413" i="1"/>
  <c r="C413" i="1"/>
  <c r="D412" i="1"/>
  <c r="C412" i="1"/>
  <c r="D411" i="1"/>
  <c r="C411" i="1"/>
  <c r="D410" i="1"/>
  <c r="C410" i="1"/>
  <c r="D409" i="1"/>
  <c r="C409" i="1"/>
  <c r="D408" i="1"/>
  <c r="C408" i="1"/>
  <c r="D407" i="1"/>
  <c r="C407" i="1"/>
  <c r="D406" i="1"/>
  <c r="C406" i="1"/>
  <c r="D405" i="1"/>
  <c r="C405" i="1"/>
  <c r="D404" i="1"/>
  <c r="C404" i="1"/>
  <c r="D403" i="1"/>
  <c r="C403" i="1"/>
  <c r="D402" i="1"/>
  <c r="C402" i="1"/>
  <c r="D401" i="1"/>
  <c r="C401" i="1"/>
  <c r="D400" i="1"/>
  <c r="C400" i="1"/>
  <c r="D399" i="1"/>
  <c r="C399" i="1"/>
  <c r="D398" i="1"/>
  <c r="C398" i="1"/>
  <c r="D397" i="1"/>
  <c r="C397" i="1"/>
  <c r="D396" i="1"/>
  <c r="C396" i="1"/>
  <c r="D395" i="1"/>
  <c r="C395" i="1"/>
  <c r="D394" i="1"/>
  <c r="C394" i="1"/>
  <c r="D393" i="1"/>
  <c r="C393" i="1"/>
  <c r="D392" i="1"/>
  <c r="C392" i="1"/>
  <c r="D391" i="1"/>
  <c r="C391" i="1"/>
  <c r="D390" i="1"/>
  <c r="C390" i="1"/>
  <c r="D389" i="1"/>
  <c r="C389" i="1"/>
  <c r="D388" i="1"/>
  <c r="C388" i="1"/>
  <c r="D387" i="1"/>
  <c r="C387" i="1"/>
  <c r="D386" i="1"/>
  <c r="C386" i="1"/>
  <c r="D385" i="1"/>
  <c r="C385" i="1"/>
  <c r="D384" i="1"/>
  <c r="C384" i="1"/>
  <c r="D383" i="1"/>
  <c r="C383" i="1"/>
  <c r="D382" i="1"/>
  <c r="C382" i="1"/>
  <c r="D381" i="1"/>
  <c r="C381" i="1"/>
  <c r="D380" i="1"/>
  <c r="C380" i="1"/>
  <c r="D379" i="1"/>
  <c r="C379" i="1"/>
  <c r="D378" i="1"/>
  <c r="C378" i="1"/>
  <c r="D377" i="1"/>
  <c r="C377" i="1"/>
  <c r="D376" i="1"/>
  <c r="C376" i="1"/>
  <c r="D375" i="1"/>
  <c r="C375" i="1"/>
  <c r="D374" i="1"/>
  <c r="C374" i="1"/>
  <c r="D373" i="1"/>
  <c r="C373" i="1"/>
  <c r="D372" i="1"/>
  <c r="C372" i="1"/>
  <c r="D371" i="1"/>
  <c r="C371" i="1"/>
  <c r="D370" i="1"/>
  <c r="C370" i="1"/>
  <c r="D369" i="1"/>
  <c r="C369" i="1"/>
  <c r="D368" i="1"/>
  <c r="C368" i="1"/>
  <c r="D367" i="1"/>
  <c r="C367" i="1"/>
  <c r="D366" i="1"/>
  <c r="C366" i="1"/>
  <c r="D365" i="1"/>
  <c r="C365" i="1"/>
  <c r="D364" i="1"/>
  <c r="C364" i="1"/>
  <c r="D363" i="1"/>
  <c r="C363" i="1"/>
  <c r="D362" i="1"/>
  <c r="C362" i="1"/>
  <c r="D361" i="1"/>
  <c r="C361" i="1"/>
  <c r="D360" i="1"/>
  <c r="C360" i="1"/>
  <c r="D359" i="1"/>
  <c r="C359" i="1"/>
  <c r="D358" i="1"/>
  <c r="C358" i="1"/>
  <c r="D357" i="1"/>
  <c r="C357" i="1"/>
  <c r="D356" i="1"/>
  <c r="C356" i="1"/>
  <c r="D355" i="1"/>
  <c r="C355" i="1"/>
  <c r="D354" i="1"/>
  <c r="C354" i="1"/>
  <c r="D353" i="1"/>
  <c r="C353" i="1"/>
  <c r="D352" i="1"/>
  <c r="C352" i="1"/>
  <c r="D351" i="1"/>
  <c r="C351" i="1"/>
  <c r="D350" i="1"/>
  <c r="C350" i="1"/>
  <c r="D349" i="1"/>
  <c r="C349" i="1"/>
  <c r="D348" i="1"/>
  <c r="C348" i="1"/>
  <c r="D347" i="1"/>
  <c r="C347" i="1"/>
  <c r="D346" i="1"/>
  <c r="C346" i="1"/>
  <c r="D345" i="1"/>
  <c r="C345" i="1"/>
  <c r="D344" i="1"/>
  <c r="C344" i="1"/>
  <c r="D343" i="1"/>
  <c r="C343" i="1"/>
  <c r="D342" i="1"/>
  <c r="C342" i="1"/>
  <c r="D341" i="1"/>
  <c r="C341" i="1"/>
  <c r="D340" i="1"/>
  <c r="C340" i="1"/>
  <c r="D339" i="1"/>
  <c r="C339" i="1"/>
  <c r="D338" i="1"/>
  <c r="C338" i="1"/>
  <c r="D337" i="1"/>
  <c r="C337" i="1"/>
  <c r="D336" i="1"/>
  <c r="C336" i="1"/>
  <c r="D335" i="1"/>
  <c r="C335" i="1"/>
  <c r="D334" i="1"/>
  <c r="C334" i="1"/>
  <c r="D333" i="1"/>
  <c r="C333" i="1"/>
  <c r="D332" i="1"/>
  <c r="C332" i="1"/>
  <c r="D331" i="1"/>
  <c r="C331" i="1"/>
  <c r="D330" i="1"/>
  <c r="C330" i="1"/>
  <c r="D329" i="1"/>
  <c r="C329" i="1"/>
  <c r="D328" i="1"/>
  <c r="C328" i="1"/>
  <c r="D327" i="1"/>
  <c r="C327" i="1"/>
  <c r="D326" i="1"/>
  <c r="C326" i="1"/>
  <c r="D325" i="1"/>
  <c r="C325" i="1"/>
  <c r="D324" i="1"/>
  <c r="C324" i="1"/>
  <c r="D323" i="1"/>
  <c r="C323" i="1"/>
  <c r="D322" i="1"/>
  <c r="C322" i="1"/>
  <c r="D321" i="1"/>
  <c r="C321" i="1"/>
  <c r="D320" i="1"/>
  <c r="C320" i="1"/>
  <c r="D319" i="1"/>
  <c r="C319" i="1"/>
  <c r="D318" i="1"/>
  <c r="C318" i="1"/>
  <c r="D317" i="1"/>
  <c r="C317" i="1"/>
  <c r="D316" i="1"/>
  <c r="C316" i="1"/>
  <c r="D315" i="1"/>
  <c r="C315" i="1"/>
  <c r="D314" i="1"/>
  <c r="C314" i="1"/>
  <c r="D313" i="1"/>
  <c r="C313" i="1"/>
  <c r="D312" i="1"/>
  <c r="C312" i="1"/>
  <c r="D311" i="1"/>
  <c r="C311" i="1"/>
  <c r="D310" i="1"/>
  <c r="C310" i="1"/>
  <c r="D309" i="1"/>
  <c r="C309" i="1"/>
  <c r="D308" i="1"/>
  <c r="C308" i="1"/>
  <c r="D307" i="1"/>
  <c r="C307" i="1"/>
  <c r="D306" i="1"/>
  <c r="C306" i="1"/>
  <c r="D305" i="1"/>
  <c r="C305" i="1"/>
  <c r="D304" i="1"/>
  <c r="C304" i="1"/>
  <c r="D303" i="1"/>
  <c r="C303" i="1"/>
  <c r="D302" i="1"/>
  <c r="C302" i="1"/>
  <c r="D301" i="1"/>
  <c r="C301" i="1"/>
  <c r="D300" i="1"/>
  <c r="C300" i="1"/>
  <c r="D299" i="1"/>
  <c r="C299" i="1"/>
  <c r="D298" i="1"/>
  <c r="C298" i="1"/>
  <c r="D297" i="1"/>
  <c r="C297" i="1"/>
  <c r="D296" i="1"/>
  <c r="C296" i="1"/>
  <c r="D295" i="1"/>
  <c r="C295" i="1"/>
  <c r="D294" i="1"/>
  <c r="C294" i="1"/>
  <c r="D293" i="1"/>
  <c r="C293" i="1"/>
  <c r="D292" i="1"/>
  <c r="C292" i="1"/>
  <c r="D291" i="1"/>
  <c r="C291" i="1"/>
  <c r="D290" i="1"/>
  <c r="C290" i="1"/>
  <c r="D289" i="1"/>
  <c r="C289" i="1"/>
  <c r="D288" i="1"/>
  <c r="C288" i="1"/>
  <c r="D287" i="1"/>
  <c r="C287" i="1"/>
  <c r="D286" i="1"/>
  <c r="C286" i="1"/>
  <c r="D285" i="1"/>
  <c r="C285" i="1"/>
  <c r="D284" i="1"/>
  <c r="C284" i="1"/>
  <c r="D283" i="1"/>
  <c r="C283" i="1"/>
  <c r="D282" i="1"/>
  <c r="C282" i="1"/>
  <c r="D281" i="1"/>
  <c r="C281" i="1"/>
  <c r="D280" i="1"/>
  <c r="C280" i="1"/>
  <c r="D279" i="1"/>
  <c r="C279" i="1"/>
  <c r="D278" i="1"/>
  <c r="C278" i="1"/>
  <c r="D277" i="1"/>
  <c r="C277" i="1"/>
  <c r="D276" i="1"/>
  <c r="C276" i="1"/>
  <c r="D275" i="1"/>
  <c r="C275" i="1"/>
  <c r="D274" i="1"/>
  <c r="C274" i="1"/>
  <c r="D273" i="1"/>
  <c r="C273" i="1"/>
  <c r="D272" i="1"/>
  <c r="C272" i="1"/>
  <c r="D271" i="1"/>
  <c r="C271" i="1"/>
  <c r="D270" i="1"/>
  <c r="C270" i="1"/>
  <c r="D269" i="1"/>
  <c r="C269" i="1"/>
  <c r="D268" i="1"/>
  <c r="C268" i="1"/>
  <c r="D267" i="1"/>
  <c r="C267" i="1"/>
  <c r="D266" i="1"/>
  <c r="C266" i="1"/>
  <c r="D265" i="1"/>
  <c r="C265" i="1"/>
  <c r="D264" i="1"/>
  <c r="C264" i="1"/>
  <c r="D263" i="1"/>
  <c r="C263" i="1"/>
  <c r="D262" i="1"/>
  <c r="C262" i="1"/>
  <c r="D261" i="1"/>
  <c r="C261" i="1"/>
  <c r="D260" i="1"/>
  <c r="C260" i="1"/>
  <c r="D259" i="1"/>
  <c r="C259" i="1"/>
  <c r="D258" i="1"/>
  <c r="C258" i="1"/>
  <c r="D257" i="1"/>
  <c r="C257" i="1"/>
  <c r="D256" i="1"/>
  <c r="C256" i="1"/>
  <c r="D255" i="1"/>
  <c r="C255" i="1"/>
  <c r="D254" i="1"/>
  <c r="C254" i="1"/>
  <c r="D253" i="1"/>
  <c r="C253" i="1"/>
  <c r="D252" i="1"/>
  <c r="C252" i="1"/>
  <c r="D251" i="1"/>
  <c r="C251" i="1"/>
  <c r="D250" i="1"/>
  <c r="C250" i="1"/>
  <c r="D249" i="1"/>
  <c r="C249" i="1"/>
  <c r="D248" i="1"/>
  <c r="C248" i="1"/>
  <c r="D247" i="1"/>
  <c r="C247" i="1"/>
  <c r="D246" i="1"/>
  <c r="C246" i="1"/>
  <c r="D245" i="1"/>
  <c r="C245" i="1"/>
  <c r="D244" i="1"/>
  <c r="C244" i="1"/>
  <c r="D243" i="1"/>
  <c r="C243" i="1"/>
  <c r="D242" i="1"/>
  <c r="C242" i="1"/>
  <c r="D241" i="1"/>
  <c r="C241" i="1"/>
  <c r="D240" i="1"/>
  <c r="C240" i="1"/>
  <c r="D239" i="1"/>
  <c r="C239" i="1"/>
  <c r="D238" i="1"/>
  <c r="C238" i="1"/>
  <c r="D237" i="1"/>
  <c r="C237" i="1"/>
  <c r="D236" i="1"/>
  <c r="C236" i="1"/>
  <c r="D235" i="1"/>
  <c r="C235" i="1"/>
  <c r="D234" i="1"/>
  <c r="C234" i="1"/>
  <c r="D233" i="1"/>
  <c r="C233" i="1"/>
  <c r="D232" i="1"/>
  <c r="C232" i="1"/>
  <c r="D231" i="1"/>
  <c r="C231" i="1"/>
  <c r="D230" i="1"/>
  <c r="C230" i="1"/>
  <c r="D229" i="1"/>
  <c r="C229" i="1"/>
  <c r="D228" i="1"/>
  <c r="C228" i="1"/>
  <c r="D227" i="1"/>
  <c r="C227" i="1"/>
  <c r="D226" i="1"/>
  <c r="C226" i="1"/>
  <c r="D225" i="1"/>
  <c r="C225" i="1"/>
  <c r="D224" i="1"/>
  <c r="C224" i="1"/>
  <c r="D223" i="1"/>
  <c r="C223" i="1"/>
  <c r="D222" i="1"/>
  <c r="C222" i="1"/>
  <c r="D221" i="1"/>
  <c r="C221" i="1"/>
  <c r="D220" i="1"/>
  <c r="C220" i="1"/>
  <c r="D219" i="1"/>
  <c r="C219" i="1"/>
  <c r="D218" i="1"/>
  <c r="C218" i="1"/>
  <c r="D217" i="1"/>
  <c r="C217" i="1"/>
  <c r="D216" i="1"/>
  <c r="C216" i="1"/>
  <c r="D215" i="1"/>
  <c r="C215" i="1"/>
  <c r="D214" i="1"/>
  <c r="C214" i="1"/>
  <c r="D213" i="1"/>
  <c r="C213" i="1"/>
  <c r="D212" i="1"/>
  <c r="C212" i="1"/>
  <c r="D211" i="1"/>
  <c r="C211" i="1"/>
  <c r="D210" i="1"/>
  <c r="C210" i="1"/>
  <c r="D209" i="1"/>
  <c r="C209" i="1"/>
  <c r="D208" i="1"/>
  <c r="C208" i="1"/>
  <c r="D207" i="1"/>
  <c r="C207" i="1"/>
  <c r="D206" i="1"/>
  <c r="C206" i="1"/>
  <c r="D205" i="1"/>
  <c r="C205" i="1"/>
  <c r="D204" i="1"/>
  <c r="C204" i="1"/>
  <c r="D203" i="1"/>
  <c r="C203" i="1"/>
  <c r="D202" i="1"/>
  <c r="C202" i="1"/>
  <c r="D201" i="1"/>
  <c r="C201" i="1"/>
  <c r="D200" i="1"/>
  <c r="C200" i="1"/>
  <c r="D199" i="1"/>
  <c r="C199" i="1"/>
  <c r="D198" i="1"/>
  <c r="C198" i="1"/>
  <c r="D197" i="1"/>
  <c r="C197" i="1"/>
  <c r="D196" i="1"/>
  <c r="C196" i="1"/>
  <c r="D195" i="1"/>
  <c r="C195" i="1"/>
  <c r="D194" i="1"/>
  <c r="C194" i="1"/>
  <c r="D193" i="1"/>
  <c r="C193" i="1"/>
  <c r="D192" i="1"/>
  <c r="C192" i="1"/>
  <c r="D191" i="1"/>
  <c r="C191" i="1"/>
  <c r="D190" i="1"/>
  <c r="C190" i="1"/>
  <c r="D189" i="1"/>
  <c r="C189" i="1"/>
  <c r="D188" i="1"/>
  <c r="C188" i="1"/>
  <c r="D187" i="1"/>
  <c r="C187" i="1"/>
  <c r="D186" i="1"/>
  <c r="C186" i="1"/>
  <c r="D185" i="1"/>
  <c r="C185" i="1"/>
  <c r="D184" i="1"/>
  <c r="C184" i="1"/>
  <c r="D183" i="1"/>
  <c r="C183" i="1"/>
  <c r="D182" i="1"/>
  <c r="C182" i="1"/>
  <c r="D181" i="1"/>
  <c r="C181" i="1"/>
  <c r="D180" i="1"/>
  <c r="C180" i="1"/>
  <c r="D179" i="1"/>
  <c r="C179" i="1"/>
  <c r="D178" i="1"/>
  <c r="C178" i="1"/>
  <c r="D177" i="1"/>
  <c r="C177" i="1"/>
  <c r="D176" i="1"/>
  <c r="C176" i="1"/>
  <c r="D175" i="1"/>
  <c r="C175" i="1"/>
  <c r="D174" i="1"/>
  <c r="C174" i="1"/>
  <c r="D173" i="1"/>
  <c r="C173" i="1"/>
  <c r="D172" i="1"/>
  <c r="C172" i="1"/>
  <c r="D171" i="1"/>
  <c r="C171" i="1"/>
  <c r="D170" i="1"/>
  <c r="C170" i="1"/>
  <c r="D169" i="1"/>
  <c r="C169" i="1"/>
  <c r="D168" i="1"/>
  <c r="C168" i="1"/>
  <c r="D167" i="1"/>
  <c r="C167" i="1"/>
  <c r="D166" i="1"/>
  <c r="C166" i="1"/>
  <c r="D165" i="1"/>
  <c r="C165" i="1"/>
  <c r="D164" i="1"/>
  <c r="C164" i="1"/>
  <c r="D163" i="1"/>
  <c r="C163" i="1"/>
  <c r="D162" i="1"/>
  <c r="C162" i="1"/>
  <c r="D161" i="1"/>
  <c r="C161" i="1"/>
  <c r="D160" i="1"/>
  <c r="C160" i="1"/>
  <c r="D159" i="1"/>
  <c r="C159" i="1"/>
  <c r="D158" i="1"/>
  <c r="C158" i="1"/>
  <c r="D157" i="1"/>
  <c r="C157" i="1"/>
  <c r="D156" i="1"/>
  <c r="C156" i="1"/>
  <c r="D155" i="1"/>
  <c r="C155" i="1"/>
  <c r="D154" i="1"/>
  <c r="C154" i="1"/>
  <c r="D153" i="1"/>
  <c r="C153" i="1"/>
  <c r="D152" i="1"/>
  <c r="C152" i="1"/>
  <c r="D151" i="1"/>
  <c r="C151" i="1"/>
  <c r="D150" i="1"/>
  <c r="C150" i="1"/>
  <c r="D149" i="1"/>
  <c r="C149" i="1"/>
  <c r="D148" i="1"/>
  <c r="C148" i="1"/>
  <c r="D147" i="1"/>
  <c r="C147" i="1"/>
  <c r="D146" i="1"/>
  <c r="C146" i="1"/>
  <c r="D145" i="1"/>
  <c r="C145" i="1"/>
  <c r="D144" i="1"/>
  <c r="C144" i="1"/>
  <c r="D143" i="1"/>
  <c r="C143" i="1"/>
  <c r="D142" i="1"/>
  <c r="C142" i="1"/>
  <c r="D141" i="1"/>
  <c r="C141" i="1"/>
  <c r="D140" i="1"/>
  <c r="C140" i="1"/>
  <c r="D139" i="1"/>
  <c r="C139" i="1"/>
  <c r="D138" i="1"/>
  <c r="C138" i="1"/>
  <c r="D137" i="1"/>
  <c r="C137" i="1"/>
  <c r="D136" i="1"/>
  <c r="C136" i="1"/>
  <c r="D135" i="1"/>
  <c r="C135" i="1"/>
  <c r="D134" i="1"/>
  <c r="C134" i="1"/>
  <c r="D133" i="1"/>
  <c r="C133" i="1"/>
  <c r="D132" i="1"/>
  <c r="C132" i="1"/>
  <c r="D131" i="1"/>
  <c r="C131" i="1"/>
  <c r="D130" i="1"/>
  <c r="C130" i="1"/>
  <c r="D129" i="1"/>
  <c r="C129" i="1"/>
  <c r="D128" i="1"/>
  <c r="C128" i="1"/>
  <c r="D127" i="1"/>
  <c r="C127" i="1"/>
  <c r="D126" i="1"/>
  <c r="C126" i="1"/>
  <c r="D125" i="1"/>
  <c r="C125" i="1"/>
  <c r="D124" i="1"/>
  <c r="C124" i="1"/>
  <c r="D123" i="1"/>
  <c r="C123" i="1"/>
  <c r="D122" i="1"/>
  <c r="C122" i="1"/>
  <c r="D121" i="1"/>
  <c r="C121" i="1"/>
  <c r="D120" i="1"/>
  <c r="C120" i="1"/>
  <c r="D119" i="1"/>
  <c r="C119" i="1"/>
  <c r="D118" i="1"/>
  <c r="C118" i="1"/>
  <c r="D117" i="1"/>
  <c r="C117" i="1"/>
  <c r="D116" i="1"/>
  <c r="C116" i="1"/>
  <c r="D115" i="1"/>
  <c r="C115" i="1"/>
  <c r="D114" i="1"/>
  <c r="C114" i="1"/>
  <c r="D113" i="1"/>
  <c r="C113" i="1"/>
  <c r="D112" i="1"/>
  <c r="C112" i="1"/>
  <c r="D111" i="1"/>
  <c r="C111" i="1"/>
  <c r="D110" i="1"/>
  <c r="C110" i="1"/>
  <c r="D109" i="1"/>
  <c r="C109" i="1"/>
  <c r="D108" i="1"/>
  <c r="C108" i="1"/>
  <c r="D107" i="1"/>
  <c r="C107" i="1"/>
  <c r="D106" i="1"/>
  <c r="C106" i="1"/>
  <c r="D105" i="1"/>
  <c r="C105" i="1"/>
  <c r="D104" i="1"/>
  <c r="C104" i="1"/>
  <c r="D103" i="1"/>
  <c r="C103" i="1"/>
  <c r="D102" i="1"/>
  <c r="C102" i="1"/>
  <c r="D101" i="1"/>
  <c r="C101" i="1"/>
  <c r="D100" i="1"/>
  <c r="C100" i="1"/>
  <c r="D99" i="1"/>
  <c r="C99" i="1"/>
  <c r="D98" i="1"/>
  <c r="C98" i="1"/>
  <c r="D97" i="1"/>
  <c r="C97" i="1"/>
  <c r="D96" i="1"/>
  <c r="C96" i="1"/>
  <c r="D95" i="1"/>
  <c r="C95" i="1"/>
  <c r="D94" i="1"/>
  <c r="C94" i="1"/>
  <c r="D93" i="1"/>
  <c r="C93" i="1"/>
  <c r="D92" i="1"/>
  <c r="C92" i="1"/>
  <c r="D91" i="1"/>
  <c r="C91" i="1"/>
  <c r="D90" i="1"/>
  <c r="C90" i="1"/>
  <c r="D89" i="1"/>
  <c r="C89" i="1"/>
  <c r="D88" i="1"/>
  <c r="C88" i="1"/>
  <c r="D87" i="1"/>
  <c r="C87" i="1"/>
  <c r="D86" i="1"/>
  <c r="C86" i="1"/>
  <c r="D85" i="1"/>
  <c r="C85" i="1"/>
  <c r="D84" i="1"/>
  <c r="C84" i="1"/>
  <c r="D83" i="1"/>
  <c r="C83" i="1"/>
  <c r="D82" i="1"/>
  <c r="C82" i="1"/>
  <c r="D81" i="1"/>
  <c r="C81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</calcChain>
</file>

<file path=xl/sharedStrings.xml><?xml version="1.0" encoding="utf-8"?>
<sst xmlns="http://schemas.openxmlformats.org/spreadsheetml/2006/main" count="9060" uniqueCount="6816">
  <si>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</si>
  <si>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</si>
  <si>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</si>
  <si>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</si>
  <si>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</si>
  <si>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</si>
  <si>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</si>
  <si>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</si>
  <si>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</si>
  <si>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</si>
  <si>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</si>
  <si>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</si>
  <si>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</si>
  <si>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</si>
  <si>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</si>
  <si>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</si>
  <si>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</si>
  <si>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</si>
  <si>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</si>
  <si>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</si>
  <si>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</si>
  <si>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</si>
  <si>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</si>
  <si>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</si>
  <si>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</si>
  <si>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</si>
  <si>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</si>
  <si>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</si>
  <si>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</si>
  <si>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</si>
  <si>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</si>
  <si>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</si>
  <si>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</si>
  <si>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</si>
  <si>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</si>
  <si>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</si>
  <si>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</si>
  <si>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A001810</t>
  </si>
  <si>
    <t>A109860</t>
  </si>
  <si>
    <t>A032960</t>
  </si>
  <si>
    <t>A066670</t>
  </si>
  <si>
    <t>A110990</t>
  </si>
  <si>
    <t>A066900</t>
  </si>
  <si>
    <t>A196450</t>
  </si>
  <si>
    <t>A043360</t>
  </si>
  <si>
    <t>A131180</t>
  </si>
  <si>
    <t>A033600</t>
  </si>
  <si>
    <t>A038390</t>
  </si>
  <si>
    <t>A228850</t>
  </si>
  <si>
    <t>A900260</t>
  </si>
  <si>
    <t>A039980</t>
  </si>
  <si>
    <t>A012700</t>
  </si>
  <si>
    <t>A005990</t>
  </si>
  <si>
    <t>A127160</t>
  </si>
  <si>
    <t>A093520</t>
  </si>
  <si>
    <t>A072870</t>
  </si>
  <si>
    <t>A014100</t>
  </si>
  <si>
    <t>A241770</t>
  </si>
  <si>
    <t>A080420</t>
  </si>
  <si>
    <t>A013120</t>
  </si>
  <si>
    <t>A088910</t>
  </si>
  <si>
    <t>A228340</t>
  </si>
  <si>
    <t>A007680</t>
  </si>
  <si>
    <t>A020400</t>
  </si>
  <si>
    <t>A008830</t>
  </si>
  <si>
    <t>A048470</t>
  </si>
  <si>
    <t>A004780</t>
  </si>
  <si>
    <t>A017650</t>
  </si>
  <si>
    <t>A007720</t>
  </si>
  <si>
    <t>A317850</t>
  </si>
  <si>
    <t>A108380</t>
  </si>
  <si>
    <t>A006580</t>
  </si>
  <si>
    <t>A005710</t>
  </si>
  <si>
    <t>A079960</t>
  </si>
  <si>
    <t>A140520</t>
  </si>
  <si>
    <t>A023910</t>
  </si>
  <si>
    <t>A021040</t>
  </si>
  <si>
    <t>A090410</t>
  </si>
  <si>
    <t>A067990</t>
  </si>
  <si>
    <t>A005160</t>
  </si>
  <si>
    <t>A075970</t>
  </si>
  <si>
    <t>A088130</t>
  </si>
  <si>
    <t>A060380</t>
  </si>
  <si>
    <t>A101330</t>
  </si>
  <si>
    <t>A028040</t>
  </si>
  <si>
    <t>A054050</t>
  </si>
  <si>
    <t>A095500</t>
  </si>
  <si>
    <t>A027040</t>
  </si>
  <si>
    <t>A093920</t>
  </si>
  <si>
    <t>A189860</t>
  </si>
  <si>
    <t>A122690</t>
  </si>
  <si>
    <t>A140070</t>
  </si>
  <si>
    <t>A011370</t>
  </si>
  <si>
    <t>A035890</t>
  </si>
  <si>
    <t>A003100</t>
  </si>
  <si>
    <t>A171090</t>
  </si>
  <si>
    <t>A014620</t>
  </si>
  <si>
    <t>A037350</t>
  </si>
  <si>
    <t>A081580</t>
  </si>
  <si>
    <t>A045300</t>
  </si>
  <si>
    <t>A015750</t>
  </si>
  <si>
    <t>A053060</t>
  </si>
  <si>
    <t>A017510</t>
  </si>
  <si>
    <t>A011560</t>
  </si>
  <si>
    <t>A024830</t>
  </si>
  <si>
    <t>A039310</t>
  </si>
  <si>
    <t>A053450</t>
  </si>
  <si>
    <t>A043100</t>
  </si>
  <si>
    <t>A043710</t>
  </si>
  <si>
    <t>A079650</t>
  </si>
  <si>
    <t>A006730</t>
  </si>
  <si>
    <t>A072950</t>
  </si>
  <si>
    <t>A213090</t>
  </si>
  <si>
    <t>A035620</t>
  </si>
  <si>
    <t>A208710</t>
  </si>
  <si>
    <t>A019010</t>
  </si>
  <si>
    <t>A014470</t>
  </si>
  <si>
    <t>A008470</t>
  </si>
  <si>
    <t>A033560</t>
  </si>
  <si>
    <t>A141000</t>
  </si>
  <si>
    <t>A093190</t>
  </si>
  <si>
    <t>A018310</t>
  </si>
  <si>
    <t>A038540</t>
  </si>
  <si>
    <t>A053700</t>
  </si>
  <si>
    <t>A023600</t>
  </si>
  <si>
    <t>A009300</t>
  </si>
  <si>
    <t>A054540</t>
  </si>
  <si>
    <t>A032280</t>
  </si>
  <si>
    <t>A037460</t>
  </si>
  <si>
    <t>A032750</t>
  </si>
  <si>
    <t>A038500</t>
  </si>
  <si>
    <t>A017480</t>
  </si>
  <si>
    <t>A032190</t>
  </si>
  <si>
    <t>A042420</t>
  </si>
  <si>
    <t>A161390</t>
  </si>
  <si>
    <t>A010690</t>
  </si>
  <si>
    <t>A267270</t>
  </si>
  <si>
    <t>A005440</t>
  </si>
  <si>
    <t>A079430</t>
  </si>
  <si>
    <t>A012330</t>
  </si>
  <si>
    <t>A010620</t>
  </si>
  <si>
    <t>A069960</t>
  </si>
  <si>
    <t>A004560</t>
  </si>
  <si>
    <t>A011760</t>
  </si>
  <si>
    <t>A011210</t>
  </si>
  <si>
    <t>A004020</t>
  </si>
  <si>
    <t>A267250</t>
  </si>
  <si>
    <t>A005380</t>
  </si>
  <si>
    <t>A001500</t>
  </si>
  <si>
    <t>A006840</t>
  </si>
  <si>
    <t>A126560</t>
  </si>
  <si>
    <t>A001450</t>
  </si>
  <si>
    <t>A057050</t>
  </si>
  <si>
    <t>A003010</t>
  </si>
  <si>
    <t>A111110</t>
  </si>
  <si>
    <t>A002460</t>
  </si>
  <si>
    <t>A013520</t>
  </si>
  <si>
    <t>A000720</t>
  </si>
  <si>
    <t>A143210</t>
  </si>
  <si>
    <t>A003530</t>
  </si>
  <si>
    <t>A004150</t>
  </si>
  <si>
    <t>A034830</t>
  </si>
  <si>
    <t>A010100</t>
  </si>
  <si>
    <t>A014790</t>
  </si>
  <si>
    <t>A060980</t>
  </si>
  <si>
    <t>A053690</t>
  </si>
  <si>
    <t>A020000</t>
  </si>
  <si>
    <t>A069640</t>
  </si>
  <si>
    <t>A010420</t>
  </si>
  <si>
    <t>A213500</t>
  </si>
  <si>
    <t>A004960</t>
  </si>
  <si>
    <t>A012450</t>
  </si>
  <si>
    <t>A011700</t>
  </si>
  <si>
    <t>A001750</t>
  </si>
  <si>
    <t>A002220</t>
  </si>
  <si>
    <t>A003300</t>
  </si>
  <si>
    <t>A002320</t>
  </si>
  <si>
    <t>A003480</t>
  </si>
  <si>
    <t>A000880</t>
  </si>
  <si>
    <t>A088350</t>
  </si>
  <si>
    <t>A000370</t>
  </si>
  <si>
    <t>A006060</t>
  </si>
  <si>
    <t>A133820</t>
  </si>
  <si>
    <t>A212560</t>
  </si>
  <si>
    <t>A010660</t>
  </si>
  <si>
    <t>A255220</t>
  </si>
  <si>
    <t>A040610</t>
  </si>
  <si>
    <t>A016250</t>
  </si>
  <si>
    <t>A950180</t>
  </si>
  <si>
    <t>A032540</t>
  </si>
  <si>
    <t>A040300</t>
  </si>
  <si>
    <t>A051390</t>
  </si>
  <si>
    <t>A078890</t>
  </si>
  <si>
    <t>A039240</t>
  </si>
  <si>
    <t>A900280</t>
  </si>
  <si>
    <t>A121440</t>
  </si>
  <si>
    <t>A053270</t>
  </si>
  <si>
    <t>A066620</t>
  </si>
  <si>
    <t>A043650</t>
  </si>
  <si>
    <t>A204020</t>
  </si>
  <si>
    <t>A900070</t>
  </si>
  <si>
    <t>A053260</t>
  </si>
  <si>
    <t>A036190</t>
  </si>
  <si>
    <t>A308100</t>
  </si>
  <si>
    <t>A187790</t>
  </si>
  <si>
    <t>A036800</t>
  </si>
  <si>
    <t>A046140</t>
  </si>
  <si>
    <t>A091340</t>
  </si>
  <si>
    <t>A024940</t>
  </si>
  <si>
    <t>A054620</t>
  </si>
  <si>
    <t>A000850</t>
  </si>
  <si>
    <t>A016580</t>
  </si>
  <si>
    <t>A032560</t>
  </si>
  <si>
    <t>A004800</t>
  </si>
  <si>
    <t>A298040</t>
  </si>
  <si>
    <t>A005870</t>
  </si>
  <si>
    <t>A079980</t>
  </si>
  <si>
    <t>A005010</t>
  </si>
  <si>
    <t>A000540</t>
  </si>
  <si>
    <t>A035760</t>
  </si>
  <si>
    <t>A053290</t>
  </si>
  <si>
    <t>A023460</t>
  </si>
  <si>
    <t>A900290</t>
  </si>
  <si>
    <t>A028150</t>
  </si>
  <si>
    <t>A950170</t>
  </si>
  <si>
    <t>A024840</t>
  </si>
  <si>
    <t>A024120</t>
  </si>
  <si>
    <t>A021320</t>
  </si>
  <si>
    <t>A044180</t>
  </si>
  <si>
    <t>A151860</t>
  </si>
  <si>
    <t>A036830</t>
  </si>
  <si>
    <t>A058530</t>
  </si>
  <si>
    <t>A094840</t>
  </si>
  <si>
    <t>A038950</t>
  </si>
  <si>
    <t>A056360</t>
  </si>
  <si>
    <t>A015710</t>
  </si>
  <si>
    <t>A052330</t>
  </si>
  <si>
    <t>A126600</t>
  </si>
  <si>
    <t>A016600</t>
  </si>
  <si>
    <t>A114120</t>
  </si>
  <si>
    <t>A110790</t>
  </si>
  <si>
    <t>A900250</t>
  </si>
  <si>
    <t>A065130</t>
  </si>
  <si>
    <t>A023160</t>
  </si>
  <si>
    <t>A053620</t>
  </si>
  <si>
    <t>A044490</t>
  </si>
  <si>
    <t>A091440</t>
  </si>
  <si>
    <t>A051360</t>
  </si>
  <si>
    <t>A117730</t>
  </si>
  <si>
    <t>A033830</t>
  </si>
  <si>
    <t>A062860</t>
  </si>
  <si>
    <t>A104480</t>
  </si>
  <si>
    <t>A081150</t>
  </si>
  <si>
    <t>A130740</t>
  </si>
  <si>
    <t>A084730</t>
  </si>
  <si>
    <t>A049430</t>
  </si>
  <si>
    <t>A123410</t>
  </si>
  <si>
    <t>A101670</t>
  </si>
  <si>
    <t>A114570</t>
  </si>
  <si>
    <t>A019540</t>
  </si>
  <si>
    <t>A094820</t>
  </si>
  <si>
    <t>A022220</t>
  </si>
  <si>
    <t>A090470</t>
  </si>
  <si>
    <t>A026040</t>
  </si>
  <si>
    <t>A094970</t>
  </si>
  <si>
    <t>A038010</t>
  </si>
  <si>
    <t>A064800</t>
  </si>
  <si>
    <t>A041590</t>
  </si>
  <si>
    <t>A053050</t>
  </si>
  <si>
    <t>A190650</t>
  </si>
  <si>
    <t>A094850</t>
  </si>
  <si>
    <t>A004650</t>
  </si>
  <si>
    <t>A066360</t>
  </si>
  <si>
    <t>A071850</t>
  </si>
  <si>
    <t>A900310</t>
  </si>
  <si>
    <t>A221980</t>
  </si>
  <si>
    <t>A025880</t>
  </si>
  <si>
    <t>A024880</t>
  </si>
  <si>
    <t>A033110</t>
  </si>
  <si>
    <t>A047310</t>
  </si>
  <si>
    <t>A065690</t>
  </si>
  <si>
    <t>A099440</t>
  </si>
  <si>
    <t>A027710</t>
  </si>
  <si>
    <t>A054040</t>
  </si>
  <si>
    <t>A050540</t>
  </si>
  <si>
    <t>A092460</t>
  </si>
  <si>
    <t>A045100</t>
  </si>
  <si>
    <t>A046110</t>
  </si>
  <si>
    <t>A024740</t>
  </si>
  <si>
    <t>A123840</t>
  </si>
  <si>
    <t>A007770</t>
  </si>
  <si>
    <t>A079170</t>
  </si>
  <si>
    <t>A054920</t>
  </si>
  <si>
    <t>A102210</t>
  </si>
  <si>
    <t>A900270</t>
  </si>
  <si>
    <t>A039010</t>
  </si>
  <si>
    <t>A092300</t>
  </si>
  <si>
    <t>A039610</t>
  </si>
  <si>
    <t>A126640</t>
  </si>
  <si>
    <t>A115160</t>
  </si>
  <si>
    <t>A028080</t>
  </si>
  <si>
    <t>A065510</t>
  </si>
  <si>
    <t>A084110</t>
  </si>
  <si>
    <t>A010240</t>
  </si>
  <si>
    <t>A023760</t>
  </si>
  <si>
    <t>A039740</t>
  </si>
  <si>
    <t>A101680</t>
  </si>
  <si>
    <t>A075130</t>
  </si>
  <si>
    <t>A225590</t>
  </si>
  <si>
    <t>A251970</t>
  </si>
  <si>
    <t>A043370</t>
  </si>
  <si>
    <t>A141020</t>
  </si>
  <si>
    <t>A005670</t>
  </si>
  <si>
    <t>A007330</t>
  </si>
  <si>
    <t>A093380</t>
  </si>
  <si>
    <t>A195440</t>
  </si>
  <si>
    <t>A053610</t>
  </si>
  <si>
    <t>A237750</t>
  </si>
  <si>
    <t>A017890</t>
  </si>
  <si>
    <t>A002230</t>
  </si>
  <si>
    <t>A006140</t>
  </si>
  <si>
    <t>A087600</t>
  </si>
  <si>
    <t>A003380</t>
  </si>
  <si>
    <t>A013030</t>
  </si>
  <si>
    <t>A004590</t>
  </si>
  <si>
    <t>A039340</t>
  </si>
  <si>
    <t>A025550</t>
  </si>
  <si>
    <t>A023890</t>
  </si>
  <si>
    <t>A101930</t>
  </si>
  <si>
    <t>A115310</t>
  </si>
  <si>
    <t>A035080</t>
  </si>
  <si>
    <t>A017250</t>
  </si>
  <si>
    <t>A013310</t>
  </si>
  <si>
    <t>A052790</t>
  </si>
  <si>
    <t>A290740</t>
  </si>
  <si>
    <t>A255440</t>
  </si>
  <si>
    <t>A030960</t>
  </si>
  <si>
    <t>A041440</t>
  </si>
  <si>
    <t>A121890</t>
  </si>
  <si>
    <t>A042110</t>
  </si>
  <si>
    <t>A103230</t>
  </si>
  <si>
    <t>A900080</t>
  </si>
  <si>
    <t>A031330</t>
  </si>
  <si>
    <t>A060540</t>
  </si>
  <si>
    <t>A080440</t>
  </si>
  <si>
    <t>A069510</t>
  </si>
  <si>
    <t>A098660</t>
  </si>
  <si>
    <t>A096690</t>
  </si>
  <si>
    <t>A003800</t>
  </si>
  <si>
    <t>A039230</t>
  </si>
  <si>
    <t>A044780</t>
  </si>
  <si>
    <t>A073070</t>
  </si>
  <si>
    <t>A109960</t>
  </si>
  <si>
    <t>A032080</t>
  </si>
  <si>
    <t>A031310</t>
  </si>
  <si>
    <t>A226350</t>
  </si>
  <si>
    <t>A010280</t>
  </si>
  <si>
    <t>A033790</t>
  </si>
  <si>
    <t>A158310</t>
  </si>
  <si>
    <t>A115570</t>
  </si>
  <si>
    <t>A049830</t>
  </si>
  <si>
    <t>A020710</t>
  </si>
  <si>
    <t>A033170</t>
  </si>
  <si>
    <t>A017000</t>
  </si>
  <si>
    <t>A138070</t>
  </si>
  <si>
    <t>A187270</t>
  </si>
  <si>
    <t>A037760</t>
  </si>
  <si>
    <t>A054800</t>
  </si>
  <si>
    <t>A900120</t>
  </si>
  <si>
    <t>A260930</t>
  </si>
  <si>
    <t>A058220</t>
  </si>
  <si>
    <t>A083930</t>
  </si>
  <si>
    <t>A149950</t>
  </si>
  <si>
    <t>A036010</t>
  </si>
  <si>
    <t>A050860</t>
  </si>
  <si>
    <t>A067390</t>
  </si>
  <si>
    <t>A127710</t>
  </si>
  <si>
    <t>A128540</t>
  </si>
  <si>
    <t>A038110</t>
  </si>
  <si>
    <t>A067570</t>
  </si>
  <si>
    <t>A088390</t>
  </si>
  <si>
    <t>A900340</t>
  </si>
  <si>
    <t>A089850</t>
  </si>
  <si>
    <t>A024800</t>
  </si>
  <si>
    <t>A054930</t>
  </si>
  <si>
    <t>A049520</t>
  </si>
  <si>
    <t>A023410</t>
  </si>
  <si>
    <t>A191410</t>
  </si>
  <si>
    <t>A039020</t>
  </si>
  <si>
    <t>A067920</t>
  </si>
  <si>
    <t>A053350</t>
  </si>
  <si>
    <t>A196700</t>
  </si>
  <si>
    <t>A041520</t>
  </si>
  <si>
    <t>A078020</t>
  </si>
  <si>
    <t>A080010</t>
  </si>
  <si>
    <t>A900110</t>
  </si>
  <si>
    <t>A052190</t>
  </si>
  <si>
    <t>A063760</t>
  </si>
  <si>
    <t>A035810</t>
  </si>
  <si>
    <t>A024810</t>
  </si>
  <si>
    <t>A037330</t>
  </si>
  <si>
    <t>A192390</t>
  </si>
  <si>
    <t>A008370</t>
  </si>
  <si>
    <t>A198080</t>
  </si>
  <si>
    <t>A031510</t>
  </si>
  <si>
    <t>A073110</t>
  </si>
  <si>
    <t>A009780</t>
  </si>
  <si>
    <t>A033160</t>
  </si>
  <si>
    <t>A036560</t>
  </si>
  <si>
    <t>A036000</t>
  </si>
  <si>
    <t>A900300</t>
  </si>
  <si>
    <t>A080520</t>
  </si>
  <si>
    <t>A039830</t>
  </si>
  <si>
    <t>A010470</t>
  </si>
  <si>
    <t>A057540</t>
  </si>
  <si>
    <t>A012620</t>
  </si>
  <si>
    <t>A019210</t>
  </si>
  <si>
    <t>A079000</t>
  </si>
  <si>
    <t>A072470</t>
  </si>
  <si>
    <t>A073560</t>
  </si>
  <si>
    <t>A037400</t>
  </si>
  <si>
    <t>A101170</t>
  </si>
  <si>
    <t>A032940</t>
  </si>
  <si>
    <t>A014190</t>
  </si>
  <si>
    <t>A030530</t>
  </si>
  <si>
    <t>A000240</t>
  </si>
  <si>
    <t>A227840</t>
  </si>
  <si>
    <t>A024720</t>
  </si>
  <si>
    <t>A018500</t>
  </si>
  <si>
    <t>A005960</t>
  </si>
  <si>
    <t>A102260</t>
  </si>
  <si>
    <t>A005190</t>
  </si>
  <si>
    <t>A028100</t>
  </si>
  <si>
    <t>A282690</t>
  </si>
  <si>
    <t>A001520</t>
  </si>
  <si>
    <t>A084670</t>
  </si>
  <si>
    <t>A082640</t>
  </si>
  <si>
    <t>A092780</t>
  </si>
  <si>
    <t>A049770</t>
  </si>
  <si>
    <t>A006040</t>
  </si>
  <si>
    <t>A001230</t>
  </si>
  <si>
    <t>A030720</t>
  </si>
  <si>
    <t>A163560</t>
  </si>
  <si>
    <t>A004890</t>
  </si>
  <si>
    <t>A002690</t>
  </si>
  <si>
    <t>A000150</t>
  </si>
  <si>
    <t>A241560</t>
  </si>
  <si>
    <t>A042670</t>
  </si>
  <si>
    <t>A016740</t>
  </si>
  <si>
    <t>A024090</t>
  </si>
  <si>
    <t>A003160</t>
  </si>
  <si>
    <t>A007590</t>
  </si>
  <si>
    <t>A016090</t>
  </si>
  <si>
    <t>A013570</t>
  </si>
  <si>
    <t>A042660</t>
  </si>
  <si>
    <t>A008110</t>
  </si>
  <si>
    <t>A005750</t>
  </si>
  <si>
    <t>A000210</t>
  </si>
  <si>
    <t>A006570</t>
  </si>
  <si>
    <t>A001680</t>
  </si>
  <si>
    <t>A084690</t>
  </si>
  <si>
    <t>A128820</t>
  </si>
  <si>
    <t>A117580</t>
  </si>
  <si>
    <t>A003540</t>
  </si>
  <si>
    <t>A047040</t>
  </si>
  <si>
    <t>A000430</t>
  </si>
  <si>
    <t>A003830</t>
  </si>
  <si>
    <t>A024890</t>
  </si>
  <si>
    <t>A002880</t>
  </si>
  <si>
    <t>A000300</t>
  </si>
  <si>
    <t>A012800</t>
  </si>
  <si>
    <t>A015230</t>
  </si>
  <si>
    <t>A006650</t>
  </si>
  <si>
    <t>A084010</t>
  </si>
  <si>
    <t>A001790</t>
  </si>
  <si>
    <t>A001130</t>
  </si>
  <si>
    <t>A005880</t>
  </si>
  <si>
    <t>A092200</t>
  </si>
  <si>
    <t>A210540</t>
  </si>
  <si>
    <t>A002450</t>
  </si>
  <si>
    <t>A014710</t>
  </si>
  <si>
    <t>A104700</t>
  </si>
  <si>
    <t>A007210</t>
  </si>
  <si>
    <t>A001270</t>
  </si>
  <si>
    <t>A026940</t>
  </si>
  <si>
    <t>A015350</t>
  </si>
  <si>
    <t>A100220</t>
  </si>
  <si>
    <t>A005180</t>
  </si>
  <si>
    <t>A003960</t>
  </si>
  <si>
    <t>A008040</t>
  </si>
  <si>
    <t>A007160</t>
  </si>
  <si>
    <t>A006090</t>
  </si>
  <si>
    <t>A001340</t>
  </si>
  <si>
    <t>A006660</t>
  </si>
  <si>
    <t>A032830</t>
  </si>
  <si>
    <t>A016360</t>
  </si>
  <si>
    <t>A029780</t>
  </si>
  <si>
    <t>A000810</t>
  </si>
  <si>
    <t>A145990</t>
  </si>
  <si>
    <t>A002170</t>
  </si>
  <si>
    <t>A000070</t>
  </si>
  <si>
    <t>A002810</t>
  </si>
  <si>
    <t>A005680</t>
  </si>
  <si>
    <t>A035150</t>
  </si>
  <si>
    <t>A003610</t>
  </si>
  <si>
    <t>A007340</t>
  </si>
  <si>
    <t>A001080</t>
  </si>
  <si>
    <t>A115390</t>
  </si>
  <si>
    <t>A000400</t>
  </si>
  <si>
    <t>A023530</t>
  </si>
  <si>
    <t>A004000</t>
  </si>
  <si>
    <t>A280360</t>
  </si>
  <si>
    <t>A004990</t>
  </si>
  <si>
    <t>A005300</t>
  </si>
  <si>
    <t>A011170</t>
  </si>
  <si>
    <t>A002270</t>
  </si>
  <si>
    <t>A071840</t>
  </si>
  <si>
    <t>A138040</t>
  </si>
  <si>
    <t>A003650</t>
  </si>
  <si>
    <t>A008560</t>
  </si>
  <si>
    <t>A000060</t>
  </si>
  <si>
    <t>A009680</t>
  </si>
  <si>
    <t>A009580</t>
  </si>
  <si>
    <t>A009200</t>
  </si>
  <si>
    <t>A033920</t>
  </si>
  <si>
    <t>A008420</t>
  </si>
  <si>
    <t>A007120</t>
  </si>
  <si>
    <t>A006800</t>
  </si>
  <si>
    <t>A085620</t>
  </si>
  <si>
    <t>A000490</t>
  </si>
  <si>
    <t>A008060</t>
  </si>
  <si>
    <t>A006370</t>
  </si>
  <si>
    <t>A003550</t>
  </si>
  <si>
    <t>A001390</t>
  </si>
  <si>
    <t>A001940</t>
  </si>
  <si>
    <t>A025000</t>
  </si>
  <si>
    <t>A092230</t>
  </si>
  <si>
    <t>A044450</t>
  </si>
  <si>
    <t>A030200</t>
  </si>
  <si>
    <t>A030210</t>
  </si>
  <si>
    <t>A058850</t>
  </si>
  <si>
    <t>A058860</t>
  </si>
  <si>
    <t>A093050</t>
  </si>
  <si>
    <t>A034220</t>
  </si>
  <si>
    <t>A009070</t>
  </si>
  <si>
    <t>A001120</t>
  </si>
  <si>
    <t>A032640</t>
  </si>
  <si>
    <t>A108670</t>
  </si>
  <si>
    <t>A037560</t>
  </si>
  <si>
    <t>A006260</t>
  </si>
  <si>
    <t>A000680</t>
  </si>
  <si>
    <t>A181710</t>
  </si>
  <si>
    <t>A005940</t>
  </si>
  <si>
    <t>A008260</t>
  </si>
  <si>
    <t>A004250</t>
  </si>
  <si>
    <t>A009440</t>
  </si>
  <si>
    <t>A002380</t>
  </si>
  <si>
    <t>A019680</t>
  </si>
  <si>
    <t>A004840</t>
  </si>
  <si>
    <t>A027410</t>
  </si>
  <si>
    <t>A138930</t>
  </si>
  <si>
    <t>A001460</t>
  </si>
  <si>
    <t>A001040</t>
  </si>
  <si>
    <t>A000590</t>
  </si>
  <si>
    <t>A012030</t>
  </si>
  <si>
    <t>A016610</t>
  </si>
  <si>
    <t>A005830</t>
  </si>
  <si>
    <t>A139130</t>
  </si>
  <si>
    <t>A001530</t>
  </si>
  <si>
    <t>A155660</t>
  </si>
  <si>
    <t>A105560</t>
  </si>
  <si>
    <t>A069730</t>
  </si>
  <si>
    <t>A017940</t>
  </si>
  <si>
    <t>A078930</t>
  </si>
  <si>
    <t>A006360</t>
  </si>
  <si>
    <t>A001250</t>
  </si>
  <si>
    <t>A012630</t>
  </si>
  <si>
    <t>A039570</t>
  </si>
  <si>
    <t>A089470</t>
  </si>
  <si>
    <t>A294870</t>
  </si>
  <si>
    <t>A175330</t>
  </si>
  <si>
    <t>A010060</t>
  </si>
  <si>
    <t>A005490</t>
  </si>
  <si>
    <t>A100840</t>
  </si>
  <si>
    <t>A002990</t>
  </si>
  <si>
    <t>A012200</t>
  </si>
  <si>
    <t>A002240</t>
  </si>
  <si>
    <t>A017040</t>
  </si>
  <si>
    <t>A017900</t>
  </si>
  <si>
    <t>A037710</t>
  </si>
  <si>
    <t>A030610</t>
  </si>
  <si>
    <t>A007690</t>
  </si>
  <si>
    <t>A014530</t>
  </si>
  <si>
    <t>A014280</t>
  </si>
  <si>
    <t>A008870</t>
  </si>
  <si>
    <t>A092440</t>
  </si>
  <si>
    <t>A003570</t>
  </si>
  <si>
    <t>A000270</t>
  </si>
  <si>
    <t>A024110</t>
  </si>
  <si>
    <t>A003920</t>
  </si>
  <si>
    <t>A005720</t>
  </si>
  <si>
    <t>A002350</t>
  </si>
  <si>
    <t>A090350</t>
  </si>
  <si>
    <t>A000320</t>
  </si>
  <si>
    <t>A072710</t>
  </si>
  <si>
    <t>A058730</t>
  </si>
  <si>
    <t>A023590</t>
  </si>
  <si>
    <t>A013580</t>
  </si>
  <si>
    <t>A009140</t>
  </si>
  <si>
    <t>A000050</t>
  </si>
  <si>
    <t>A012320</t>
  </si>
  <si>
    <t>A036530</t>
  </si>
  <si>
    <t>A034120</t>
  </si>
  <si>
    <t>A101060</t>
  </si>
  <si>
    <t>A004060</t>
  </si>
  <si>
    <t>A001380</t>
  </si>
  <si>
    <t>A009160</t>
  </si>
  <si>
    <t>A123700</t>
  </si>
  <si>
    <t>A025530</t>
  </si>
  <si>
    <t>A034730</t>
  </si>
  <si>
    <t>A018670</t>
  </si>
  <si>
    <t>A001740</t>
  </si>
  <si>
    <t>A006120</t>
  </si>
  <si>
    <t>A096770</t>
  </si>
  <si>
    <t>A001510</t>
  </si>
  <si>
    <t>A017670</t>
  </si>
  <si>
    <t>A077970</t>
  </si>
  <si>
    <t>A084870</t>
  </si>
  <si>
    <t>A024070</t>
  </si>
  <si>
    <t>A000500</t>
  </si>
  <si>
    <t>A000860</t>
  </si>
  <si>
    <t>A267290</t>
  </si>
  <si>
    <t>A023000</t>
  </si>
  <si>
    <t>A037440</t>
  </si>
  <si>
    <t>A004440</t>
  </si>
  <si>
    <t>A018470</t>
  </si>
  <si>
    <t>A035000</t>
  </si>
  <si>
    <t>A071320</t>
  </si>
  <si>
    <t>A005850</t>
  </si>
  <si>
    <t>A078520</t>
  </si>
  <si>
    <t>A015260</t>
  </si>
  <si>
    <t>A013870</t>
  </si>
  <si>
    <t>A002600</t>
  </si>
  <si>
    <t>A009810</t>
  </si>
  <si>
    <t>A100250</t>
  </si>
  <si>
    <t>A014440</t>
  </si>
  <si>
    <t>A111770</t>
  </si>
  <si>
    <t>A009970</t>
  </si>
  <si>
    <t>A000670</t>
  </si>
  <si>
    <t>A120030</t>
  </si>
  <si>
    <t>A006740</t>
  </si>
  <si>
    <t>A012160</t>
  </si>
  <si>
    <t>A088790</t>
  </si>
  <si>
    <t>A161000</t>
  </si>
  <si>
    <t>A001800</t>
  </si>
  <si>
    <t>A183190</t>
  </si>
  <si>
    <t>A023810</t>
  </si>
  <si>
    <t>A055550</t>
  </si>
  <si>
    <t>A120110</t>
  </si>
  <si>
    <t>A001770</t>
  </si>
  <si>
    <t>A102280</t>
  </si>
  <si>
    <t>A004920</t>
  </si>
  <si>
    <t>A002030</t>
  </si>
  <si>
    <t>A002310</t>
  </si>
  <si>
    <t>A006380</t>
  </si>
  <si>
    <t>A122900</t>
  </si>
  <si>
    <t>A002020</t>
  </si>
  <si>
    <t>A044820</t>
  </si>
  <si>
    <t>A003690</t>
  </si>
  <si>
    <t>A029460</t>
  </si>
  <si>
    <t>A033660</t>
  </si>
  <si>
    <t>A001620</t>
  </si>
  <si>
    <t>A015360</t>
  </si>
  <si>
    <t>A000480</t>
  </si>
  <si>
    <t>A192400</t>
  </si>
  <si>
    <t>A008500</t>
  </si>
  <si>
    <t>A003470</t>
  </si>
  <si>
    <t>A103590</t>
  </si>
  <si>
    <t>A011690</t>
  </si>
  <si>
    <t>A001200</t>
  </si>
  <si>
    <t>A003460</t>
  </si>
  <si>
    <t>A008250</t>
  </si>
  <si>
    <t>A025820</t>
  </si>
  <si>
    <t>A139480</t>
  </si>
  <si>
    <t>A002920</t>
  </si>
  <si>
    <t>A015020</t>
  </si>
  <si>
    <t>A003200</t>
  </si>
  <si>
    <t>A003120</t>
  </si>
  <si>
    <t>A084680</t>
  </si>
  <si>
    <t>A013360</t>
  </si>
  <si>
    <t>A000760</t>
  </si>
  <si>
    <t>A034590</t>
  </si>
  <si>
    <t>A000700</t>
  </si>
  <si>
    <t>A011330</t>
  </si>
  <si>
    <t>A004700</t>
  </si>
  <si>
    <t>A017370</t>
  </si>
  <si>
    <t>A070960</t>
  </si>
  <si>
    <t>A316140</t>
  </si>
  <si>
    <t>A004910</t>
  </si>
  <si>
    <t>A006220</t>
  </si>
  <si>
    <t>A002620</t>
  </si>
  <si>
    <t>A001560</t>
  </si>
  <si>
    <t>A006980</t>
  </si>
  <si>
    <t>A009770</t>
  </si>
  <si>
    <t>A014830</t>
  </si>
  <si>
    <t>A194370</t>
  </si>
  <si>
    <t>A105840</t>
  </si>
  <si>
    <t>A000950</t>
  </si>
  <si>
    <t>A010400</t>
  </si>
  <si>
    <t>A095720</t>
  </si>
  <si>
    <t>A005820</t>
  </si>
  <si>
    <t>A008600</t>
  </si>
  <si>
    <t>A009270</t>
  </si>
  <si>
    <t>A138490</t>
  </si>
  <si>
    <t>A264900</t>
  </si>
  <si>
    <t>A004980</t>
  </si>
  <si>
    <t>A002820</t>
  </si>
  <si>
    <t>A004090</t>
  </si>
  <si>
    <t>A025540</t>
  </si>
  <si>
    <t>A010040</t>
  </si>
  <si>
    <t>A003080</t>
  </si>
  <si>
    <t>A071050</t>
  </si>
  <si>
    <t>A005430</t>
  </si>
  <si>
    <t>A036460</t>
  </si>
  <si>
    <t>A136490</t>
  </si>
  <si>
    <t>A011300</t>
  </si>
  <si>
    <t>A000140</t>
  </si>
  <si>
    <t>A071090</t>
  </si>
  <si>
    <t>A086790</t>
  </si>
  <si>
    <t>A000180</t>
  </si>
  <si>
    <t>A005810</t>
  </si>
  <si>
    <t>A004360</t>
  </si>
  <si>
    <t>A002200</t>
  </si>
  <si>
    <t>A123890</t>
  </si>
  <si>
    <t>A047050</t>
  </si>
  <si>
    <t>A041650</t>
  </si>
  <si>
    <t>A004690</t>
  </si>
  <si>
    <t>A010960</t>
  </si>
  <si>
    <t>A004450</t>
  </si>
  <si>
    <t>A000970</t>
  </si>
  <si>
    <t>A025890</t>
  </si>
  <si>
    <t>A023350</t>
  </si>
  <si>
    <t>A001290</t>
  </si>
  <si>
    <t>A075180</t>
  </si>
  <si>
    <t>A007610</t>
  </si>
  <si>
    <t>A009540</t>
  </si>
  <si>
    <t>A007540</t>
  </si>
  <si>
    <t>A006200</t>
  </si>
  <si>
    <t>A007860</t>
  </si>
  <si>
    <t>A200880</t>
  </si>
  <si>
    <t>A015760</t>
  </si>
  <si>
    <t>A017390</t>
  </si>
  <si>
    <t>A005740</t>
  </si>
  <si>
    <t>A103140</t>
  </si>
  <si>
    <t>A004490</t>
  </si>
  <si>
    <t>A019180</t>
  </si>
  <si>
    <t>A004430</t>
  </si>
  <si>
    <t>A053210</t>
  </si>
  <si>
    <t>A007980</t>
  </si>
  <si>
    <t>A016590</t>
  </si>
  <si>
    <t>A029530</t>
  </si>
  <si>
    <t>A004970</t>
  </si>
  <si>
    <t>A004170</t>
  </si>
  <si>
    <t>A009410</t>
  </si>
  <si>
    <t>A034300</t>
  </si>
  <si>
    <t>A031440</t>
  </si>
  <si>
    <t>A004100</t>
  </si>
  <si>
    <t>A006880</t>
  </si>
  <si>
    <t>A003240</t>
  </si>
  <si>
    <t>A015890</t>
  </si>
  <si>
    <t>A005800</t>
  </si>
  <si>
    <t>A014580</t>
  </si>
  <si>
    <t>A001720</t>
  </si>
  <si>
    <t>A001430</t>
  </si>
  <si>
    <t>A078000</t>
  </si>
  <si>
    <t>A091810</t>
  </si>
  <si>
    <t>A058650</t>
  </si>
  <si>
    <t>A058430</t>
  </si>
  <si>
    <t>A010770</t>
  </si>
  <si>
    <t>A306200</t>
  </si>
  <si>
    <t>A016800</t>
  </si>
  <si>
    <t>A003030</t>
  </si>
  <si>
    <t>A019440</t>
  </si>
  <si>
    <t>A129260</t>
  </si>
  <si>
    <t>A028670</t>
  </si>
  <si>
    <t>A021820</t>
  </si>
  <si>
    <t>A067830</t>
  </si>
  <si>
    <t>A036580</t>
  </si>
  <si>
    <t>A033530</t>
  </si>
  <si>
    <t>A004870</t>
  </si>
  <si>
    <t>A010640</t>
  </si>
  <si>
    <t>A083450</t>
  </si>
  <si>
    <t>A298000</t>
  </si>
  <si>
    <t>A282880</t>
  </si>
  <si>
    <t>A039490</t>
  </si>
  <si>
    <t>A051600</t>
  </si>
  <si>
    <t>A001880</t>
  </si>
  <si>
    <t>A192440</t>
  </si>
  <si>
    <t>A267790</t>
  </si>
  <si>
    <t>A131030</t>
  </si>
  <si>
    <t>A035510</t>
  </si>
  <si>
    <t>A267980</t>
  </si>
  <si>
    <t>A002870</t>
  </si>
  <si>
    <t>A297890</t>
  </si>
  <si>
    <t>A289010</t>
  </si>
  <si>
    <t>A007530</t>
  </si>
  <si>
    <t>A317330</t>
  </si>
  <si>
    <t>A045060</t>
  </si>
  <si>
    <t>A264660</t>
  </si>
  <si>
    <t>A122990</t>
  </si>
  <si>
    <t>A290120</t>
  </si>
  <si>
    <t>A043150</t>
  </si>
  <si>
    <t>A056190</t>
  </si>
  <si>
    <t>A011780</t>
  </si>
  <si>
    <t>A121800</t>
  </si>
  <si>
    <t>A272550</t>
  </si>
  <si>
    <t>A002410</t>
  </si>
  <si>
    <t>A086280</t>
  </si>
  <si>
    <t>A215200</t>
  </si>
  <si>
    <t>A148150</t>
  </si>
  <si>
    <t>A248170</t>
  </si>
  <si>
    <t>A067280</t>
  </si>
  <si>
    <t>A339950</t>
  </si>
  <si>
    <t>A097950</t>
  </si>
  <si>
    <t>A126700</t>
  </si>
  <si>
    <t>A033780</t>
  </si>
  <si>
    <t>A023770</t>
  </si>
  <si>
    <t>A225190</t>
  </si>
  <si>
    <t>A027970</t>
  </si>
  <si>
    <t>A065710</t>
  </si>
  <si>
    <t>A001820</t>
  </si>
  <si>
    <t>A290550</t>
  </si>
  <si>
    <t>A090460</t>
  </si>
  <si>
    <t>A257370</t>
  </si>
  <si>
    <t>A226340</t>
  </si>
  <si>
    <t>A038460</t>
  </si>
  <si>
    <t>A007700</t>
  </si>
  <si>
    <t>A236200</t>
  </si>
  <si>
    <t>A130660</t>
  </si>
  <si>
    <t>A100120</t>
  </si>
  <si>
    <t>A256150</t>
  </si>
  <si>
    <t>A134380</t>
  </si>
  <si>
    <t>A293480</t>
  </si>
  <si>
    <t>A025770</t>
  </si>
  <si>
    <t>A101240</t>
  </si>
  <si>
    <t>A290520</t>
  </si>
  <si>
    <t>A275630</t>
  </si>
  <si>
    <t>A251630</t>
  </si>
  <si>
    <t>A063570</t>
  </si>
  <si>
    <t>A234340</t>
  </si>
  <si>
    <t>A950190</t>
  </si>
  <si>
    <t>A049960</t>
  </si>
  <si>
    <t>A214180</t>
  </si>
  <si>
    <t>A204270</t>
  </si>
  <si>
    <t>A104460</t>
  </si>
  <si>
    <t>A272110</t>
  </si>
  <si>
    <t>A068790</t>
  </si>
  <si>
    <t>A033290</t>
  </si>
  <si>
    <t>A089890</t>
  </si>
  <si>
    <t>A000660</t>
  </si>
  <si>
    <t>A036200</t>
  </si>
  <si>
    <t>A086390</t>
  </si>
  <si>
    <t>A040160</t>
  </si>
  <si>
    <t>A010050</t>
  </si>
  <si>
    <t>A092730</t>
  </si>
  <si>
    <t>A267320</t>
  </si>
  <si>
    <t>A306040</t>
  </si>
  <si>
    <t>A089600</t>
  </si>
  <si>
    <t>A307930</t>
  </si>
  <si>
    <t>A036670</t>
  </si>
  <si>
    <t>A041830</t>
  </si>
  <si>
    <t>A035600</t>
  </si>
  <si>
    <t>A010130</t>
  </si>
  <si>
    <t>A036890</t>
  </si>
  <si>
    <t>A122310</t>
  </si>
  <si>
    <t>A079370</t>
  </si>
  <si>
    <t>A097800</t>
  </si>
  <si>
    <t>A044340</t>
  </si>
  <si>
    <t>A009190</t>
  </si>
  <si>
    <t>A104830</t>
  </si>
  <si>
    <t>A039440</t>
  </si>
  <si>
    <t>A036930</t>
  </si>
  <si>
    <t>A318010</t>
  </si>
  <si>
    <t>A312610</t>
  </si>
  <si>
    <t>A010780</t>
  </si>
  <si>
    <t>A019590</t>
  </si>
  <si>
    <t>A097520</t>
  </si>
  <si>
    <t>A018250</t>
  </si>
  <si>
    <t>A145720</t>
  </si>
  <si>
    <t>A108230</t>
  </si>
  <si>
    <t>A192080</t>
  </si>
  <si>
    <t>A066700</t>
  </si>
  <si>
    <t>A124560</t>
  </si>
  <si>
    <t>A298540</t>
  </si>
  <si>
    <t>A241790</t>
  </si>
  <si>
    <t>A081660</t>
  </si>
  <si>
    <t>A013890</t>
  </si>
  <si>
    <t>A069260</t>
  </si>
  <si>
    <t>A244920</t>
  </si>
  <si>
    <t>A109740</t>
  </si>
  <si>
    <t>AJ네트웍스</t>
  </si>
  <si>
    <t>무림SP</t>
  </si>
  <si>
    <t>동일금속</t>
  </si>
  <si>
    <t>동일기연</t>
  </si>
  <si>
    <t>디스플레이텍</t>
  </si>
  <si>
    <t>디아이티</t>
  </si>
  <si>
    <t>디에이피</t>
  </si>
  <si>
    <t>디오스텍</t>
  </si>
  <si>
    <t>디지아이</t>
  </si>
  <si>
    <t>딜리</t>
  </si>
  <si>
    <t>럭슬</t>
  </si>
  <si>
    <t>레드캡투어</t>
  </si>
  <si>
    <t>레이언스</t>
  </si>
  <si>
    <t>로스웰</t>
  </si>
  <si>
    <t>리노스</t>
  </si>
  <si>
    <t>리드코프</t>
  </si>
  <si>
    <t>매일홀딩스</t>
  </si>
  <si>
    <t>매직마이크로</t>
  </si>
  <si>
    <t>매커스</t>
  </si>
  <si>
    <t>메가스터디</t>
  </si>
  <si>
    <t>메디앙스</t>
  </si>
  <si>
    <t>메카로</t>
  </si>
  <si>
    <t>모다이노칩</t>
  </si>
  <si>
    <t>동원개발</t>
  </si>
  <si>
    <t>동우팜투테이블</t>
  </si>
  <si>
    <t>동양파일</t>
  </si>
  <si>
    <t>대원</t>
  </si>
  <si>
    <t>대동금속</t>
  </si>
  <si>
    <t>대동기어</t>
  </si>
  <si>
    <t>대동스틸</t>
  </si>
  <si>
    <t>대륙제관</t>
  </si>
  <si>
    <t>대림제지</t>
  </si>
  <si>
    <t>대명소노시즌</t>
  </si>
  <si>
    <t>대모</t>
  </si>
  <si>
    <t>대양전기공업</t>
  </si>
  <si>
    <t>대양제지</t>
  </si>
  <si>
    <t>대원산업</t>
  </si>
  <si>
    <t>동양이엔피</t>
  </si>
  <si>
    <t>대창스틸</t>
  </si>
  <si>
    <t>대한약품</t>
  </si>
  <si>
    <t>대호피앤씨</t>
  </si>
  <si>
    <t>덕신하우징</t>
  </si>
  <si>
    <t>도이치모터스</t>
  </si>
  <si>
    <t>동국산업</t>
  </si>
  <si>
    <t>동국알앤에스</t>
  </si>
  <si>
    <t>동아엘텍</t>
  </si>
  <si>
    <t>동양에스텍</t>
  </si>
  <si>
    <t>모베이스</t>
  </si>
  <si>
    <t>미래SCI</t>
  </si>
  <si>
    <t>농우바이오</t>
  </si>
  <si>
    <t>미래나노텍</t>
  </si>
  <si>
    <t>서울전자통신</t>
  </si>
  <si>
    <t>서원인텍</t>
  </si>
  <si>
    <t>서전기전</t>
  </si>
  <si>
    <t>서진오토모티브</t>
  </si>
  <si>
    <t>서플러스글로벌</t>
  </si>
  <si>
    <t>서한</t>
  </si>
  <si>
    <t>서희건설</t>
  </si>
  <si>
    <t>선광</t>
  </si>
  <si>
    <t>선익시스템</t>
  </si>
  <si>
    <t>성광벤드</t>
  </si>
  <si>
    <t>성도이엔지</t>
  </si>
  <si>
    <t>성우전자</t>
  </si>
  <si>
    <t>성우테크론</t>
  </si>
  <si>
    <t>성우하이텍</t>
  </si>
  <si>
    <t>세동</t>
  </si>
  <si>
    <t>세명전기</t>
  </si>
  <si>
    <t>세보엠이씨</t>
  </si>
  <si>
    <t>세원물산</t>
  </si>
  <si>
    <t>세중</t>
  </si>
  <si>
    <t>세코닉스</t>
  </si>
  <si>
    <t>솔고바이오</t>
  </si>
  <si>
    <t>서울리거</t>
  </si>
  <si>
    <t>서산</t>
  </si>
  <si>
    <t>서부T&amp;D</t>
  </si>
  <si>
    <t>빛샘전자</t>
  </si>
  <si>
    <t>미래테크놀로지</t>
  </si>
  <si>
    <t>바른손이앤에이</t>
  </si>
  <si>
    <t>바이오로그디바이스</t>
  </si>
  <si>
    <t>베뉴지</t>
  </si>
  <si>
    <t>부방</t>
  </si>
  <si>
    <t>부스타</t>
  </si>
  <si>
    <t>블루콤</t>
  </si>
  <si>
    <t>비아트론</t>
  </si>
  <si>
    <t>빅솔론</t>
  </si>
  <si>
    <t>삼목에스폼</t>
  </si>
  <si>
    <t>상상인</t>
  </si>
  <si>
    <t>삼보모터스</t>
  </si>
  <si>
    <t>삼보판지</t>
  </si>
  <si>
    <t>삼아제약</t>
  </si>
  <si>
    <t>삼영엠텍</t>
  </si>
  <si>
    <t>삼일</t>
  </si>
  <si>
    <t>삼지전자</t>
  </si>
  <si>
    <t>삼진</t>
  </si>
  <si>
    <t>삼표시멘트</t>
  </si>
  <si>
    <t>삼현철강</t>
  </si>
  <si>
    <t>다우데이타</t>
  </si>
  <si>
    <t>네오위즈홀딩스</t>
  </si>
  <si>
    <t>한국타이어앤테크놀로지</t>
  </si>
  <si>
    <t>화신</t>
  </si>
  <si>
    <t>현대건설기계</t>
  </si>
  <si>
    <t>현대그린푸드</t>
  </si>
  <si>
    <t>현대리바트</t>
  </si>
  <si>
    <t>현대모비스</t>
  </si>
  <si>
    <t>현대미포조선</t>
  </si>
  <si>
    <t>현대백화점</t>
  </si>
  <si>
    <t>현대비앤지스틸</t>
  </si>
  <si>
    <t>현대상사</t>
  </si>
  <si>
    <t>현대위아</t>
  </si>
  <si>
    <t>현대제철</t>
  </si>
  <si>
    <t>현대중공업지주</t>
  </si>
  <si>
    <t>현대차</t>
  </si>
  <si>
    <t>현대차증권</t>
  </si>
  <si>
    <t>AK홀딩스</t>
  </si>
  <si>
    <t>현대퓨처넷</t>
  </si>
  <si>
    <t>현대해상</t>
  </si>
  <si>
    <t>현대홈쇼핑</t>
  </si>
  <si>
    <t>혜인</t>
  </si>
  <si>
    <t>호전실업</t>
  </si>
  <si>
    <t>화성산업</t>
  </si>
  <si>
    <t>화승알앤에이</t>
  </si>
  <si>
    <t>현대건설</t>
  </si>
  <si>
    <t>핸즈코퍼레이션</t>
  </si>
  <si>
    <t>한화투자증권</t>
  </si>
  <si>
    <t>한솔홀딩스</t>
  </si>
  <si>
    <t>한국토지신탁</t>
  </si>
  <si>
    <t>한국프랜지</t>
  </si>
  <si>
    <t>한라</t>
  </si>
  <si>
    <t>한라홀딩스</t>
  </si>
  <si>
    <t>한미글로벌</t>
  </si>
  <si>
    <t>한섬</t>
  </si>
  <si>
    <t>한세엠케이</t>
  </si>
  <si>
    <t>한솔PNS</t>
  </si>
  <si>
    <t>한솔제지</t>
  </si>
  <si>
    <t>한신공영</t>
  </si>
  <si>
    <t>한화에어로스페이스</t>
  </si>
  <si>
    <t>한신기계</t>
  </si>
  <si>
    <t>한양증권</t>
  </si>
  <si>
    <t>한일철강</t>
  </si>
  <si>
    <t>한일홀딩스</t>
  </si>
  <si>
    <t>한진</t>
  </si>
  <si>
    <t>한진중공업홀딩스</t>
  </si>
  <si>
    <t>한화</t>
  </si>
  <si>
    <t>한화생명</t>
  </si>
  <si>
    <t>한화손해보험</t>
  </si>
  <si>
    <t>화승인더</t>
  </si>
  <si>
    <t>화인베스틸</t>
  </si>
  <si>
    <t>네오오토</t>
  </si>
  <si>
    <t>화천기계</t>
  </si>
  <si>
    <t>SG</t>
  </si>
  <si>
    <t>SG&amp;G</t>
  </si>
  <si>
    <t>SGC이테크건설</t>
  </si>
  <si>
    <t>SNK</t>
  </si>
  <si>
    <t>TJ미디어</t>
  </si>
  <si>
    <t>YTN</t>
  </si>
  <si>
    <t>YW</t>
  </si>
  <si>
    <t>가온미디어</t>
  </si>
  <si>
    <t>경남스틸</t>
  </si>
  <si>
    <t>골든센츄리</t>
  </si>
  <si>
    <t>골프존뉴딘홀딩스</t>
  </si>
  <si>
    <t>구영테크</t>
  </si>
  <si>
    <t>국보디자인</t>
  </si>
  <si>
    <t>국순당</t>
  </si>
  <si>
    <t>그리티</t>
  </si>
  <si>
    <t>글로벌에스엠</t>
  </si>
  <si>
    <t>금강철강</t>
  </si>
  <si>
    <t>금화피에스시</t>
  </si>
  <si>
    <t>까스텔바작</t>
  </si>
  <si>
    <t>나노</t>
  </si>
  <si>
    <t>나이스정보통신</t>
  </si>
  <si>
    <t>SBS콘텐츠허브</t>
  </si>
  <si>
    <t>S&amp;K폴리텍</t>
  </si>
  <si>
    <t>PN풍년</t>
  </si>
  <si>
    <t>APS홀딩스</t>
  </si>
  <si>
    <t>화천기공</t>
  </si>
  <si>
    <t>환인제약</t>
  </si>
  <si>
    <t>황금에스티</t>
  </si>
  <si>
    <t>효성</t>
  </si>
  <si>
    <t>효성중공업</t>
  </si>
  <si>
    <t>휴니드</t>
  </si>
  <si>
    <t>휴비스</t>
  </si>
  <si>
    <t>휴스틸</t>
  </si>
  <si>
    <t>흥국화재</t>
  </si>
  <si>
    <t>CJ ENM</t>
  </si>
  <si>
    <t>NE능률</t>
  </si>
  <si>
    <t>CNH</t>
  </si>
  <si>
    <t>GRT</t>
  </si>
  <si>
    <t>GS홈쇼핑</t>
  </si>
  <si>
    <t>JTC</t>
  </si>
  <si>
    <t>KBI메탈</t>
  </si>
  <si>
    <t>KB오토시스</t>
  </si>
  <si>
    <t>KCC건설</t>
  </si>
  <si>
    <t>KD</t>
  </si>
  <si>
    <t>KG ETS</t>
  </si>
  <si>
    <t>솔브레인홀딩스</t>
  </si>
  <si>
    <t>슈펙스비앤피</t>
  </si>
  <si>
    <t>슈프리마에이치큐</t>
  </si>
  <si>
    <t>파인디지털</t>
  </si>
  <si>
    <t>코위버</t>
  </si>
  <si>
    <t>코콤</t>
  </si>
  <si>
    <t>코텍</t>
  </si>
  <si>
    <t>코프라</t>
  </si>
  <si>
    <t>큐캐피탈</t>
  </si>
  <si>
    <t>크루셜텍</t>
  </si>
  <si>
    <t>크리스에프앤씨</t>
  </si>
  <si>
    <t>크리스탈신소재</t>
  </si>
  <si>
    <t>탑엔지니어링</t>
  </si>
  <si>
    <t>태광</t>
  </si>
  <si>
    <t>태양</t>
  </si>
  <si>
    <t>태웅</t>
  </si>
  <si>
    <t>텔레필드</t>
  </si>
  <si>
    <t>토비스</t>
  </si>
  <si>
    <t>티로보틱스</t>
  </si>
  <si>
    <t>티비씨</t>
  </si>
  <si>
    <t>티엘아이</t>
  </si>
  <si>
    <t>티케이케미칼</t>
  </si>
  <si>
    <t>티플랙스</t>
  </si>
  <si>
    <t>티피씨글로벌</t>
  </si>
  <si>
    <t>팅크웨어</t>
  </si>
  <si>
    <t>코메론</t>
  </si>
  <si>
    <t>코리아에프티</t>
  </si>
  <si>
    <t>코리아에스이</t>
  </si>
  <si>
    <t>지스마트글로벌</t>
  </si>
  <si>
    <t>일지테크</t>
  </si>
  <si>
    <t>일진파워</t>
  </si>
  <si>
    <t>정산애강</t>
  </si>
  <si>
    <t>제이스텍</t>
  </si>
  <si>
    <t>제이에스티나</t>
  </si>
  <si>
    <t>제이엠티</t>
  </si>
  <si>
    <t>제일테크노스</t>
  </si>
  <si>
    <t>젬백스링크</t>
  </si>
  <si>
    <t>젬백스지오</t>
  </si>
  <si>
    <t>지에스이</t>
  </si>
  <si>
    <t>코리아에셋투자증권</t>
  </si>
  <si>
    <t>참좋은여행</t>
  </si>
  <si>
    <t>창해에탄올</t>
  </si>
  <si>
    <t>체리부로</t>
  </si>
  <si>
    <t>캐스텍코리아</t>
  </si>
  <si>
    <t>컬러레이</t>
  </si>
  <si>
    <t>케이디켐</t>
  </si>
  <si>
    <t>케이씨피드</t>
  </si>
  <si>
    <t>케이피에프</t>
  </si>
  <si>
    <t>코너스톤네트웍스</t>
  </si>
  <si>
    <t>파워로직스</t>
  </si>
  <si>
    <t>파커스</t>
  </si>
  <si>
    <t>스맥</t>
  </si>
  <si>
    <t>팜스토리</t>
  </si>
  <si>
    <t>한국컴퓨터</t>
  </si>
  <si>
    <t>한국코퍼레이션</t>
  </si>
  <si>
    <t>한라IMS</t>
  </si>
  <si>
    <t>한양이엔지</t>
  </si>
  <si>
    <t>한일네트웍스</t>
  </si>
  <si>
    <t>한일단조</t>
  </si>
  <si>
    <t>한일진공</t>
  </si>
  <si>
    <t>한일화학</t>
  </si>
  <si>
    <t>한창산업</t>
  </si>
  <si>
    <t>한컴위드</t>
  </si>
  <si>
    <t>해덕파워웨이</t>
  </si>
  <si>
    <t>헝셩그룹</t>
  </si>
  <si>
    <t>현대통신</t>
  </si>
  <si>
    <t>현우산업</t>
  </si>
  <si>
    <t>화성밸브</t>
  </si>
  <si>
    <t>화신정공</t>
  </si>
  <si>
    <t>휴맥스</t>
  </si>
  <si>
    <t>휴맥스홀딩스</t>
  </si>
  <si>
    <t>휴비츠</t>
  </si>
  <si>
    <t>휴온스글로벌</t>
  </si>
  <si>
    <t>흥국</t>
  </si>
  <si>
    <t>한국캐피탈</t>
  </si>
  <si>
    <t>한국정보공학</t>
  </si>
  <si>
    <t>한국정밀기계</t>
  </si>
  <si>
    <t>플랜티넷</t>
  </si>
  <si>
    <t>패션플랫폼</t>
  </si>
  <si>
    <t>펌텍코리아</t>
  </si>
  <si>
    <t>평화정공</t>
  </si>
  <si>
    <t>포티스</t>
  </si>
  <si>
    <t>푸드웰</t>
  </si>
  <si>
    <t>푸른저축은행</t>
  </si>
  <si>
    <t>풍강</t>
  </si>
  <si>
    <t>퓨전</t>
  </si>
  <si>
    <t>프로텍</t>
  </si>
  <si>
    <t>피앤씨테크</t>
  </si>
  <si>
    <t>한국알콜</t>
  </si>
  <si>
    <t>피에스텍</t>
  </si>
  <si>
    <t>피제이전자</t>
  </si>
  <si>
    <t>픽셀플러스</t>
  </si>
  <si>
    <t>하림지주</t>
  </si>
  <si>
    <t>하이록코리아</t>
  </si>
  <si>
    <t>한국가구</t>
  </si>
  <si>
    <t>한국경제TV</t>
  </si>
  <si>
    <t>한국선재</t>
  </si>
  <si>
    <t>한국아트라스비엑스</t>
  </si>
  <si>
    <t>인화정공</t>
  </si>
  <si>
    <t>인포바인</t>
  </si>
  <si>
    <t>인터파크</t>
  </si>
  <si>
    <t>인터엠</t>
  </si>
  <si>
    <t>아진산업</t>
  </si>
  <si>
    <t>액토즈소프트</t>
  </si>
  <si>
    <t>액트로</t>
  </si>
  <si>
    <t>야스</t>
  </si>
  <si>
    <t>양지사</t>
  </si>
  <si>
    <t>에버다임</t>
  </si>
  <si>
    <t>에스디시스템</t>
  </si>
  <si>
    <t>에스씨디</t>
  </si>
  <si>
    <t>에스앤더블류</t>
  </si>
  <si>
    <t>에스앤씨엔진그룹</t>
  </si>
  <si>
    <t>에스에이엠티</t>
  </si>
  <si>
    <t>에스에이티</t>
  </si>
  <si>
    <t>에스제이케이</t>
  </si>
  <si>
    <t>에스텍</t>
  </si>
  <si>
    <t>에스티오</t>
  </si>
  <si>
    <t>에이루트</t>
  </si>
  <si>
    <t>에이스침대</t>
  </si>
  <si>
    <t>에이아이비트</t>
  </si>
  <si>
    <t>에이치케이</t>
  </si>
  <si>
    <t>에이팸</t>
  </si>
  <si>
    <t>에이프로젠 H&amp;G</t>
  </si>
  <si>
    <t>아즈텍WB</t>
  </si>
  <si>
    <t>아이즈비전</t>
  </si>
  <si>
    <t>아이엠텍</t>
  </si>
  <si>
    <t>쌍용정보통신</t>
  </si>
  <si>
    <t>스카이문스테크놀로지</t>
  </si>
  <si>
    <t>스타모빌리티</t>
  </si>
  <si>
    <t>스타플렉스</t>
  </si>
  <si>
    <t>승일</t>
  </si>
  <si>
    <t>시공테크</t>
  </si>
  <si>
    <t>시그네틱스</t>
  </si>
  <si>
    <t>신원종합개발</t>
  </si>
  <si>
    <t>신진에스엠</t>
  </si>
  <si>
    <t>신화콘텍</t>
  </si>
  <si>
    <t>쎄니트</t>
  </si>
  <si>
    <t>아이디스홀딩스</t>
  </si>
  <si>
    <t>씨케이에이치</t>
  </si>
  <si>
    <t>씨티케이코스메틱스</t>
  </si>
  <si>
    <t>아리온</t>
  </si>
  <si>
    <t>아바코</t>
  </si>
  <si>
    <t>아바텍</t>
  </si>
  <si>
    <t>아비코전자</t>
  </si>
  <si>
    <t>아세아텍</t>
  </si>
  <si>
    <t>아스트</t>
  </si>
  <si>
    <t>아시아경제</t>
  </si>
  <si>
    <t>에코캡</t>
  </si>
  <si>
    <t>에코플라스틱</t>
  </si>
  <si>
    <t>엔브이에이치코리아</t>
  </si>
  <si>
    <t>이녹스</t>
  </si>
  <si>
    <t>윙입푸드</t>
  </si>
  <si>
    <t>유비벨록스</t>
  </si>
  <si>
    <t>유성티엔에스</t>
  </si>
  <si>
    <t>유신</t>
  </si>
  <si>
    <t>유아이엘</t>
  </si>
  <si>
    <t>유진기업</t>
  </si>
  <si>
    <t>육일씨엔에쓰</t>
  </si>
  <si>
    <t>이건홀딩스</t>
  </si>
  <si>
    <t>이글루시큐리티</t>
  </si>
  <si>
    <t>이니텍</t>
  </si>
  <si>
    <t>웹스</t>
  </si>
  <si>
    <t>이라이콤</t>
  </si>
  <si>
    <t>이베스트투자증권</t>
  </si>
  <si>
    <t>이상네트웍스</t>
  </si>
  <si>
    <t>이스트아시아홀딩스</t>
  </si>
  <si>
    <t>이에스에이</t>
  </si>
  <si>
    <t>이엘피</t>
  </si>
  <si>
    <t>이지홀딩스</t>
  </si>
  <si>
    <t>이화전기</t>
  </si>
  <si>
    <t>인지디스플레</t>
  </si>
  <si>
    <t>윈하이텍</t>
  </si>
  <si>
    <t>원풍</t>
  </si>
  <si>
    <t>엔피디</t>
  </si>
  <si>
    <t>오스템</t>
  </si>
  <si>
    <t>엘엠에스</t>
  </si>
  <si>
    <t>엠에스씨</t>
  </si>
  <si>
    <t>엠케이전자</t>
  </si>
  <si>
    <t>영풍정밀</t>
  </si>
  <si>
    <t>예림당</t>
  </si>
  <si>
    <t>오가닉티코스메틱</t>
  </si>
  <si>
    <t>오디텍</t>
  </si>
  <si>
    <t>오로라</t>
  </si>
  <si>
    <t>오리콤</t>
  </si>
  <si>
    <t>옴니시스템</t>
  </si>
  <si>
    <t>원일특강</t>
  </si>
  <si>
    <t>와이지-원</t>
  </si>
  <si>
    <t>와토스코리아</t>
  </si>
  <si>
    <t>우리산업홀딩스</t>
  </si>
  <si>
    <t>우리손에프앤지</t>
  </si>
  <si>
    <t>우리조명</t>
  </si>
  <si>
    <t>우림기계</t>
  </si>
  <si>
    <t>원익</t>
  </si>
  <si>
    <t>원익큐브</t>
  </si>
  <si>
    <t>원익홀딩스</t>
  </si>
  <si>
    <t>한국테크놀로지그룹</t>
  </si>
  <si>
    <t>현대코퍼레이션홀딩스</t>
  </si>
  <si>
    <t>한국콜마홀딩스</t>
  </si>
  <si>
    <t>동원금속</t>
  </si>
  <si>
    <t>동부건설</t>
  </si>
  <si>
    <t>동성코퍼레이션</t>
  </si>
  <si>
    <t>동성화학</t>
  </si>
  <si>
    <t>동아지질</t>
  </si>
  <si>
    <t>동아타이어</t>
  </si>
  <si>
    <t>동양</t>
  </si>
  <si>
    <t>동양고속</t>
  </si>
  <si>
    <t>동양생명</t>
  </si>
  <si>
    <t>동양피스톤</t>
  </si>
  <si>
    <t>동원F&amp;B</t>
  </si>
  <si>
    <t>동원산업</t>
  </si>
  <si>
    <t>동국제강</t>
  </si>
  <si>
    <t>동원수산</t>
  </si>
  <si>
    <t>동일고무벨트</t>
  </si>
  <si>
    <t>동일산업</t>
  </si>
  <si>
    <t>동일제강</t>
  </si>
  <si>
    <t>두산</t>
  </si>
  <si>
    <t>두산밥캣</t>
  </si>
  <si>
    <t>두산인프라코어</t>
  </si>
  <si>
    <t>두올</t>
  </si>
  <si>
    <t>디씨엠</t>
  </si>
  <si>
    <t>디아이</t>
  </si>
  <si>
    <t>동방아그로</t>
  </si>
  <si>
    <t>대현</t>
  </si>
  <si>
    <t>디와이</t>
  </si>
  <si>
    <t>대우조선해양</t>
  </si>
  <si>
    <t>대동전자</t>
  </si>
  <si>
    <t>대림B&amp;Co</t>
  </si>
  <si>
    <t>대림산업</t>
  </si>
  <si>
    <t>대림통상</t>
  </si>
  <si>
    <t>대상</t>
  </si>
  <si>
    <t>대상홀딩스</t>
  </si>
  <si>
    <t>대성산업</t>
  </si>
  <si>
    <t>대성에너지</t>
  </si>
  <si>
    <t>대신증권</t>
  </si>
  <si>
    <t>대우건설</t>
  </si>
  <si>
    <t>대원강업</t>
  </si>
  <si>
    <t>대한화섬</t>
  </si>
  <si>
    <t>대원화성</t>
  </si>
  <si>
    <t>대유에이텍</t>
  </si>
  <si>
    <t>대유플러스</t>
  </si>
  <si>
    <t>대창</t>
  </si>
  <si>
    <t>대창단조</t>
  </si>
  <si>
    <t>대한유화</t>
  </si>
  <si>
    <t>대한제강</t>
  </si>
  <si>
    <t>대한제당</t>
  </si>
  <si>
    <t>대한제분</t>
  </si>
  <si>
    <t>대한해운</t>
  </si>
  <si>
    <t>디아이씨</t>
  </si>
  <si>
    <t>디와이파워</t>
  </si>
  <si>
    <t>삼익악기</t>
  </si>
  <si>
    <t>사조씨푸드</t>
  </si>
  <si>
    <t>한국철강</t>
  </si>
  <si>
    <t>벽산</t>
  </si>
  <si>
    <t>부국증권</t>
  </si>
  <si>
    <t>부국철강</t>
  </si>
  <si>
    <t>부산가스</t>
  </si>
  <si>
    <t>비상교육</t>
  </si>
  <si>
    <t>빙그레</t>
  </si>
  <si>
    <t>사조대림</t>
  </si>
  <si>
    <t>사조동아원</t>
  </si>
  <si>
    <t>사조산업</t>
  </si>
  <si>
    <t>사조오양</t>
  </si>
  <si>
    <t>백광산업</t>
  </si>
  <si>
    <t>삼성공조</t>
  </si>
  <si>
    <t>삼성생명</t>
  </si>
  <si>
    <t>삼성증권</t>
  </si>
  <si>
    <t>삼성카드</t>
  </si>
  <si>
    <t>삼성화재</t>
  </si>
  <si>
    <t>삼양사</t>
  </si>
  <si>
    <t>삼양통상</t>
  </si>
  <si>
    <t>삼양홀딩스</t>
  </si>
  <si>
    <t>삼영무역</t>
  </si>
  <si>
    <t>삼영전자</t>
  </si>
  <si>
    <t>백산</t>
  </si>
  <si>
    <t>방림</t>
  </si>
  <si>
    <t>디티알오토모티브</t>
  </si>
  <si>
    <t>만호제강</t>
  </si>
  <si>
    <t>락앤락</t>
  </si>
  <si>
    <t>롯데손해보험</t>
  </si>
  <si>
    <t>롯데쇼핑</t>
  </si>
  <si>
    <t>롯데정밀화학</t>
  </si>
  <si>
    <t>롯데제과</t>
  </si>
  <si>
    <t>롯데지주</t>
  </si>
  <si>
    <t>롯데칠성</t>
  </si>
  <si>
    <t>롯데케미칼</t>
  </si>
  <si>
    <t>롯데푸드</t>
  </si>
  <si>
    <t>롯데하이마트</t>
  </si>
  <si>
    <t>메리츠금융지주</t>
  </si>
  <si>
    <t>미창석유</t>
  </si>
  <si>
    <t>메리츠증권</t>
  </si>
  <si>
    <t>메리츠화재</t>
  </si>
  <si>
    <t>모토닉</t>
  </si>
  <si>
    <t>무림P&amp;P</t>
  </si>
  <si>
    <t>무림페이퍼</t>
  </si>
  <si>
    <t>무학</t>
  </si>
  <si>
    <t>문배철강</t>
  </si>
  <si>
    <t>미래아이앤지</t>
  </si>
  <si>
    <t>미래에셋대우</t>
  </si>
  <si>
    <t>미래에셋생명</t>
  </si>
  <si>
    <t>대동공업</t>
  </si>
  <si>
    <t>대덕</t>
  </si>
  <si>
    <t>대구백화점</t>
  </si>
  <si>
    <t>LG</t>
  </si>
  <si>
    <t>KG케미칼</t>
  </si>
  <si>
    <t>KISCO홀딩스</t>
  </si>
  <si>
    <t>KPX케미칼</t>
  </si>
  <si>
    <t>KPX홀딩스</t>
  </si>
  <si>
    <t>KSS해운</t>
  </si>
  <si>
    <t>KT</t>
  </si>
  <si>
    <t>KTB투자증권</t>
  </si>
  <si>
    <t>KTcs</t>
  </si>
  <si>
    <t>KTis</t>
  </si>
  <si>
    <t>LF</t>
  </si>
  <si>
    <t>LG디스플레이</t>
  </si>
  <si>
    <t>KCTC</t>
  </si>
  <si>
    <t>LG상사</t>
  </si>
  <si>
    <t>LG유플러스</t>
  </si>
  <si>
    <t>LG하우시스</t>
  </si>
  <si>
    <t>LG헬로비전</t>
  </si>
  <si>
    <t>LS</t>
  </si>
  <si>
    <t>LS네트웍스</t>
  </si>
  <si>
    <t>NHN</t>
  </si>
  <si>
    <t>NH투자증권</t>
  </si>
  <si>
    <t>NI스틸</t>
  </si>
  <si>
    <t>NPC</t>
  </si>
  <si>
    <t>KC그린홀딩스</t>
  </si>
  <si>
    <t>KCC</t>
  </si>
  <si>
    <t>대교</t>
  </si>
  <si>
    <t>DRB동일</t>
  </si>
  <si>
    <t>BGF</t>
  </si>
  <si>
    <t>BNK금융지주</t>
  </si>
  <si>
    <t>BYC</t>
  </si>
  <si>
    <t>CJ</t>
  </si>
  <si>
    <t>CS홀딩스</t>
  </si>
  <si>
    <t>DB</t>
  </si>
  <si>
    <t>DB금융투자</t>
  </si>
  <si>
    <t>DB손해보험</t>
  </si>
  <si>
    <t>DGB금융지주</t>
  </si>
  <si>
    <t>DI동일</t>
  </si>
  <si>
    <t>DSR</t>
  </si>
  <si>
    <t>KB금융</t>
  </si>
  <si>
    <t>DSR제강</t>
  </si>
  <si>
    <t>E1</t>
  </si>
  <si>
    <t>GS</t>
  </si>
  <si>
    <t>GS건설</t>
  </si>
  <si>
    <t>GS글로벌</t>
  </si>
  <si>
    <t>HDC</t>
  </si>
  <si>
    <t>HDC아이콘트롤스</t>
  </si>
  <si>
    <t>HDC현대EP</t>
  </si>
  <si>
    <t>HDC현대산업개발</t>
  </si>
  <si>
    <t>JB금융지주</t>
  </si>
  <si>
    <t>OCI</t>
  </si>
  <si>
    <t>POSCO</t>
  </si>
  <si>
    <t>S&amp;TC</t>
  </si>
  <si>
    <t>금호산업</t>
  </si>
  <si>
    <t>계양전기</t>
  </si>
  <si>
    <t>고려제강</t>
  </si>
  <si>
    <t>광명전기</t>
  </si>
  <si>
    <t>광전자</t>
  </si>
  <si>
    <t>광주신세계</t>
  </si>
  <si>
    <t>교보증권</t>
  </si>
  <si>
    <t>국도화학</t>
  </si>
  <si>
    <t>극동유화</t>
  </si>
  <si>
    <t>금강공업</t>
  </si>
  <si>
    <t>금비</t>
  </si>
  <si>
    <t>기신정기</t>
  </si>
  <si>
    <t>S&amp;T중공업</t>
  </si>
  <si>
    <t>기아차</t>
  </si>
  <si>
    <t>기업은행</t>
  </si>
  <si>
    <t>남양유업</t>
  </si>
  <si>
    <t>넥센</t>
  </si>
  <si>
    <t>넥센타이어</t>
  </si>
  <si>
    <t>노루페인트</t>
  </si>
  <si>
    <t>노루홀딩스</t>
  </si>
  <si>
    <t>농심홀딩스</t>
  </si>
  <si>
    <t>다스코</t>
  </si>
  <si>
    <t>다우기술</t>
  </si>
  <si>
    <t>계룡건설</t>
  </si>
  <si>
    <t>경인전자</t>
  </si>
  <si>
    <t>경방</t>
  </si>
  <si>
    <t>경동인베스트</t>
  </si>
  <si>
    <t>S&amp;T홀딩스</t>
  </si>
  <si>
    <t>SBS</t>
  </si>
  <si>
    <t>SBS미디어홀딩스</t>
  </si>
  <si>
    <t>SG세계물산</t>
  </si>
  <si>
    <t>SG충방</t>
  </si>
  <si>
    <t>SIMPAC</t>
  </si>
  <si>
    <t>SJM</t>
  </si>
  <si>
    <t>SJM홀딩스</t>
  </si>
  <si>
    <t>SK</t>
  </si>
  <si>
    <t>SK가스</t>
  </si>
  <si>
    <t>SK네트웍스</t>
  </si>
  <si>
    <t>SK디스커버리</t>
  </si>
  <si>
    <t>SK이노베이션</t>
  </si>
  <si>
    <t>SK증권</t>
  </si>
  <si>
    <t>SK텔레콤</t>
  </si>
  <si>
    <t>STX엔진</t>
  </si>
  <si>
    <t>TBH글로벌</t>
  </si>
  <si>
    <t>WISCOM</t>
  </si>
  <si>
    <t>가온전선</t>
  </si>
  <si>
    <t>강남제비스코</t>
  </si>
  <si>
    <t>경동도시가스</t>
  </si>
  <si>
    <t>삼원강재</t>
  </si>
  <si>
    <t>희림</t>
  </si>
  <si>
    <t>삼일씨엔에스</t>
  </si>
  <si>
    <t>조일알미늄</t>
  </si>
  <si>
    <t>지투알</t>
  </si>
  <si>
    <t>지역난방공사</t>
  </si>
  <si>
    <t>에스엘</t>
  </si>
  <si>
    <t>에이블씨엔씨</t>
  </si>
  <si>
    <t>에이엔피</t>
  </si>
  <si>
    <t>지엠비코리아</t>
  </si>
  <si>
    <t>조흥</t>
  </si>
  <si>
    <t>엔케이물산</t>
  </si>
  <si>
    <t>진양홀딩스</t>
  </si>
  <si>
    <t>영보화학</t>
  </si>
  <si>
    <t>영원무역</t>
  </si>
  <si>
    <t>영원무역홀딩스</t>
  </si>
  <si>
    <t>영풍</t>
  </si>
  <si>
    <t>조선선재</t>
  </si>
  <si>
    <t>영풍제지</t>
  </si>
  <si>
    <t>영흥</t>
  </si>
  <si>
    <t>진도</t>
  </si>
  <si>
    <t>애경유화</t>
  </si>
  <si>
    <t>오리온홀딩스</t>
  </si>
  <si>
    <t>아세아시멘트</t>
  </si>
  <si>
    <t>인팩</t>
  </si>
  <si>
    <t>신한지주</t>
  </si>
  <si>
    <t>코오롱인더</t>
  </si>
  <si>
    <t>신화실업</t>
  </si>
  <si>
    <t>쌍방울</t>
  </si>
  <si>
    <t>씨아이테크</t>
  </si>
  <si>
    <t>아세아</t>
  </si>
  <si>
    <t>아세아제지</t>
  </si>
  <si>
    <t>카프로</t>
  </si>
  <si>
    <t>아이마켓코리아</t>
  </si>
  <si>
    <t>코오롱</t>
  </si>
  <si>
    <t>코스맥스비티아이</t>
  </si>
  <si>
    <t>코리안리</t>
  </si>
  <si>
    <t>케이씨</t>
  </si>
  <si>
    <t>아주캐피탈</t>
  </si>
  <si>
    <t>케이비아이동국실업</t>
  </si>
  <si>
    <t>예스코홀딩스</t>
  </si>
  <si>
    <t>조선내화</t>
  </si>
  <si>
    <t>쿠쿠홀딩스</t>
  </si>
  <si>
    <t>일정실업</t>
  </si>
  <si>
    <t>유안타증권</t>
  </si>
  <si>
    <t>일진전기</t>
  </si>
  <si>
    <t>유양디앤유</t>
  </si>
  <si>
    <t>유진투자증권</t>
  </si>
  <si>
    <t>유화증권</t>
  </si>
  <si>
    <t>이건산업</t>
  </si>
  <si>
    <t>이구산업</t>
  </si>
  <si>
    <t>이마트</t>
  </si>
  <si>
    <t>유성기업</t>
  </si>
  <si>
    <t>이스타코</t>
  </si>
  <si>
    <t>일신방직</t>
  </si>
  <si>
    <t>일성신약</t>
  </si>
  <si>
    <t>이월드</t>
  </si>
  <si>
    <t>일성건설</t>
  </si>
  <si>
    <t>이화산업</t>
  </si>
  <si>
    <t>인천도시가스</t>
  </si>
  <si>
    <t>유수홀딩스</t>
  </si>
  <si>
    <t>유니켐</t>
  </si>
  <si>
    <t>조광피혁</t>
  </si>
  <si>
    <t>우신시스템</t>
  </si>
  <si>
    <t>용평리조트</t>
  </si>
  <si>
    <t>우리금융지주</t>
  </si>
  <si>
    <t>조광페인트</t>
  </si>
  <si>
    <t>제주은행</t>
  </si>
  <si>
    <t>제일파마홀딩스</t>
  </si>
  <si>
    <t>제일연마</t>
  </si>
  <si>
    <t>우성사료</t>
  </si>
  <si>
    <t>삼정펄프</t>
  </si>
  <si>
    <t>유니드</t>
  </si>
  <si>
    <t>제이에스코퍼레이션</t>
  </si>
  <si>
    <t>우진</t>
  </si>
  <si>
    <t>전방</t>
  </si>
  <si>
    <t>우진아이엔에스</t>
  </si>
  <si>
    <t>웅진씽크빅</t>
  </si>
  <si>
    <t>원림</t>
  </si>
  <si>
    <t>윌비스</t>
  </si>
  <si>
    <t>신원</t>
  </si>
  <si>
    <t>코오롱플라스틱</t>
  </si>
  <si>
    <t>크라운제과</t>
  </si>
  <si>
    <t>성신양회</t>
  </si>
  <si>
    <t>선창산업</t>
  </si>
  <si>
    <t>한국석유</t>
  </si>
  <si>
    <t>한국단자</t>
  </si>
  <si>
    <t>한국내화</t>
  </si>
  <si>
    <t>성보화학</t>
  </si>
  <si>
    <t>한국금융지주</t>
  </si>
  <si>
    <t>한국공항</t>
  </si>
  <si>
    <t>한국가스공사</t>
  </si>
  <si>
    <t>선진</t>
  </si>
  <si>
    <t>성안</t>
  </si>
  <si>
    <t>하이트진로홀딩스</t>
  </si>
  <si>
    <t>하이스틸</t>
  </si>
  <si>
    <t>하나금융지주</t>
  </si>
  <si>
    <t>성창기업지주</t>
  </si>
  <si>
    <t>풍산홀딩스</t>
  </si>
  <si>
    <t>세방</t>
  </si>
  <si>
    <t>한국수출포장</t>
  </si>
  <si>
    <t>한국자산신탁</t>
  </si>
  <si>
    <t>포스코인터내셔널</t>
  </si>
  <si>
    <t>상신브레이크</t>
  </si>
  <si>
    <t>삼천리</t>
  </si>
  <si>
    <t>삼호개발</t>
  </si>
  <si>
    <t>삼화왕관</t>
  </si>
  <si>
    <t>한국주철관</t>
  </si>
  <si>
    <t>한국주강</t>
  </si>
  <si>
    <t>한국종합기술</t>
  </si>
  <si>
    <t>상상인증권</t>
  </si>
  <si>
    <t>새론오토모티브</t>
  </si>
  <si>
    <t>선도전기</t>
  </si>
  <si>
    <t>한국조선해양</t>
  </si>
  <si>
    <t>샘표</t>
  </si>
  <si>
    <t>한국전자홀딩스</t>
  </si>
  <si>
    <t>서연</t>
  </si>
  <si>
    <t>서연이화</t>
  </si>
  <si>
    <t>한국전력</t>
  </si>
  <si>
    <t>서울가스</t>
  </si>
  <si>
    <t>크라운해태홀딩스</t>
  </si>
  <si>
    <t>풍산</t>
  </si>
  <si>
    <t>세방전지</t>
  </si>
  <si>
    <t>티에이치엔</t>
  </si>
  <si>
    <t>송원산업</t>
  </si>
  <si>
    <t>스카이라이프</t>
  </si>
  <si>
    <t>태평양물산</t>
  </si>
  <si>
    <t>신대양제지</t>
  </si>
  <si>
    <t>신도리코</t>
  </si>
  <si>
    <t>신라교역</t>
  </si>
  <si>
    <t>신세계</t>
  </si>
  <si>
    <t>태영건설</t>
  </si>
  <si>
    <t>신세계건설</t>
  </si>
  <si>
    <t>신세계푸드</t>
  </si>
  <si>
    <t>태양금속</t>
  </si>
  <si>
    <t>신송홀딩스</t>
  </si>
  <si>
    <t>태광산업</t>
  </si>
  <si>
    <t>태경산업</t>
  </si>
  <si>
    <t>신영와코루</t>
  </si>
  <si>
    <t>태경비케이</t>
  </si>
  <si>
    <t>신영증권</t>
  </si>
  <si>
    <t>세아베스틸</t>
  </si>
  <si>
    <t>텔코웨어</t>
  </si>
  <si>
    <t>티웨이항공</t>
  </si>
  <si>
    <t>세아홀딩스</t>
  </si>
  <si>
    <t>포스코강판</t>
  </si>
  <si>
    <t>평화홀딩스</t>
  </si>
  <si>
    <t>세아제강</t>
  </si>
  <si>
    <t>퍼시스</t>
  </si>
  <si>
    <t>세아제강지주</t>
  </si>
  <si>
    <t>세아특수강</t>
  </si>
  <si>
    <t>인터지스</t>
  </si>
  <si>
    <t>팬오션</t>
  </si>
  <si>
    <t>세원정공</t>
  </si>
  <si>
    <t>세이브존I&amp;C</t>
  </si>
  <si>
    <t>팜스코</t>
  </si>
  <si>
    <t>세종공업</t>
  </si>
  <si>
    <t>티웨이홀딩스</t>
  </si>
  <si>
    <t>진양폴리</t>
  </si>
  <si>
    <t>GST</t>
  </si>
  <si>
    <t>효성화학</t>
  </si>
  <si>
    <t>코윈테크</t>
  </si>
  <si>
    <t>키움증권</t>
  </si>
  <si>
    <t>한전KPS</t>
  </si>
  <si>
    <t>대림건설</t>
  </si>
  <si>
    <t>슈피겐코리아</t>
  </si>
  <si>
    <t>배럴</t>
  </si>
  <si>
    <t>디에이치피코리아</t>
  </si>
  <si>
    <t>신세계 I&amp;C</t>
  </si>
  <si>
    <t>매일유업</t>
  </si>
  <si>
    <t>신풍제지</t>
  </si>
  <si>
    <t>엘이티</t>
  </si>
  <si>
    <t>아이스크림에듀</t>
  </si>
  <si>
    <t>영신금속</t>
  </si>
  <si>
    <t>덕산테코피아</t>
  </si>
  <si>
    <t>오공</t>
  </si>
  <si>
    <t>씨앤지하이테크</t>
  </si>
  <si>
    <t>와이솔</t>
  </si>
  <si>
    <t>대유에이피</t>
  </si>
  <si>
    <t>바텍</t>
  </si>
  <si>
    <t>에스에프에이</t>
  </si>
  <si>
    <t>금호석유</t>
  </si>
  <si>
    <t>비덴트</t>
  </si>
  <si>
    <t>삼양패키징</t>
  </si>
  <si>
    <t>범양건영</t>
  </si>
  <si>
    <t>현대글로비스</t>
  </si>
  <si>
    <t>메가스터디교육</t>
  </si>
  <si>
    <t>세경하이테크</t>
  </si>
  <si>
    <t>샘표식품</t>
  </si>
  <si>
    <t>멀티캠퍼스</t>
  </si>
  <si>
    <t>아이비김영</t>
  </si>
  <si>
    <t>CJ제일제당</t>
  </si>
  <si>
    <t>하이비젼시스템</t>
  </si>
  <si>
    <t>KT&amp;G</t>
  </si>
  <si>
    <t>플레이위드</t>
  </si>
  <si>
    <t>삼양옵틱스</t>
  </si>
  <si>
    <t>세하</t>
  </si>
  <si>
    <t>서호전기</t>
  </si>
  <si>
    <t>삼화콘덴서</t>
  </si>
  <si>
    <t>디케이티</t>
  </si>
  <si>
    <t>비에이치</t>
  </si>
  <si>
    <t>명성티엔에스</t>
  </si>
  <si>
    <t>본느</t>
  </si>
  <si>
    <t>바이오스마트</t>
  </si>
  <si>
    <t>F&amp;F</t>
  </si>
  <si>
    <t>슈프리마</t>
  </si>
  <si>
    <t>한전산업</t>
  </si>
  <si>
    <t>뷰웍스</t>
  </si>
  <si>
    <t>한독크린텍</t>
  </si>
  <si>
    <t>미원화학</t>
  </si>
  <si>
    <t>하나제약</t>
  </si>
  <si>
    <t>한국정보통신</t>
  </si>
  <si>
    <t>씨큐브</t>
  </si>
  <si>
    <t>신도기연</t>
  </si>
  <si>
    <t>에스에스알</t>
  </si>
  <si>
    <t>브이원텍</t>
  </si>
  <si>
    <t>한국전자금융</t>
  </si>
  <si>
    <t>세틀뱅크</t>
  </si>
  <si>
    <t>미투젠</t>
  </si>
  <si>
    <t>쎌바이오텍</t>
  </si>
  <si>
    <t>민앤지</t>
  </si>
  <si>
    <t>제이앤티씨</t>
  </si>
  <si>
    <t>디와이피엔에프</t>
  </si>
  <si>
    <t>케이엔제이</t>
  </si>
  <si>
    <t>DMS</t>
  </si>
  <si>
    <t>코웰패션</t>
  </si>
  <si>
    <t>코세스</t>
  </si>
  <si>
    <t>SK하이닉스</t>
  </si>
  <si>
    <t>유니셈</t>
  </si>
  <si>
    <t>유니테스트</t>
  </si>
  <si>
    <t>누리텔레콤</t>
  </si>
  <si>
    <t>우리종금</t>
  </si>
  <si>
    <t>네오팜</t>
  </si>
  <si>
    <t>나인테크</t>
  </si>
  <si>
    <t>에스제이그룹</t>
  </si>
  <si>
    <t>나스미디어</t>
  </si>
  <si>
    <t>컴퍼니케이</t>
  </si>
  <si>
    <t>KCI</t>
  </si>
  <si>
    <t>인바디</t>
  </si>
  <si>
    <t>KG이니시스</t>
  </si>
  <si>
    <t>고려아연</t>
  </si>
  <si>
    <t>진성티이씨</t>
  </si>
  <si>
    <t>제노레이</t>
  </si>
  <si>
    <t>제우스</t>
  </si>
  <si>
    <t>윈팩</t>
  </si>
  <si>
    <t>위닉스</t>
  </si>
  <si>
    <t>대양금속</t>
  </si>
  <si>
    <t>원익머트리얼즈</t>
  </si>
  <si>
    <t>에스티아이</t>
  </si>
  <si>
    <t>주성엔지니어링</t>
  </si>
  <si>
    <t>팜스빌</t>
  </si>
  <si>
    <t>에이에프더블류</t>
  </si>
  <si>
    <t>아이에스동서</t>
  </si>
  <si>
    <t>엠벤처투자</t>
  </si>
  <si>
    <t>엠씨넥스</t>
  </si>
  <si>
    <t>애경산업</t>
  </si>
  <si>
    <t>덴티움</t>
  </si>
  <si>
    <t>톱텍</t>
  </si>
  <si>
    <t>더블유게임즈</t>
  </si>
  <si>
    <t>테라젠이텍스</t>
  </si>
  <si>
    <t>태웅로직스</t>
  </si>
  <si>
    <t>더네이쳐홀딩스</t>
  </si>
  <si>
    <t>오션브릿지</t>
  </si>
  <si>
    <t>휠라홀딩스</t>
  </si>
  <si>
    <t>지누스</t>
  </si>
  <si>
    <t>휴켐스</t>
  </si>
  <si>
    <t>에이플러스에셋</t>
  </si>
  <si>
    <t>디에스케이</t>
  </si>
  <si>
    <t>[320.0, 24.0, 982.0, nan]</t>
  </si>
  <si>
    <t>[472.0, 505.0, 61.0, nan]</t>
  </si>
  <si>
    <t>[535.0, 1348.0, 2226.0, nan]</t>
  </si>
  <si>
    <t>[1108.0, -36.0, 727.0, nan]</t>
  </si>
  <si>
    <t>[252.0, 160.0, 289.0, nan]</t>
  </si>
  <si>
    <t>[733.0, 452.0, 697.0, nan]</t>
  </si>
  <si>
    <t>[232.0, 330.0, 44.0, nan]</t>
  </si>
  <si>
    <t>[-220.0, -108.0, 44.0, nan]</t>
  </si>
  <si>
    <t>[60.0, -66.0, -374.0, nan]</t>
  </si>
  <si>
    <t>[87.0, 88.0, 72.0, nan]</t>
  </si>
  <si>
    <t>[-1058.0, -886.0, -773.0, nan]</t>
  </si>
  <si>
    <t>[996.0, 1639.0, 2589.0, nan]</t>
  </si>
  <si>
    <t>[881.0, 948.0, 885.0, 485.0]</t>
  </si>
  <si>
    <t>[306.0, 129.0, 24.0, nan]</t>
  </si>
  <si>
    <t>[117.0, 57.0, -11.0, nan]</t>
  </si>
  <si>
    <t>[1354.0, 1196.0, 1531.0, nan]</t>
  </si>
  <si>
    <t>[58.0, 1852.0, 1646.0, nan]</t>
  </si>
  <si>
    <t>[-140.0, -76.0, -238.0, nan]</t>
  </si>
  <si>
    <t>[566.0, 576.0, 296.0, nan]</t>
  </si>
  <si>
    <t>[-138.0, 1905.0, 1064.0, nan]</t>
  </si>
  <si>
    <t>[507.0, 270.0, 2877.0, nan]</t>
  </si>
  <si>
    <t>[3721.0, 2883.0, 819.0, nan]</t>
  </si>
  <si>
    <t>[469.0, 308.0, 65.0, nan]</t>
  </si>
  <si>
    <t>[1108.0, 1343.0, 933.0, nan]</t>
  </si>
  <si>
    <t>[727.0, 702.0, 102.0, nan]</t>
  </si>
  <si>
    <t>[412.0, -319.0, -762.0, nan]</t>
  </si>
  <si>
    <t>[2249.0, 2723.0, 842.0, 209.0]</t>
  </si>
  <si>
    <t>[349.0, 359.0, 0.0, nan]</t>
  </si>
  <si>
    <t>[8.0, 23.0, -62.0, nan]</t>
  </si>
  <si>
    <t>[615.0, 5.0, 31.0, nan]</t>
  </si>
  <si>
    <t>[605.0, 228.0, 337.0, nan]</t>
  </si>
  <si>
    <t>[362.0, 1430.0, 279.0, nan]</t>
  </si>
  <si>
    <t>[111.0, -42.0, 633.0, nan]</t>
  </si>
  <si>
    <t>[277.0, 475.0, 235.0, nan]</t>
  </si>
  <si>
    <t>[1237.0, 1326.0, 1306.0, nan]</t>
  </si>
  <si>
    <t>[-8.0, 1131.0, 876.0, nan]</t>
  </si>
  <si>
    <t>[1695.0, 1404.0, 1950.0, nan]</t>
  </si>
  <si>
    <t>[666.0, 622.0, 3043.0, nan]</t>
  </si>
  <si>
    <t>[99.0, -578.0, -35.0, nan]</t>
  </si>
  <si>
    <t>[4139.0, 4753.0, 4694.0, nan]</t>
  </si>
  <si>
    <t>[56.0, 28.0, 9.0, nan]</t>
  </si>
  <si>
    <t>[218.0, 214.0, 37.0, nan]</t>
  </si>
  <si>
    <t>[140.0, 1278.0, 1998.0, 819.0]</t>
  </si>
  <si>
    <t>[364.0, 194.0, 250.0, nan]</t>
  </si>
  <si>
    <t>[137.0, 158.0, 121.0, nan]</t>
  </si>
  <si>
    <t>[1036.0, 1542.0, 1086.0, nan]</t>
  </si>
  <si>
    <t>[317.0, -24.0, 195.0, nan]</t>
  </si>
  <si>
    <t>[662.0, 879.0, 1924.0, nan]</t>
  </si>
  <si>
    <t>[-348.0, -731.0, -460.0, nan]</t>
  </si>
  <si>
    <t>[651.0, 1851.0, 436.0, nan]</t>
  </si>
  <si>
    <t>[426.0, 261.0, 36.0, nan]</t>
  </si>
  <si>
    <t>[-24.0, -65.0, 58.0, nan]</t>
  </si>
  <si>
    <t>[164.0, 260.0, 672.0, nan]</t>
  </si>
  <si>
    <t>[288.0, 347.0, 138.0, nan]</t>
  </si>
  <si>
    <t>[-562.0, -833.0, -768.0, nan]</t>
  </si>
  <si>
    <t>[541.0, 546.0, 43.0, nan]</t>
  </si>
  <si>
    <t>[768.0, 417.0, 98.0, nan]</t>
  </si>
  <si>
    <t>[180.0, 202.0, 294.0, 522.0]</t>
  </si>
  <si>
    <t>[897.0, 1569.0, 758.0, nan]</t>
  </si>
  <si>
    <t>[1229.0, 573.0, 794.0, nan]</t>
  </si>
  <si>
    <t>[-571.0, -291.0, 216.0, 59.0]</t>
  </si>
  <si>
    <t>[1430.0, 1127.0, -4159.0, nan]</t>
  </si>
  <si>
    <t>[467.0, 548.0, -383.0, nan]</t>
  </si>
  <si>
    <t>[617.0, 571.0, 481.0, nan]</t>
  </si>
  <si>
    <t>[529.0, 344.0, 491.0, nan]</t>
  </si>
  <si>
    <t>[-837.0, -418.0, -210.0, nan]</t>
  </si>
  <si>
    <t>[241.0, 236.0, 224.0, nan]</t>
  </si>
  <si>
    <t>[2245.0, 2065.0, -770.0, nan]</t>
  </si>
  <si>
    <t>[776.0, 696.0, 1572.0, nan]</t>
  </si>
  <si>
    <t>[-91.0, -69.0, 120.0, nan]</t>
  </si>
  <si>
    <t>[-200.0, -165.0, -1483.0, -1766.0]</t>
  </si>
  <si>
    <t>[-194.0, -308.0, -325.0, nan]</t>
  </si>
  <si>
    <t>[-67.0, -165.0, -257.0, nan]</t>
  </si>
  <si>
    <t>[195.0, -39.0, -60.0, nan]</t>
  </si>
  <si>
    <t>[-154.0, -178.0, 1.0, -654.0]</t>
  </si>
  <si>
    <t>[585.0, 284.0, 319.0, nan]</t>
  </si>
  <si>
    <t>[889.0, -22.0, 528.0, nan]</t>
  </si>
  <si>
    <t>[-323.0, 1223.0, -267.0, nan]</t>
  </si>
  <si>
    <t>[126.0, 214.0, 213.0, nan]</t>
  </si>
  <si>
    <t>[-37.0, 49.0, 74.0, nan]</t>
  </si>
  <si>
    <t>[43.0, 37.0, -156.0, nan]</t>
  </si>
  <si>
    <t>[552.0, 355.0, 416.0, nan]</t>
  </si>
  <si>
    <t>[164.0, 106.0, 101.0, nan]</t>
  </si>
  <si>
    <t>[1005.0, 2021.0, 396.0, nan]</t>
  </si>
  <si>
    <t>[1085.0, 758.0, 499.0, nan]</t>
  </si>
  <si>
    <t>[2389.0, 2690.0, 932.0, nan]</t>
  </si>
  <si>
    <t>[1744.0, 2377.0, 2254.0, nan]</t>
  </si>
  <si>
    <t>[446.0, 271.0, -909.0, nan]</t>
  </si>
  <si>
    <t>[442.0, 3650.0, 1779.0, nan]</t>
  </si>
  <si>
    <t>[911.0, 1382.0, 1601.0, nan]</t>
  </si>
  <si>
    <t>[134.0, 108.0, 269.0, nan]</t>
  </si>
  <si>
    <t>[122.0, 159.0, 204.0, nan]</t>
  </si>
  <si>
    <t>[1659.0, 822.0, 849.0, nan]</t>
  </si>
  <si>
    <t>[461.0, 266.0, 2019.0, nan]</t>
  </si>
  <si>
    <t>[338.0, -40.0, 173.0, 224.0]</t>
  </si>
  <si>
    <t>[400.0, 461.0, 417.0, nan]</t>
  </si>
  <si>
    <t>[935.0, 863.0, 1782.0, nan]</t>
  </si>
  <si>
    <t>[-581.0, 2230.0, 2345.0, nan]</t>
  </si>
  <si>
    <t>[4836.0, 4216.0, 3387.0, 3090.0]</t>
  </si>
  <si>
    <t>[-868.0, -1635.0, 190.0, nan]</t>
  </si>
  <si>
    <t>[3122.0, 4565.0, 164.0, 1071.0]</t>
  </si>
  <si>
    <t>[1161.0, 1056.0, 561.0, 875.0]</t>
  </si>
  <si>
    <t>[2111.0, 1893.0, 948.0, 1532.0]</t>
  </si>
  <si>
    <t>[16109.0, 19403.0, 23867.0, 18229.0]</t>
  </si>
  <si>
    <t>[10939.0, 2128.0, 1333.0, 1655.0]</t>
  </si>
  <si>
    <t>[10841.0, 10211.0, 8296.0, 4881.0]</t>
  </si>
  <si>
    <t>[1301.0, 1280.0, 1434.0, nan]</t>
  </si>
  <si>
    <t>[1888.0, -666.0, 1236.0, 2598.0]</t>
  </si>
  <si>
    <t>[-2317.0, -2043.0, 2030.0, 4606.0]</t>
  </si>
  <si>
    <t>[5366.0, 2988.0, 128.0, -1121.0]</t>
  </si>
  <si>
    <t>[67660.0, 16493.0, 10636.0, -12383.0]</t>
  </si>
  <si>
    <t>[14127.0, 5352.0, 10761.0, 6544.0]</t>
  </si>
  <si>
    <t>[1711.0, 1724.0, 2324.0, nan]</t>
  </si>
  <si>
    <t>[7522.0, 8070.0, 2135.0, nan]</t>
  </si>
  <si>
    <t>[386.0, 354.0, 335.0, nan]</t>
  </si>
  <si>
    <t>[5195.0, 4178.0, 3011.0, 4575.0]</t>
  </si>
  <si>
    <t>[10205.0, 13881.0, 7162.0, 12179.0]</t>
  </si>
  <si>
    <t>[157.0, -23.0, 365.0, nan]</t>
  </si>
  <si>
    <t>[548.0, 555.0, 327.0, -671.0]</t>
  </si>
  <si>
    <t>[3586.0, 3954.0, 616.0, nan]</t>
  </si>
  <si>
    <t>[-655.0, -521.0, 357.0, nan]</t>
  </si>
  <si>
    <t>[1810.0, 3424.0, 3656.0, 2777.0]</t>
  </si>
  <si>
    <t>[1069.0, 192.0, 314.0, nan]</t>
  </si>
  <si>
    <t>[313.0, 409.0, 505.0, nan]</t>
  </si>
  <si>
    <t>[-1164.0, -826.0, 536.0, 800.0]</t>
  </si>
  <si>
    <t>[662.0, 662.0, 428.0, 363.0]</t>
  </si>
  <si>
    <t>[-708.0, 49.0, 373.0, nan]</t>
  </si>
  <si>
    <t>[994.0, -248.0, 51.0, 1527.0]</t>
  </si>
  <si>
    <t>[3982.0, 1214.0, 3918.0, 3361.0]</t>
  </si>
  <si>
    <t>[824.0, 638.0, 2038.0, 1214.0]</t>
  </si>
  <si>
    <t>[2187.0, 2940.0, 3462.0, 3348.0]</t>
  </si>
  <si>
    <t>[579.0, 310.0, -3391.0, nan]</t>
  </si>
  <si>
    <t>[120.0, 175.0, 154.0, nan]</t>
  </si>
  <si>
    <t>[1812.0, 1715.0, 1681.0, nan]</t>
  </si>
  <si>
    <t>[6602.0, 14008.0, 6210.0, nan]</t>
  </si>
  <si>
    <t>[-913.0, 619.0, 2555.0, 2031.0]</t>
  </si>
  <si>
    <t>[144.0, 103.0, 50.0, nan]</t>
  </si>
  <si>
    <t>[370.0, 351.0, 1672.0, nan]</t>
  </si>
  <si>
    <t>[473.0, -334.0, -478.0, nan]</t>
  </si>
  <si>
    <t>[1515.0, 17398.0, 461.0, nan]</t>
  </si>
  <si>
    <t>[-3555.0, 3619.0, -247.0, 1074.0]</t>
  </si>
  <si>
    <t>[-4722.0, 306.0, 1025.0, nan]</t>
  </si>
  <si>
    <t>[4140.0, 4784.0, 919.0, 4341.0]</t>
  </si>
  <si>
    <t>[673.0, 478.0, 116.0, 424.0]</t>
  </si>
  <si>
    <t>[1553.0, 700.0, -567.0, nan]</t>
  </si>
  <si>
    <t>[659.0, 367.0, 1066.0, nan]</t>
  </si>
  <si>
    <t>[34.0, 66.0, -254.0, nan]</t>
  </si>
  <si>
    <t>[525.0, 736.0, 317.0, nan]</t>
  </si>
  <si>
    <t>[26.0, -31.0, -279.0, nan]</t>
  </si>
  <si>
    <t>[418.0, 290.0, 277.0, nan]</t>
  </si>
  <si>
    <t>[-25.0, -96.0, 40.0, nan]</t>
  </si>
  <si>
    <t>[10344.0, 12762.0, 6923.0, nan]</t>
  </si>
  <si>
    <t>[1477.0, 1701.0, 1035.0, 1268.0]</t>
  </si>
  <si>
    <t>[120.0, -114.0, 64.0, nan]</t>
  </si>
  <si>
    <t>[108.0, 16.0, -35.0, nan]</t>
  </si>
  <si>
    <t>[251.0, 190.0, 174.0, nan]</t>
  </si>
  <si>
    <t>[502.0, 347.0, 1200.0, nan]</t>
  </si>
  <si>
    <t>[170.0, 215.0, 186.0, nan]</t>
  </si>
  <si>
    <t>[318.0, 232.0, 214.0, nan]</t>
  </si>
  <si>
    <t>[-504.0, -166.0, -751.0, 591.0]</t>
  </si>
  <si>
    <t>[69.0, 260.0, 127.0, nan]</t>
  </si>
  <si>
    <t>[1779.0, 1850.0, 2126.0, nan]</t>
  </si>
  <si>
    <t>[542.0, -152.0, -285.0, nan]</t>
  </si>
  <si>
    <t>[460.0, 283.0, 89.0, nan]</t>
  </si>
  <si>
    <t>[-6.0, -8.0, 31.0, nan]</t>
  </si>
  <si>
    <t>[162.0, 282.0, 235.0, nan]</t>
  </si>
  <si>
    <t>[3441.0, 6615.0, 4614.0, 5517.0]</t>
  </si>
  <si>
    <t>[1059.0, 1869.0, 1083.0, 925.0]</t>
  </si>
  <si>
    <t>[-3.0, -37.0, 18.0, nan]</t>
  </si>
  <si>
    <t>[3669.0, 3057.0, 3011.0, 2790.0]</t>
  </si>
  <si>
    <t>[-283.0, 385.0, 26.0, nan]</t>
  </si>
  <si>
    <t>[374.0, 722.0, 1311.0, nan]</t>
  </si>
  <si>
    <t>[144.0, 120.0, 542.0, nan]</t>
  </si>
  <si>
    <t>[42257.0, 58.0, -130.0, nan]</t>
  </si>
  <si>
    <t>[3961.0, 5753.0, 3388.0, nan]</t>
  </si>
  <si>
    <t>[1461.0, 1157.0, 1005.0, 1344.0]</t>
  </si>
  <si>
    <t>[1434.0, 1038.0, 1794.0, nan]</t>
  </si>
  <si>
    <t>[9271.0, 145922.0, 4921.0, -2288.0]</t>
  </si>
  <si>
    <t>[nan, 204.0, 1409.0, 643.0]</t>
  </si>
  <si>
    <t>[1248.0, 1876.0, 564.0, nan]</t>
  </si>
  <si>
    <t>[649.0, 536.0, -8.0, 957.0]</t>
  </si>
  <si>
    <t>[533.0, 2281.0, -1646.0, nan]</t>
  </si>
  <si>
    <t>[1309.0, 774.0, 590.0, nan]</t>
  </si>
  <si>
    <t>[21054.0, 11549.0, 4754.0, 5967.0]</t>
  </si>
  <si>
    <t>[61.0, -302.0, 49.0, nan]</t>
  </si>
  <si>
    <t>[78.0, 20.0, 414.0, nan]</t>
  </si>
  <si>
    <t>[784.0, 964.0, 766.0, nan]</t>
  </si>
  <si>
    <t>[15680.0, 20419.0, 16696.0, 18220.0]</t>
  </si>
  <si>
    <t>[979.0, 303.0, -301.0, nan]</t>
  </si>
  <si>
    <t>[201.0, 136.0, 195.0, nan]</t>
  </si>
  <si>
    <t>[1068.0, 1109.0, 930.0, nan]</t>
  </si>
  <si>
    <t>[1051.0, 1127.0, 1319.0, nan]</t>
  </si>
  <si>
    <t>[-1428.0, -1081.0, 606.0, nan]</t>
  </si>
  <si>
    <t>[326.0, 313.0, 2716.0, nan]</t>
  </si>
  <si>
    <t>[2467.0, 5722.0, 6737.0, nan]</t>
  </si>
  <si>
    <t>[-551.0, -230.0, -242.0, nan]</t>
  </si>
  <si>
    <t>[449.0, 668.0, 763.0, nan]</t>
  </si>
  <si>
    <t>[-449.0, 183.0, -12.0, nan]</t>
  </si>
  <si>
    <t>[665.0, 633.0, 2107.0, nan]</t>
  </si>
  <si>
    <t>[612.0, 791.0, 469.0, nan]</t>
  </si>
  <si>
    <t>[1394.0, 2250.0, 1975.0, nan]</t>
  </si>
  <si>
    <t>[274.0, 229.0, 424.0, nan]</t>
  </si>
  <si>
    <t>[85.0, -99.0, 36.0, nan]</t>
  </si>
  <si>
    <t>[-9433.0, -5064.0, -3106.0, nan]</t>
  </si>
  <si>
    <t>[3372.0, 3234.0, 2119.0, 3098.0]</t>
  </si>
  <si>
    <t>[419.0, 371.0, 334.0, nan]</t>
  </si>
  <si>
    <t>[854.0, 1049.0, 2259.0, nan]</t>
  </si>
  <si>
    <t>[-612.0, 380.0, 408.0, 79.0]</t>
  </si>
  <si>
    <t>[807.0, 214.0, 857.0, nan]</t>
  </si>
  <si>
    <t>[-298.0, -1633.0, -1690.0, nan]</t>
  </si>
  <si>
    <t>[75.0, -1357.0, 522.0, nan]</t>
  </si>
  <si>
    <t>[773.0, 1175.0, 1319.0, nan]</t>
  </si>
  <si>
    <t>[1134.0, 565.0, -294.0, 125.0]</t>
  </si>
  <si>
    <t>[31.0, 34.0, 56.0, nan]</t>
  </si>
  <si>
    <t>[-380.0, -2094.0, 139.0, nan]</t>
  </si>
  <si>
    <t>[222.0, 311.0, 104.0, nan]</t>
  </si>
  <si>
    <t>[127.0, 87.0, 91.0, nan]</t>
  </si>
  <si>
    <t>[160.0, 280.0, -217.0, nan]</t>
  </si>
  <si>
    <t>[280.0, 235.0, 389.0, nan]</t>
  </si>
  <si>
    <t>[1050.0, 1353.0, 1581.0, nan]</t>
  </si>
  <si>
    <t>[72.0, 144.0, 206.0, nan]</t>
  </si>
  <si>
    <t>[203.0, -91.0, -35.0, nan]</t>
  </si>
  <si>
    <t>[1714.0, -1571.0, -8212.0, nan]</t>
  </si>
  <si>
    <t>[604.0, -255.0, -317.0, nan]</t>
  </si>
  <si>
    <t>[968.0, 1050.0, 781.0, nan]</t>
  </si>
  <si>
    <t>[184.0, 145.0, 222.0, nan]</t>
  </si>
  <si>
    <t>[5079.0, 552.0, 107.0, nan]</t>
  </si>
  <si>
    <t>[-220.0, 15.0, -2026.0, nan]</t>
  </si>
  <si>
    <t>[466.0, 640.0, 57.0, nan]</t>
  </si>
  <si>
    <t>[396.0, 590.0, 466.0, nan]</t>
  </si>
  <si>
    <t>[-10.0, -379.0, 47.0, nan]</t>
  </si>
  <si>
    <t>[-297.0, -297.0, -1108.0, nan]</t>
  </si>
  <si>
    <t>[168.0, 194.0, 143.0, nan]</t>
  </si>
  <si>
    <t>[1183.0, 1195.0, 1207.0, nan]</t>
  </si>
  <si>
    <t>[885.0, 731.0, 1635.0, nan]</t>
  </si>
  <si>
    <t>[551.0, 404.0, 2328.0, nan]</t>
  </si>
  <si>
    <t>[842.0, -316.0, -703.0, nan]</t>
  </si>
  <si>
    <t>[234.0, 73.0, -346.0, nan]</t>
  </si>
  <si>
    <t>[518.0, 490.0, 448.0, nan]</t>
  </si>
  <si>
    <t>[1646.0, 1685.0, 1857.0, nan]</t>
  </si>
  <si>
    <t>[416.0, 60.0, -386.0, nan]</t>
  </si>
  <si>
    <t>[862.0, 594.0, 436.0, nan]</t>
  </si>
  <si>
    <t>[-1180.0, -100.0, -416.0, nan]</t>
  </si>
  <si>
    <t>[310.0, 696.0, 1611.0, nan]</t>
  </si>
  <si>
    <t>[-189.0, 325.0, -255.0, nan]</t>
  </si>
  <si>
    <t>[13.0, -62.0, -603.0, nan]</t>
  </si>
  <si>
    <t>[156.0, -67.0, -57.0, nan]</t>
  </si>
  <si>
    <t>[-2.0, -376.0, 472.0, nan]</t>
  </si>
  <si>
    <t>[16.0, -665.0, -264.0, nan]</t>
  </si>
  <si>
    <t>[182.0, 219.0, 375.0, nan]</t>
  </si>
  <si>
    <t>[1916.0, 4228.0, 1641.0, nan]</t>
  </si>
  <si>
    <t>[1348.0, 427.0, 589.0, nan]</t>
  </si>
  <si>
    <t>[-149.0, -39.0, 106.0, nan]</t>
  </si>
  <si>
    <t>[581.0, -251.0, -523.0, nan]</t>
  </si>
  <si>
    <t>[952.0, 810.0, 475.0, nan]</t>
  </si>
  <si>
    <t>[232.0, 273.0, 226.0, nan]</t>
  </si>
  <si>
    <t>[109.0, 20.0, 1903.0, nan]</t>
  </si>
  <si>
    <t>[-35.0, -116.0, -182.0, nan]</t>
  </si>
  <si>
    <t>[401.0, 310.0, 407.0, nan]</t>
  </si>
  <si>
    <t>[1772.0, 1977.0, 1236.0, nan]</t>
  </si>
  <si>
    <t>[345.0, 432.0, 146.0, nan]</t>
  </si>
  <si>
    <t>[172.0, 307.0, 283.0, nan]</t>
  </si>
  <si>
    <t>[85.0, 29.0, 95.0, nan]</t>
  </si>
  <si>
    <t>[-1324.0, -1969.0, 820.0, nan]</t>
  </si>
  <si>
    <t>[-2313.0, -1092.0, 464.0, nan]</t>
  </si>
  <si>
    <t>[262.0, 597.0, 663.0, -290.0]</t>
  </si>
  <si>
    <t>[2247.0, 2521.0, 2325.0, nan]</t>
  </si>
  <si>
    <t>[564.0, 675.0, 568.0, nan]</t>
  </si>
  <si>
    <t>[36.0, 96.0, 109.0, nan]</t>
  </si>
  <si>
    <t>[-167.0, -1080.0, 223.0, nan]</t>
  </si>
  <si>
    <t>[-3270.0, -2204.0, -146.0, nan]</t>
  </si>
  <si>
    <t>[-106.0, 148.0, 264.0, nan]</t>
  </si>
  <si>
    <t>[180.0, 46.0, 156.0, nan]</t>
  </si>
  <si>
    <t>[1327.0, 1705.0, 1661.0, nan]</t>
  </si>
  <si>
    <t>[3549.0, 2135.0, 1506.0, 486.0]</t>
  </si>
  <si>
    <t>[61.0, -271.0, -344.0, nan]</t>
  </si>
  <si>
    <t>[260.0, 450.0, 3109.0, nan]</t>
  </si>
  <si>
    <t>[1386.0, 1616.0, 1631.0, nan]</t>
  </si>
  <si>
    <t>[82.0, 111.0, 16.0, nan]</t>
  </si>
  <si>
    <t>[-8165.0, -11628.0, -3655.0, nan]</t>
  </si>
  <si>
    <t>[2617.0, 2572.0, 3502.0, nan]</t>
  </si>
  <si>
    <t>[585.0, 359.0, 428.0, nan]</t>
  </si>
  <si>
    <t>[932.0, 1327.0, 1472.0, nan]</t>
  </si>
  <si>
    <t>[600.0, -16.0, 129.0, nan]</t>
  </si>
  <si>
    <t>[394.0, 473.0, 326.0, nan]</t>
  </si>
  <si>
    <t>[-271.0, -1164.0, -752.0, nan]</t>
  </si>
  <si>
    <t>[2532.0, 1173.0, 594.0, nan]</t>
  </si>
  <si>
    <t>[1728.0, 848.0, 947.0, 764.0]</t>
  </si>
  <si>
    <t>[366.0, 493.0, 405.0, nan]</t>
  </si>
  <si>
    <t>[532.0, 627.0, 653.0, nan]</t>
  </si>
  <si>
    <t>[158.0, 271.0, 106.0, nan]</t>
  </si>
  <si>
    <t>[4648.0, 5462.0, 5806.0, 6339.0]</t>
  </si>
  <si>
    <t>[1112.0, -189.0, -903.0, nan]</t>
  </si>
  <si>
    <t>[3398.0, 3022.0, 2817.0, nan]</t>
  </si>
  <si>
    <t>[-1223.0, -148.0, -81.0, nan]</t>
  </si>
  <si>
    <t>[-271.0, -352.0, -880.0, nan]</t>
  </si>
  <si>
    <t>[606.0, -412.0, 378.0, nan]</t>
  </si>
  <si>
    <t>[-660.0, -1314.0, 1833.0, nan]</t>
  </si>
  <si>
    <t>[1151.0, 1649.0, 1461.0, nan]</t>
  </si>
  <si>
    <t>[1390.0, 2775.0, 1250.0, nan]</t>
  </si>
  <si>
    <t>[163.0, 145.0, 7553.0, nan]</t>
  </si>
  <si>
    <t>[982.0, 566.0, 65.0, nan]</t>
  </si>
  <si>
    <t>[-1648.0, -695.0, -1187.0, nan]</t>
  </si>
  <si>
    <t>[72.0, 162.0, -21.0, nan]</t>
  </si>
  <si>
    <t>[-582.0, -1419.0, -383.0, nan]</t>
  </si>
  <si>
    <t>[180.0, 154.0, 45.0, nan]</t>
  </si>
  <si>
    <t>[295.0, 319.0, 376.0, nan]</t>
  </si>
  <si>
    <t>[267.0, 245.0, 355.0, nan]</t>
  </si>
  <si>
    <t>[-1200.0, -1512.0, -857.0, nan]</t>
  </si>
  <si>
    <t>[908.0, 1829.0, 1576.0, 852.0]</t>
  </si>
  <si>
    <t>[-11.0, -24.0, 262.0, nan]</t>
  </si>
  <si>
    <t>[-1542.0, -1386.0, 339.0, nan]</t>
  </si>
  <si>
    <t>[2387.0, 2733.0, 3987.0, 3968.0]</t>
  </si>
  <si>
    <t>[-133.0, -168.0, -109.0, nan]</t>
  </si>
  <si>
    <t>[18.0, 77.0, 45.0, nan]</t>
  </si>
  <si>
    <t>[542.0, -19.0, -3059.0, nan]</t>
  </si>
  <si>
    <t>[-33.0, 60.0, -38.0, nan]</t>
  </si>
  <si>
    <t>[-18.0, 188.0, 226.0, nan]</t>
  </si>
  <si>
    <t>[358.0, 694.0, -63.0, nan]</t>
  </si>
  <si>
    <t>[-1216.0, -1249.0, -79.0, nan]</t>
  </si>
  <si>
    <t>[-127.0, 437.0, 32.0, nan]</t>
  </si>
  <si>
    <t>[-324.0, -431.0, -720.0, nan]</t>
  </si>
  <si>
    <t>[-796.0, -1189.0, -750.0, nan]</t>
  </si>
  <si>
    <t>[-1024.0, 832.0, -973.0, nan]</t>
  </si>
  <si>
    <t>[446.0, 1294.0, -96.0, nan]</t>
  </si>
  <si>
    <t>[934.0, 72.0, 765.0, nan]</t>
  </si>
  <si>
    <t>[19.0, -73.0, -233.0, nan]</t>
  </si>
  <si>
    <t>[1376.0, 1170.0, 1338.0, nan]</t>
  </si>
  <si>
    <t>[560.0, 356.0, 271.0, nan]</t>
  </si>
  <si>
    <t>[655.0, -75.0, -196.0, nan]</t>
  </si>
  <si>
    <t>[180.0, 89.0, 62.0, nan]</t>
  </si>
  <si>
    <t>[1129.0, 2178.0, -1078.0, nan]</t>
  </si>
  <si>
    <t>[-670.0, -640.0, -892.0, nan]</t>
  </si>
  <si>
    <t>[1899.0, 788.0, 765.0, nan]</t>
  </si>
  <si>
    <t>[-22293.0, -9421.0, -6233.0, nan]</t>
  </si>
  <si>
    <t>[-53.0, 1592.0, 1225.0, nan]</t>
  </si>
  <si>
    <t>[925.0, 495.0, 464.0, nan]</t>
  </si>
  <si>
    <t>[577.0, 1967.0, -381.0, -30.0]</t>
  </si>
  <si>
    <t>[167.0, 28.0, 56.0, nan]</t>
  </si>
  <si>
    <t>[99.0, 257.0, -33.0, nan]</t>
  </si>
  <si>
    <t>[360.0, 1138.0, 146.0, nan]</t>
  </si>
  <si>
    <t>[336.0, 177.0, 72.0, nan]</t>
  </si>
  <si>
    <t>[-398.0, -501.0, -31.0, nan]</t>
  </si>
  <si>
    <t>[177.0, -595.0, 332.0, nan]</t>
  </si>
  <si>
    <t>[21163.0, -3162.0, -1246.0, nan]</t>
  </si>
  <si>
    <t>[559.0, 646.0, 236.0, 225.0]</t>
  </si>
  <si>
    <t>[-799.0, 503.0, 805.0, nan]</t>
  </si>
  <si>
    <t>[494.0, 433.0, 780.0, nan]</t>
  </si>
  <si>
    <t>[510.0, -2471.0, -2050.0, nan]</t>
  </si>
  <si>
    <t>[685.0, 431.0, 380.0, nan]</t>
  </si>
  <si>
    <t>[1122.0, 303.0, 257.0, nan]</t>
  </si>
  <si>
    <t>[1601.0, 24.0, -666.0, nan]</t>
  </si>
  <si>
    <t>[200.0, 865.0, 179.0, nan]</t>
  </si>
  <si>
    <t>[391.0, 791.0, 187.0, nan]</t>
  </si>
  <si>
    <t>[512.0, -529.0, -443.0, nan]</t>
  </si>
  <si>
    <t>[-57.0, -2.0, -16.0, nan]</t>
  </si>
  <si>
    <t>[-1285.0, 675.0, -48.0, nan]</t>
  </si>
  <si>
    <t>[960.0, 841.0, 1020.0, nan]</t>
  </si>
  <si>
    <t>[885.0, 758.0, 1001.0, nan]</t>
  </si>
  <si>
    <t>[29.0, 32.0, 29.0, nan]</t>
  </si>
  <si>
    <t>[-1935.0, -747.0, -538.0, nan]</t>
  </si>
  <si>
    <t>[3441.0, 3023.0, 830.0, nan]</t>
  </si>
  <si>
    <t>[530.0, 547.0, 100.0, nan]</t>
  </si>
  <si>
    <t>[17.0, -4.0, 0.0, nan]</t>
  </si>
  <si>
    <t>[57.0, 266.0, 111.0, nan]</t>
  </si>
  <si>
    <t>[392.0, 649.0, -622.0, nan]</t>
  </si>
  <si>
    <t>[190.0, 171.0, 166.0, nan]</t>
  </si>
  <si>
    <t>[653.0, 621.0, 1167.0, nan]</t>
  </si>
  <si>
    <t>[20.0, -154.0, -537.0, nan]</t>
  </si>
  <si>
    <t>[1066.0, 747.0, 1249.0, nan]</t>
  </si>
  <si>
    <t>[638.0, 608.0, 668.0, nan]</t>
  </si>
  <si>
    <t>[2051.0, 1162.0, 324.0, nan]</t>
  </si>
  <si>
    <t>[581.0, 719.0, 799.0, nan]</t>
  </si>
  <si>
    <t>[851.0, 735.0, -708.0, nan]</t>
  </si>
  <si>
    <t>[760.0, 774.0, 559.0, nan]</t>
  </si>
  <si>
    <t>[337.0, 295.0, 182.0, nan]</t>
  </si>
  <si>
    <t>[1195.0, 553.0, 350.0, 743.0]</t>
  </si>
  <si>
    <t>[356.0, 777.0, 515.0, nan]</t>
  </si>
  <si>
    <t>[155.0, 78.0, 463.0, nan]</t>
  </si>
  <si>
    <t>[1635.0, 1526.0, 2259.0, nan]</t>
  </si>
  <si>
    <t>[1186.0, 700.0, 44.0, nan]</t>
  </si>
  <si>
    <t>[506.0, 403.0, 437.0, nan]</t>
  </si>
  <si>
    <t>[146.0, 102.0, 10.0, nan]</t>
  </si>
  <si>
    <t>[382.0, 391.0, 61.0, nan]</t>
  </si>
  <si>
    <t>[-218.0, -575.0, 48.0, nan]</t>
  </si>
  <si>
    <t>[-149.0, 313.0, -49.0, nan]</t>
  </si>
  <si>
    <t>[1046.0, -5063.0, 2577.0, nan]</t>
  </si>
  <si>
    <t>[54.0, -105.0, 108.0, nan]</t>
  </si>
  <si>
    <t>[931.0, 984.0, 429.0, nan]</t>
  </si>
  <si>
    <t>[2506.0, 2226.0, 1627.0, 1304.0]</t>
  </si>
  <si>
    <t>[1330.0, 490.0, 1129.0, 1978.0]</t>
  </si>
  <si>
    <t>[1674.0, 3362.0, 2236.0, nan]</t>
  </si>
  <si>
    <t>[-311.0, -487.0, 350.0, nan]</t>
  </si>
  <si>
    <t>[4571.0, 3507.0, 2803.0, 2611.0]</t>
  </si>
  <si>
    <t>[216.0, -71.0, 124.0, nan]</t>
  </si>
  <si>
    <t>[979.0, 1094.0, 2492.0, 3224.0]</t>
  </si>
  <si>
    <t>[1487.0, 1630.0, 1656.0, 522.0]</t>
  </si>
  <si>
    <t>[15.0, 1178.0, 1799.0, nan]</t>
  </si>
  <si>
    <t>[68.0, 14.0, -2.0, nan]</t>
  </si>
  <si>
    <t>[-522.0, 446.0, 11314.0, nan]</t>
  </si>
  <si>
    <t>[1278.0, 312.0, 714.0, nan]</t>
  </si>
  <si>
    <t>[906.0, 873.0, 738.0, nan]</t>
  </si>
  <si>
    <t>[13313.0, 14699.0, 17015.0, 18842.0]</t>
  </si>
  <si>
    <t>[49609.0, 20549.0, 12632.0, 46361.0]</t>
  </si>
  <si>
    <t>[47.0, -3121.0, -718.0, -31.0]</t>
  </si>
  <si>
    <t>[1278.0, 369.0, 1305.0, nan]</t>
  </si>
  <si>
    <t>[80.0, 754.0, 606.0, nan]</t>
  </si>
  <si>
    <t>[9627.0, 6455.0, 1547.0, nan]</t>
  </si>
  <si>
    <t>[91.0, 9.0, 74.0, nan]</t>
  </si>
  <si>
    <t>[1594.0, -4779.0, 18218.0, -12035.0]</t>
  </si>
  <si>
    <t>[2731.0, 2638.0, 2714.0, 2002.0]</t>
  </si>
  <si>
    <t>[716.0, 1184.0, 1153.0, 856.0]</t>
  </si>
  <si>
    <t>[457.0, 426.0, 366.0, nan]</t>
  </si>
  <si>
    <t>[1113.0, 570.0, 2005.0, nan]</t>
  </si>
  <si>
    <t>[582.0, 330.0, 21.0, nan]</t>
  </si>
  <si>
    <t>[435.0, 450.0, 473.0, nan]</t>
  </si>
  <si>
    <t>[276.0, 331.0, 376.0, nan]</t>
  </si>
  <si>
    <t>[790.0, 227.0, 623.0, nan]</t>
  </si>
  <si>
    <t>[7457.0, 3219.0, -434.0, 2849.0]</t>
  </si>
  <si>
    <t>[51.0, 310.0, 419.0, nan]</t>
  </si>
  <si>
    <t>[422.0, 252.0, 132.0, nan]</t>
  </si>
  <si>
    <t>[12707.0, 16746.0, 17228.0, 21583.0]</t>
  </si>
  <si>
    <t>[-285.0, -74.0, -765.0, nan]</t>
  </si>
  <si>
    <t>[1464.0, 1801.0, 2976.0, 3756.0]</t>
  </si>
  <si>
    <t>[699.0, 632.0, 1946.0, nan]</t>
  </si>
  <si>
    <t>[3762.0, -198.0, -1390.0, nan]</t>
  </si>
  <si>
    <t>[540.0, 469.0, 474.0, nan]</t>
  </si>
  <si>
    <t>[1336.0, 1623.0, 1092.0, 1406.0]</t>
  </si>
  <si>
    <t>[623.0, 719.0, 502.0, 591.0]</t>
  </si>
  <si>
    <t>[351.0, 281.0, 258.0, nan]</t>
  </si>
  <si>
    <t>[15370.0, 33318.0, 16958.0, nan]</t>
  </si>
  <si>
    <t>[38.0, 65.0, 104.0, nan]</t>
  </si>
  <si>
    <t>[25.0, -283.0, 93.0, nan]</t>
  </si>
  <si>
    <t>[-151.0, 27.0, 106.0, nan]</t>
  </si>
  <si>
    <t>[140.0, 108.0, 56.0, nan]</t>
  </si>
  <si>
    <t>[859.0, 840.0, 1011.0, nan]</t>
  </si>
  <si>
    <t>[32972.0, 39602.0, 16360.0, 20964.0]</t>
  </si>
  <si>
    <t>[1251.0, -695.0, 1223.0, 3775.0]</t>
  </si>
  <si>
    <t>[1103.0, 1012.0, 1533.0, nan]</t>
  </si>
  <si>
    <t>[30206.0, 30457.0, 10055.0, nan]</t>
  </si>
  <si>
    <t>[494.0, 313.0, 371.0, 79.0]</t>
  </si>
  <si>
    <t>[-89.0, -316.0, -1675.0, nan]</t>
  </si>
  <si>
    <t>[2765.0, 2310.0, 1728.0, nan]</t>
  </si>
  <si>
    <t>[-59.0, 153.0, 151.0, nan]</t>
  </si>
  <si>
    <t>[1124.0, 733.0, -328.0, nan]</t>
  </si>
  <si>
    <t>[-942.0, 264.0, 414.0, nan]</t>
  </si>
  <si>
    <t>[158.0, 115.0, -40.0, nan]</t>
  </si>
  <si>
    <t>[2797.0, 2170.0, 2055.0, nan]</t>
  </si>
  <si>
    <t>[116.0, 104.0, 92.0, nan]</t>
  </si>
  <si>
    <t>[4092.0, 4476.0, 4448.0, nan]</t>
  </si>
  <si>
    <t>[1391.0, 188.0, 868.0, nan]</t>
  </si>
  <si>
    <t>[3006.0, 3472.0, 4168.0, 5109.0]</t>
  </si>
  <si>
    <t>[4813.0, 1663.0, 10553.0, nan]</t>
  </si>
  <si>
    <t>[323.0, 113.0, 6.0, nan]</t>
  </si>
  <si>
    <t>[8750.0, 7123.0, -2557.0, nan]</t>
  </si>
  <si>
    <t>[2546.0, 845.0, 1402.0, nan]</t>
  </si>
  <si>
    <t>[141.0, 497.0, 357.0, nan]</t>
  </si>
  <si>
    <t>[1379.0, 771.0, 585.0, nan]</t>
  </si>
  <si>
    <t>[5831.0, 8322.0, 4887.0, 5685.0]</t>
  </si>
  <si>
    <t>[3114.0, 3741.0, 4388.0, 5655.0]</t>
  </si>
  <si>
    <t>[3338.0, 2980.0, 2970.0, 3446.0]</t>
  </si>
  <si>
    <t>[20819.0, 21119.0, 12716.0, 15346.0]</t>
  </si>
  <si>
    <t>[3330.0, 4219.0, 3173.0, nan]</t>
  </si>
  <si>
    <t>[8310.0, 8432.0, 14733.0, nan]</t>
  </si>
  <si>
    <t>[4248.0, 7890.0, 3481.0, nan]</t>
  </si>
  <si>
    <t>[1544.0, 1564.0, 1941.0, nan]</t>
  </si>
  <si>
    <t>[529.0, 757.0, 428.0, 580.0]</t>
  </si>
  <si>
    <t>[371.0, 631.0, 282.0, nan]</t>
  </si>
  <si>
    <t>[71.0, 133.0, 118.0, nan]</t>
  </si>
  <si>
    <t>[2299.0, 5581.0, 6584.0, nan]</t>
  </si>
  <si>
    <t>[644.0, 257.0, 306.0, nan]</t>
  </si>
  <si>
    <t>[635.0, 554.0, 302.0, nan]</t>
  </si>
  <si>
    <t>[556.0, 680.0, -301.0, nan]</t>
  </si>
  <si>
    <t>[-4437.0, -19327.0, -31685.0, -9536.0]</t>
  </si>
  <si>
    <t>[3459.0, 8330.0, 6526.0, 6381.0]</t>
  </si>
  <si>
    <t>[482.0, 2190.0, 5932.0, nan]</t>
  </si>
  <si>
    <t>[10602.0, 1746.0, -3395.0, -534.0]</t>
  </si>
  <si>
    <t>[10766.0, -5480.0, -16243.0, 3588.0]</t>
  </si>
  <si>
    <t>[65466.0, 46074.0, 20860.0, 7444.0]</t>
  </si>
  <si>
    <t>[72204.0, 37584.0, 33151.0, 66026.0]</t>
  </si>
  <si>
    <t>[6288.0, 3620.0, -4232.0, nan]</t>
  </si>
  <si>
    <t>[2590.0, 2230.0, 2841.0, nan]</t>
  </si>
  <si>
    <t>[7171.0, 6163.0, 10189.0, nan]</t>
  </si>
  <si>
    <t>[559.0, 602.0, 789.0, 721.0]</t>
  </si>
  <si>
    <t>[3479.0, 2088.0, 2643.0, 3364.0]</t>
  </si>
  <si>
    <t>[385.0, 263.0, 344.0, nan]</t>
  </si>
  <si>
    <t>[585.0, 1119.0, 162.0, -128.0]</t>
  </si>
  <si>
    <t>[641.0, 833.0, -231.0, nan]</t>
  </si>
  <si>
    <t>[1807.0, -711.0, 832.0, nan]</t>
  </si>
  <si>
    <t>[494.0, 243.0, 116.0, nan]</t>
  </si>
  <si>
    <t>[-28.0, -84.0, 108.0, nan]</t>
  </si>
  <si>
    <t>[740.0, 576.0, 811.0, 988.0]</t>
  </si>
  <si>
    <t>[1330.0, 553.0, 553.0, nan]</t>
  </si>
  <si>
    <t>[405.0, 52.0, 131.0, nan]</t>
  </si>
  <si>
    <t>[730.0, 5152.0, 794.0, nan]</t>
  </si>
  <si>
    <t>[-1521.0, -2758.0, -1837.0, nan]</t>
  </si>
  <si>
    <t>[13623.0, 10598.0, 6141.0, 9369.0]</t>
  </si>
  <si>
    <t>[362.0, 270.0, 7569.0, nan]</t>
  </si>
  <si>
    <t>[697.0, 1372.0, 2409.0, nan]</t>
  </si>
  <si>
    <t>[5475.0, 2284.0, 8420.0, 10816.0]</t>
  </si>
  <si>
    <t>[9548.0, 871.0, 8130.0, nan]</t>
  </si>
  <si>
    <t>[1108.0, 898.0, 1001.0, nan]</t>
  </si>
  <si>
    <t>[1826.0, 2637.0, 2371.0, 2667.0]</t>
  </si>
  <si>
    <t>[509.0, 478.0, 710.0, nan]</t>
  </si>
  <si>
    <t>[167.0, 265.0, 174.0, nan]</t>
  </si>
  <si>
    <t>[240.0, 227.0, 264.0, nan]</t>
  </si>
  <si>
    <t>[2519.0, 2846.0, 2313.0, 1623.0]</t>
  </si>
  <si>
    <t>[5038.0, -579.0, -7908.0, -1566.0]</t>
  </si>
  <si>
    <t>[297.0, 240.0, 238.0, nan]</t>
  </si>
  <si>
    <t>[1553.0, -1815.0, 737.0, 7489.0]</t>
  </si>
  <si>
    <t>[1253.0, 1103.0, 1005.0, 1729.0]</t>
  </si>
  <si>
    <t>[6786.0, -5313.0, 1157.0, 5842.0]</t>
  </si>
  <si>
    <t>[373.0, 505.0, -1217.0, 280.0]</t>
  </si>
  <si>
    <t>[9219.0, 12551.0, 787.0, 3641.0]</t>
  </si>
  <si>
    <t>[261.0, 207.0, -877.0, nan]</t>
  </si>
  <si>
    <t>[849.0, 4567.0, 631.0, 3877.0]</t>
  </si>
  <si>
    <t>[1166.0, 1202.0, 1584.0, 2033.0]</t>
  </si>
  <si>
    <t>[386.0, 357.0, 224.0, nan]</t>
  </si>
  <si>
    <t>[280.0, 282.0, 343.0, nan]</t>
  </si>
  <si>
    <t>[229.0, 571.0, 364.0, nan]</t>
  </si>
  <si>
    <t>[3958.0, -2233.0, -21079.0, 4476.0]</t>
  </si>
  <si>
    <t>[401.0, 181.0, 162.0, -163.0]</t>
  </si>
  <si>
    <t>[902.0, 313.0, 445.0, nan]</t>
  </si>
  <si>
    <t>[74962.0, 576.0, 281.0, 272.0]</t>
  </si>
  <si>
    <t>[1237.0, 1540.0, 1725.0, 1558.0]</t>
  </si>
  <si>
    <t>[7379.0, 10833.0, 33063.0, nan]</t>
  </si>
  <si>
    <t>[14658.0, 8726.0, 8445.0, 7569.0]</t>
  </si>
  <si>
    <t>[5107.0, 5435.0, 8382.0, nan]</t>
  </si>
  <si>
    <t>[-5.0, -20.0, 22.0, nan]</t>
  </si>
  <si>
    <t>[104.0, 1280.0, 1144.0, nan]</t>
  </si>
  <si>
    <t>[9338.0, 7522.0, 5334.0, 7203.0]</t>
  </si>
  <si>
    <t>[1787.0, 2253.0, 1936.0, 1872.0]</t>
  </si>
  <si>
    <t>[-2558.0, 10.0, 5025.0, nan]</t>
  </si>
  <si>
    <t>[692.0, 494.0, 546.0, nan]</t>
  </si>
  <si>
    <t>[7920.0, 7321.0, 7923.0, 8273.0]</t>
  </si>
  <si>
    <t>[348.0, 513.0, 469.0, nan]</t>
  </si>
  <si>
    <t>[12306.0, 11384.0, -6293.0, nan]</t>
  </si>
  <si>
    <t>[10414.0, 9537.0, 5744.0, -348.0]</t>
  </si>
  <si>
    <t>[-2349.0, 7328.0, 5535.0, 5281.0]</t>
  </si>
  <si>
    <t>[256.0, 249.0, -207.0, nan]</t>
  </si>
  <si>
    <t>[5169.0, 17009.0, 4295.0, nan]</t>
  </si>
  <si>
    <t>[1443.0, 1473.0, -358.0, nan]</t>
  </si>
  <si>
    <t>[973.0, 266.0, 413.0, nan]</t>
  </si>
  <si>
    <t>[nan, 5231.0, 9415.0, 3687.0]</t>
  </si>
  <si>
    <t>[1191.0, 1464.0, 1736.0, 1763.0]</t>
  </si>
  <si>
    <t>[9849.0, 4352.0, -33308.0, -2939.0]</t>
  </si>
  <si>
    <t>[32001.0, 19391.0, 21048.0, 16326.0]</t>
  </si>
  <si>
    <t>[610.0, 243.0, 2058.0, nan]</t>
  </si>
  <si>
    <t>[2653.0, -13.0, 323.0, 1334.0]</t>
  </si>
  <si>
    <t>[255.0, 281.0, 4.0, nan]</t>
  </si>
  <si>
    <t>[1185.0, 169.0, 499.0, nan]</t>
  </si>
  <si>
    <t>[-45.0, 60.0, 185.0, nan]</t>
  </si>
  <si>
    <t>[50.0, 113.0, 60.0, nan]</t>
  </si>
  <si>
    <t>[29904.0, 28183.0, 29793.0, nan]</t>
  </si>
  <si>
    <t>[2037.0, 2148.0, 2319.0, nan]</t>
  </si>
  <si>
    <t>[7070.0, 7743.0, 5958.0, nan]</t>
  </si>
  <si>
    <t>[433.0, 467.0, 412.0, nan]</t>
  </si>
  <si>
    <t>[960.0, 580.0, -359.0, nan]</t>
  </si>
  <si>
    <t>[6869.0, 6547.0, -3454.0, nan]</t>
  </si>
  <si>
    <t>[299.0, 516.0, 298.0, nan]</t>
  </si>
  <si>
    <t>[-930.0, 596.0, 501.0, nan]</t>
  </si>
  <si>
    <t>[2388.0, 2852.0, 4506.0, 3510.0]</t>
  </si>
  <si>
    <t>[2282.0, 2666.0, 2393.0, 1878.0]</t>
  </si>
  <si>
    <t>[5663.0, 2273.0, 32968.0, nan]</t>
  </si>
  <si>
    <t>[1490.0, 1088.0, 1037.0, nan]</t>
  </si>
  <si>
    <t>[1208.0, 994.0, 1135.0, 265.0]</t>
  </si>
  <si>
    <t>[1439.0, 623.0, 924.0, nan]</t>
  </si>
  <si>
    <t>[3162.0, -607.0, 339.0, nan]</t>
  </si>
  <si>
    <t>[8765.0, 10077.0, 7887.0, nan]</t>
  </si>
  <si>
    <t>[1211.0, 1179.0, 123.0, nan]</t>
  </si>
  <si>
    <t>[2554.0, 2460.0, 4130.0, nan]</t>
  </si>
  <si>
    <t>[5856.0, 9987.0, 8013.0, nan]</t>
  </si>
  <si>
    <t>[-1897.0, -433.0, 155.0, nan]</t>
  </si>
  <si>
    <t>[923.0, 737.0, 1591.0, nan]</t>
  </si>
  <si>
    <t>[19751.0, 11862.0, 3850.0, nan]</t>
  </si>
  <si>
    <t>[417.0, 1683.0, 3835.0, nan]</t>
  </si>
  <si>
    <t>[824.0, 267.0, 1079.0, -3342.0]</t>
  </si>
  <si>
    <t>[34.0, 81.0, -753.0, nan]</t>
  </si>
  <si>
    <t>[-32.0, 33.0, 48.0, nan]</t>
  </si>
  <si>
    <t>[8.0, 72.0, 17.0, nan]</t>
  </si>
  <si>
    <t>[443.0, 1463.0, 145.0, nan]</t>
  </si>
  <si>
    <t>[363.0, 267.0, 438.0, nan]</t>
  </si>
  <si>
    <t>[1025.0, 206.0, 329.0, nan]</t>
  </si>
  <si>
    <t>[23650.0, 31767.0, 10113.0, 2637.0]</t>
  </si>
  <si>
    <t>[11060.0, 6474.0, 17212.0, 29439.0]</t>
  </si>
  <si>
    <t>[135.0, 29.0, -530.0, 426.0]</t>
  </si>
  <si>
    <t>[28731.0, 3941.0, 8844.0, nan]</t>
  </si>
  <si>
    <t>[22449.0, 17619.0, -381.0, -21991.0]</t>
  </si>
  <si>
    <t>[56.0, 40.0, 66.0, nan]</t>
  </si>
  <si>
    <t>[32198.0, 38738.0, 11021.0, 17148.0]</t>
  </si>
  <si>
    <t>[-242.0, 1009.0, 737.0, nan]</t>
  </si>
  <si>
    <t>[-48.0, -2764.0, -3711.0, nan]</t>
  </si>
  <si>
    <t>[4.0, 69.0, 70.0, nan]</t>
  </si>
  <si>
    <t>[336.0, 23.0, 1314.0, nan]</t>
  </si>
  <si>
    <t>[3567.0, 5942.0, 2250.0, nan]</t>
  </si>
  <si>
    <t>[3015.0, 5785.0, 4163.0, nan]</t>
  </si>
  <si>
    <t>[275.0, 298.0, 261.0, nan]</t>
  </si>
  <si>
    <t>[266.0, 284.0, 264.0, nan]</t>
  </si>
  <si>
    <t>[346.0, -578.0, 211.0, nan]</t>
  </si>
  <si>
    <t>[-26.0, -150.0, -1093.0, nan]</t>
  </si>
  <si>
    <t>[705.0, 922.0, 921.0, nan]</t>
  </si>
  <si>
    <t>[6035.0, -19564.0, -2209.0, 4478.0]</t>
  </si>
  <si>
    <t>[2870.0, 743.0, 1921.0, 1343.0]</t>
  </si>
  <si>
    <t>[455.0, -478.0, -413.0, nan]</t>
  </si>
  <si>
    <t>[-1237.0, -524.0, -410.0, nan]</t>
  </si>
  <si>
    <t>[601.0, 7.0, 143.0, nan]</t>
  </si>
  <si>
    <t>[18830.0, 13393.0, 13076.0, nan]</t>
  </si>
  <si>
    <t>[-230.0, -347.0, -79.0, nan]</t>
  </si>
  <si>
    <t>[179.0, 19.0, 271.0, nan]</t>
  </si>
  <si>
    <t>[1464.0, 287.0, 256.0, nan]</t>
  </si>
  <si>
    <t>[2453.0, 2551.0, 3753.0, 4037.0]</t>
  </si>
  <si>
    <t>[5251.0, 6325.0, 8870.0, nan]</t>
  </si>
  <si>
    <t>[132786.0, 60108.0, 126504.0, nan]</t>
  </si>
  <si>
    <t>[12222.0, 9348.0, 10187.0, nan]</t>
  </si>
  <si>
    <t>[175.0, 645.0, 418.0, nan]</t>
  </si>
  <si>
    <t>[-49.0, -61.0, 12.0, nan]</t>
  </si>
  <si>
    <t>[762.0, 449.0, -219.0, nan]</t>
  </si>
  <si>
    <t>[2032.0, 1657.0, 952.0, 1414.0]</t>
  </si>
  <si>
    <t>[35070.0, 899.0, 772.0, nan]</t>
  </si>
  <si>
    <t>[16742.0, 4002.0, 7157.0, nan]</t>
  </si>
  <si>
    <t>[-152.0, 166.0, -617.0, nan]</t>
  </si>
  <si>
    <t>[6155.0, 6657.0, 7004.0, 6798.0]</t>
  </si>
  <si>
    <t>[4830.0, 2250.0, 1092.0, 5382.0]</t>
  </si>
  <si>
    <t>[1708.0, 1833.0, 793.0, nan]</t>
  </si>
  <si>
    <t>[987.0, -655.0, -250.0, nan]</t>
  </si>
  <si>
    <t>[-727.0, -152.0, -237.0, nan]</t>
  </si>
  <si>
    <t>[19967.0, 22849.0, 22002.0, nan]</t>
  </si>
  <si>
    <t>[561.0, 8785.0, 6860.0, nan]</t>
  </si>
  <si>
    <t>[309.0, 251.0, -2070.0, nan]</t>
  </si>
  <si>
    <t>[214.0, 343.0, 447.0, nan]</t>
  </si>
  <si>
    <t>[6562.0, -353.0, -1244.0, nan]</t>
  </si>
  <si>
    <t>[400.0, 990.0, 42.0, nan]</t>
  </si>
  <si>
    <t>[1105.0, 855.0, 1568.0, nan]</t>
  </si>
  <si>
    <t>[2439.0, 14365.0, 3722.0, nan]</t>
  </si>
  <si>
    <t>[904.0, 1581.0, 1765.0, 1998.0]</t>
  </si>
  <si>
    <t>[-988.0, -180.0, -32.0, nan]</t>
  </si>
  <si>
    <t>[3772.0, -6546.0, 3278.0, nan]</t>
  </si>
  <si>
    <t>[3431.0, 13184.0, 6088.0, nan]</t>
  </si>
  <si>
    <t>[47436.0, 13106.0, 11168.0, nan]</t>
  </si>
  <si>
    <t>[-4752.0, -5725.0, -11334.0, nan]</t>
  </si>
  <si>
    <t>[333.0, 493.0, 381.0, nan]</t>
  </si>
  <si>
    <t>[-56.0, -390.0, 97.0, nan]</t>
  </si>
  <si>
    <t>[81.0, -530.0, -164.0, nan]</t>
  </si>
  <si>
    <t>[579.0, 480.0, 427.0, nan]</t>
  </si>
  <si>
    <t>[106.0, 81.0, 84.0, nan]</t>
  </si>
  <si>
    <t>[570.0, 564.0, 71.0, nan]</t>
  </si>
  <si>
    <t>[336.0, -79.0, -100.0, nan]</t>
  </si>
  <si>
    <t>[22101.0, 16150.0, 8391.0, 19427.0]</t>
  </si>
  <si>
    <t>[240.0, 142.0, 670.0, nan]</t>
  </si>
  <si>
    <t>[-43.0, -97.0, 256.0, nan]</t>
  </si>
  <si>
    <t>[6655.0, 8865.0, 2940.0, nan]</t>
  </si>
  <si>
    <t>[988.0, 1107.0, 2526.0, nan]</t>
  </si>
  <si>
    <t>[42.0, 103.0, 95.0, nan]</t>
  </si>
  <si>
    <t>[-222.0, 45.0, 34.0, nan]</t>
  </si>
  <si>
    <t>[-766.0, -384.0, -1615.0, nan]</t>
  </si>
  <si>
    <t>[3138.0, 3686.0, 2448.0, nan]</t>
  </si>
  <si>
    <t>[-163.0, 346.0, 156.0, nan]</t>
  </si>
  <si>
    <t>[115.0, 180.0, 223.0, nan]</t>
  </si>
  <si>
    <t>[3312.0, 2053.0, 2181.0, nan]</t>
  </si>
  <si>
    <t>[-43.0, -217.0, 316.0, nan]</t>
  </si>
  <si>
    <t>[352.0, 212.0, -287.0, nan]</t>
  </si>
  <si>
    <t>[nan, nan, 2701.0, 1993.0]</t>
  </si>
  <si>
    <t>[336.0, -305.0, -181.0, nan]</t>
  </si>
  <si>
    <t>[1136.0, 1171.0, 869.0, nan]</t>
  </si>
  <si>
    <t>[59088.0, 1223.0, -5676.0, nan]</t>
  </si>
  <si>
    <t>[400.0, 522.0, 640.0, nan]</t>
  </si>
  <si>
    <t>[38.0, -134.0, 386.0, nan]</t>
  </si>
  <si>
    <t>[4172.0, -70.0, 1868.0, nan]</t>
  </si>
  <si>
    <t>[4454.0, 4062.0, 7600.0, 9460.0]</t>
  </si>
  <si>
    <t>[434.0, 439.0, 615.0, nan]</t>
  </si>
  <si>
    <t>[-907.0, -416.0, -587.0, nan]</t>
  </si>
  <si>
    <t>[-7169.0, -13840.0, -23962.0, nan]</t>
  </si>
  <si>
    <t>[2761.0, 2172.0, 279.0, nan]</t>
  </si>
  <si>
    <t>[619.0, 551.0, -1187.0, 106.0]</t>
  </si>
  <si>
    <t>[1685.0, -405.0, 1348.0, nan]</t>
  </si>
  <si>
    <t>[10.0, -117.0, -598.0, nan]</t>
  </si>
  <si>
    <t>[-150.0, -76.0, 17.0, nan]</t>
  </si>
  <si>
    <t>[460.0, 324.0, 143.0, -158.0]</t>
  </si>
  <si>
    <t>[1038.0, 1029.0, 1424.0, nan]</t>
  </si>
  <si>
    <t>[484.0, 660.0, 690.0, nan]</t>
  </si>
  <si>
    <t>[-563.0, -623.0, -2973.0, nan]</t>
  </si>
  <si>
    <t>[14847.0, 6717.0, -11586.0, nan]</t>
  </si>
  <si>
    <t>[4783.0, 3803.0, 3062.0, nan]</t>
  </si>
  <si>
    <t>[509.0, 313.0, 187.0, nan]</t>
  </si>
  <si>
    <t>[463.0, 306.0, -143.0, nan]</t>
  </si>
  <si>
    <t>[8285.0, 8599.0, 13724.0, 11746.0]</t>
  </si>
  <si>
    <t>[7067.0, 5949.0, 5136.0, nan]</t>
  </si>
  <si>
    <t>[-13055.0, 5518.0, 420.0, -839.0]</t>
  </si>
  <si>
    <t>[2966.0, 754.0, 899.0, nan]</t>
  </si>
  <si>
    <t>[-157.0, -179.0, -203.0, nan]</t>
  </si>
  <si>
    <t>[-608.0, -115.0, -903.0, nan]</t>
  </si>
  <si>
    <t>[4185.0, -3581.0, 16.0, nan]</t>
  </si>
  <si>
    <t>[6881.0, 7458.0, 7966.0, 8291.0]</t>
  </si>
  <si>
    <t>[60.0, -113.0, -156.0, nan]</t>
  </si>
  <si>
    <t>[8555.0, 4469.0, 3063.0, nan]</t>
  </si>
  <si>
    <t>[1362.0, 1888.0, 240.0, nan]</t>
  </si>
  <si>
    <t>[-1318.0, 4323.0, 4505.0, nan]</t>
  </si>
  <si>
    <t>[1013.0, 826.0, 723.0, 993.0]</t>
  </si>
  <si>
    <t>[1444.0, 1258.0, 1697.0, 2195.0]</t>
  </si>
  <si>
    <t>[1073.0, 382.0, 189.0, nan]</t>
  </si>
  <si>
    <t>[3259.0, 7905.0, 9327.0, 5779.0]</t>
  </si>
  <si>
    <t>[859.0, 832.0, 863.0, nan]</t>
  </si>
  <si>
    <t>[3892.0, 4567.0, 3876.0, nan]</t>
  </si>
  <si>
    <t>[520.0, 288.0, 552.0, nan]</t>
  </si>
  <si>
    <t>[-418.0, -895.0, -1199.0, nan]</t>
  </si>
  <si>
    <t>[-714.0, -606.0, -325.0, nan]</t>
  </si>
  <si>
    <t>[-78.0, -195.0, -93.0, nan]</t>
  </si>
  <si>
    <t>[691.0, 385.0, -433.0, nan]</t>
  </si>
  <si>
    <t>[92.0, -45.0, -119.0, nan]</t>
  </si>
  <si>
    <t>[37660.0, -7255.0, 2318.0, 1231.0]</t>
  </si>
  <si>
    <t>[2789.0, 4470.0, 4195.0, nan]</t>
  </si>
  <si>
    <t>[94.0, -5.0, -266.0, nan]</t>
  </si>
  <si>
    <t>[-623.0, -757.0, -2554.0, nan]</t>
  </si>
  <si>
    <t>[1263.0, -245.0, -1721.0, nan]</t>
  </si>
  <si>
    <t>[2023.0, -2048.0, -3654.0, 2569.0]</t>
  </si>
  <si>
    <t>[7265.0, 8276.0, 5836.0, nan]</t>
  </si>
  <si>
    <t>[13860.0, 304.0, -1342.0, nan]</t>
  </si>
  <si>
    <t>[5372.0, 2212.0, 629.0, 2440.0]</t>
  </si>
  <si>
    <t>[4754.0, 6897.0, 5597.0, nan]</t>
  </si>
  <si>
    <t>[176.0, 280.0, 959.0, nan]</t>
  </si>
  <si>
    <t>[1475.0, 1587.0, 1448.0, 1463.0]</t>
  </si>
  <si>
    <t>[1200.0, 1079.0, 1141.0, 1379.0]</t>
  </si>
  <si>
    <t>[199.0, 202.0, 225.0, -415.0]</t>
  </si>
  <si>
    <t>[7032.0, 19674.0, 13849.0, nan]</t>
  </si>
  <si>
    <t>[3143.0, 3476.0, 1437.0, nan]</t>
  </si>
  <si>
    <t>[1657.0, 2525.0, 645.0, nan]</t>
  </si>
  <si>
    <t>[18513.0, 24274.0, 53472.0, -5142.0]</t>
  </si>
  <si>
    <t>[1143.0, 2398.0, 1152.0, nan]</t>
  </si>
  <si>
    <t>[7256.0, 10769.0, 4379.0, nan]</t>
  </si>
  <si>
    <t>[5323.0, 2198.0, 1124.0, -336.0]</t>
  </si>
  <si>
    <t>[-102.0, -134.0, -553.0, nan]</t>
  </si>
  <si>
    <t>[-697.0, -1176.0, -2905.0, nan]</t>
  </si>
  <si>
    <t>[124662.0, 192300.0, 122200.0, nan]</t>
  </si>
  <si>
    <t>[283.0, 412.0, 706.0, nan]</t>
  </si>
  <si>
    <t>[10140.0, 3010.0, 4238.0, nan]</t>
  </si>
  <si>
    <t>[206.0, 142.0, 148.0, nan]</t>
  </si>
  <si>
    <t>[4498.0, 4510.0, 1255.0, nan]</t>
  </si>
  <si>
    <t>[3533.0, 585.0, 480.0, 249.0]</t>
  </si>
  <si>
    <t>[546.0, 654.0, 441.0, 350.0]</t>
  </si>
  <si>
    <t>[744.0, 599.0, -582.0, -1552.0]</t>
  </si>
  <si>
    <t>[33604.0, 8191.0, 7705.0, nan]</t>
  </si>
  <si>
    <t>[2999.0, 1891.0, 446.0, nan]</t>
  </si>
  <si>
    <t>[-137.0, -2706.0, -942.0, nan]</t>
  </si>
  <si>
    <t>[nan, 2479.0, 8762.0, nan]</t>
  </si>
  <si>
    <t>[1918.0, 3956.0, 2953.0, nan]</t>
  </si>
  <si>
    <t>[4248.0, 62348.0, -742.0, nan]</t>
  </si>
  <si>
    <t>[2766.0, 1302.0, 1280.0, nan]</t>
  </si>
  <si>
    <t>[202.0, -454.0, -902.0, nan]</t>
  </si>
  <si>
    <t>[268.0, 285.0, 284.0, 277.0]</t>
  </si>
  <si>
    <t>[-650.0, -837.0, 760.0, nan]</t>
  </si>
  <si>
    <t>[703.0, 619.0, 542.0, nan]</t>
  </si>
  <si>
    <t>[1079.0, 102.0, -225.0, nan]</t>
  </si>
  <si>
    <t>[-371.0, -937.0, 247.0, nan]</t>
  </si>
  <si>
    <t>[419.0, 329.0, -385.0, nan]</t>
  </si>
  <si>
    <t>[54.0, 96.0, 755.0, nan]</t>
  </si>
  <si>
    <t>[1642.0, 1033.0, 1918.0, nan]</t>
  </si>
  <si>
    <t>[nan, 6393.0, 27530.0, 3648.0]</t>
  </si>
  <si>
    <t>[441.0, 1456.0, 2120.0, 659.0]</t>
  </si>
  <si>
    <t>[10870.0, 7753.0, 14287.0, 23956.0]</t>
  </si>
  <si>
    <t>[3021.0, 3585.0, 3407.0, 2622.0]</t>
  </si>
  <si>
    <t>[4256.0, 4251.0, 6265.0, nan]</t>
  </si>
  <si>
    <t>[6540.0, 6870.0, 6489.0, 11043.0]</t>
  </si>
  <si>
    <t>[666.0, 575.0, 883.0, nan]</t>
  </si>
  <si>
    <t>[777.0, 604.0, 881.0, nan]</t>
  </si>
  <si>
    <t>[5767.0, 17009.0, 6196.0, nan]</t>
  </si>
  <si>
    <t>[4710.0, 7530.0, 8202.0, 8124.0]</t>
  </si>
  <si>
    <t>[26.0, 250.0, 562.0, nan]</t>
  </si>
  <si>
    <t>[341.0, 2355.0, 1138.0, nan]</t>
  </si>
  <si>
    <t>[644.0, 950.0, 415.0, nan]</t>
  </si>
  <si>
    <t>[-2200.0, 236.0, 450.0, nan]</t>
  </si>
  <si>
    <t>[1416.0, 1242.0, 673.0, 707.0]</t>
  </si>
  <si>
    <t>[463.0, 452.0, 442.0, nan]</t>
  </si>
  <si>
    <t>[1449.0, 1201.0, 1404.0, nan]</t>
  </si>
  <si>
    <t>[1928.0, 1878.0, 1203.0, 685.0]</t>
  </si>
  <si>
    <t>[813.0, 976.0, 733.0, nan]</t>
  </si>
  <si>
    <t>[5324.0, 1835.0, 2281.0, 1357.0]</t>
  </si>
  <si>
    <t>[5484.0, 4399.0, 3676.0, 3054.0]</t>
  </si>
  <si>
    <t>[6377.0, 14667.0, 8796.0, 15667.0]</t>
  </si>
  <si>
    <t>[2911.0, 2337.0, -258.0, nan]</t>
  </si>
  <si>
    <t>[1966.0, 1507.0, 1998.0, nan]</t>
  </si>
  <si>
    <t>[46.0, 219.0, 794.0, nan]</t>
  </si>
  <si>
    <t>[18147.0, 11663.0, 13395.0, 15205.0]</t>
  </si>
  <si>
    <t>[831.0, 3502.0, 3985.0, 2206.0]</t>
  </si>
  <si>
    <t>[-292.0, 3408.0, 2013.0, 180.0]</t>
  </si>
  <si>
    <t>[2517.0, 3938.0, 5870.0, nan]</t>
  </si>
  <si>
    <t>[2066.0, 2928.0, 3143.0, nan]</t>
  </si>
  <si>
    <t>[33.0, 163.0, 157.0, 22.0]</t>
  </si>
  <si>
    <t>[25537.0, 54191.0, 9312.0, 49057.0]</t>
  </si>
  <si>
    <t>[1374.0, 1498.0, 562.0, 924.0]</t>
  </si>
  <si>
    <t>[8476.0, 6567.0, 7549.0, 7936.0]</t>
  </si>
  <si>
    <t>[-459.0, -1052.0, 1086.0, nan]</t>
  </si>
  <si>
    <t>[1784.0, 1246.0, 1347.0, nan]</t>
  </si>
  <si>
    <t>[-91.0, 180.0, 380.0, nan]</t>
  </si>
  <si>
    <t>[1192.0, 1054.0, 2973.0, nan]</t>
  </si>
  <si>
    <t>[1493.0, 5945.0, 2852.0, 2357.0]</t>
  </si>
  <si>
    <t>[2221.0, -277.0, 965.0, nan]</t>
  </si>
  <si>
    <t>[1483.0, 2677.0, 1732.0, 1888.0]</t>
  </si>
  <si>
    <t>[1185.0, 320.0, 79.0, nan]</t>
  </si>
  <si>
    <t>[107.0, 11.0, 166.0, nan]</t>
  </si>
  <si>
    <t>[273.0, 257.0, 1107.0, nan]</t>
  </si>
  <si>
    <t>[4863.0, 7089.0, 7156.0, 5292.0]</t>
  </si>
  <si>
    <t>[1284.0, 1608.0, 3643.0, nan]</t>
  </si>
  <si>
    <t>[428.0, 372.0, 531.0, nan]</t>
  </si>
  <si>
    <t>[1963.0, 2077.0, 2421.0, 2739.0]</t>
  </si>
  <si>
    <t>[731.0, 1262.0, 1356.0, nan]</t>
  </si>
  <si>
    <t>[6204.0, 3373.0, 6167.0, nan]</t>
  </si>
  <si>
    <t>[2243.0, 1974.0, 1747.0, nan]</t>
  </si>
  <si>
    <t>[642.0, 644.0, 634.0, nan]</t>
  </si>
  <si>
    <t>[396.0, 444.0, 586.0, nan]</t>
  </si>
  <si>
    <t>[2356.0, 536.0, 2179.0, nan]</t>
  </si>
  <si>
    <t>[605.0, 241.0, 194.0, nan]</t>
  </si>
  <si>
    <t>[832.0, 1031.0, 442.0, nan]</t>
  </si>
  <si>
    <t>[596.0, 621.0, 132.0, 316.0]</t>
  </si>
  <si>
    <t>[1165.0, 1438.0, 1466.0, nan]</t>
  </si>
  <si>
    <t>[560.0, 2461.0, 3163.0, 3450.0]</t>
  </si>
  <si>
    <t>[1936.0, 2062.0, 769.0, nan]</t>
  </si>
  <si>
    <t>[1075.0, 1072.0, 1329.0, nan]</t>
  </si>
  <si>
    <t>[98.0, 542.0, 1691.0, 1521.0]</t>
  </si>
  <si>
    <t>[-246.0, 969.0, 1974.0, nan]</t>
  </si>
  <si>
    <t>[287.0, 346.0, 854.0, nan]</t>
  </si>
  <si>
    <t>[171.0, 661.0, 749.0, 1070.0]</t>
  </si>
  <si>
    <t>[483.0, 555.0, 568.0, 665.0]</t>
  </si>
  <si>
    <t>[626.0, 544.0, 371.0, nan]</t>
  </si>
  <si>
    <t>[14617.0, 21346.0, 2766.0, 5032.0]</t>
  </si>
  <si>
    <t>[769.0, 732.0, 718.0, nan]</t>
  </si>
  <si>
    <t>[1143.0, 2478.0, 1208.0, 468.0]</t>
  </si>
  <si>
    <t>[-485.0, 974.0, 736.0, nan]</t>
  </si>
  <si>
    <t>[39.0, 49.0, 78.0, nan]</t>
  </si>
  <si>
    <t>[1549.0, 2060.0, 2438.0, 2101.0]</t>
  </si>
  <si>
    <t>[-58.0, 55.0, 114.0, nan]</t>
  </si>
  <si>
    <t>[71.0, 595.0, 1785.0, 1594.0]</t>
  </si>
  <si>
    <t>[2805.0, 2161.0, 2355.0, 2349.0]</t>
  </si>
  <si>
    <t>[227.0, 443.0, 605.0, nan]</t>
  </si>
  <si>
    <t>[353.0, 793.0, 1013.0, nan]</t>
  </si>
  <si>
    <t>[1412.0, 1438.0, 1493.0, 1096.0]</t>
  </si>
  <si>
    <t>[-14.0, 1263.0, 1792.0, nan]</t>
  </si>
  <si>
    <t>[33336.0, 27950.0, 33541.0, 32471.0]</t>
  </si>
  <si>
    <t>[446.0, 965.0, 979.0, 689.0]</t>
  </si>
  <si>
    <t>[475.0, 776.0, 950.0, nan]</t>
  </si>
  <si>
    <t>[1806.0, 2957.0, 1343.0, nan]</t>
  </si>
  <si>
    <t>[-336.0, 41.0, 253.0, nan]</t>
  </si>
  <si>
    <t>[692.0, 1056.0, 2266.0, nan]</t>
  </si>
  <si>
    <t>[376.0, 212.0, 132.0, nan]</t>
  </si>
  <si>
    <t>[1627.0, 3336.0, 2229.0, 2316.0]</t>
  </si>
  <si>
    <t>[1922.0, 1293.0, 1466.0, 951.0]</t>
  </si>
  <si>
    <t>[871.0, 906.0, 534.0, -456.0]</t>
  </si>
  <si>
    <t>[611.0, 768.0, 1092.0, nan]</t>
  </si>
  <si>
    <t>[602.0, 1070.0, 602.0, nan]</t>
  </si>
  <si>
    <t>[6331.0, 7947.0, 2138.0, 4136.0]</t>
  </si>
  <si>
    <t>[-108.0, 36.0, 133.0, nan]</t>
  </si>
  <si>
    <t>[-66.0, 1731.0, 4731.0, 3004.0]</t>
  </si>
  <si>
    <t>[1785.0, 2411.0, 1581.0, 598.0]</t>
  </si>
  <si>
    <t>[2716.0, 3095.0, 1336.0, 2026.0]</t>
  </si>
  <si>
    <t>[4065.0, 537.0, 99.0, nan]</t>
  </si>
  <si>
    <t>[2027.0, 4869.0, 6040.0, 7020.0]</t>
  </si>
  <si>
    <t>[42.0, -332.0, 1408.0, nan]</t>
  </si>
  <si>
    <t>[12.0, 491.0, 631.0, 676.0]</t>
  </si>
  <si>
    <t>[-357.0, 1695.0, 2850.0, 5864.0]</t>
  </si>
  <si>
    <t>[973.0, 1471.0, 1024.0, nan]</t>
  </si>
  <si>
    <t>[1030.0, 2349.0, 4365.0, 3190.0]</t>
  </si>
  <si>
    <t>[3627.0, 3503.0, 5669.0, 5844.0]</t>
  </si>
  <si>
    <t>[2798.0, 2556.0, 1721.0, 1800.0]</t>
  </si>
  <si>
    <t>[474.0, 682.0, 610.0, nan]</t>
  </si>
  <si>
    <t>[-1632.0, 966.0, 306.0, nan]</t>
  </si>
  <si>
    <t>[-92.5, 3991.7, nan]</t>
  </si>
  <si>
    <t>[7.0, -87.9, nan]</t>
  </si>
  <si>
    <t>[152.0, 65.1, nan]</t>
  </si>
  <si>
    <t>[-103.2, -2119.4, nan]</t>
  </si>
  <si>
    <t>[-36.5, 80.6, nan]</t>
  </si>
  <si>
    <t>[-38.3, 54.2, nan]</t>
  </si>
  <si>
    <t>[42.2, -86.7, nan]</t>
  </si>
  <si>
    <t>[-50.9, -140.7, nan]</t>
  </si>
  <si>
    <t>[-210.0, 466.7, nan]</t>
  </si>
  <si>
    <t>[1.1, -18.2, nan]</t>
  </si>
  <si>
    <t>[-16.3, -12.8, nan]</t>
  </si>
  <si>
    <t>[64.6, 58.0, nan]</t>
  </si>
  <si>
    <t>[7.6, -6.6, -45.2]</t>
  </si>
  <si>
    <t>[-57.8, -81.4, nan]</t>
  </si>
  <si>
    <t>[-51.3, -119.3, nan]</t>
  </si>
  <si>
    <t>[-11.7, 28.0, nan]</t>
  </si>
  <si>
    <t>[3093.1, -11.1, nan]</t>
  </si>
  <si>
    <t>[-45.7, 213.2, nan]</t>
  </si>
  <si>
    <t>[1.8, -48.6, nan]</t>
  </si>
  <si>
    <t>[-1480.4, -44.1, nan]</t>
  </si>
  <si>
    <t>[-46.7, 965.6, nan]</t>
  </si>
  <si>
    <t>[-22.5, -71.6, nan]</t>
  </si>
  <si>
    <t>[-34.3, -78.9, nan]</t>
  </si>
  <si>
    <t>[21.2, -30.5, nan]</t>
  </si>
  <si>
    <t>[-3.4, -85.5, nan]</t>
  </si>
  <si>
    <t>[-177.4, 138.9, nan]</t>
  </si>
  <si>
    <t>[21.1, -69.1, -75.2]</t>
  </si>
  <si>
    <t>[2.9, -100.0]</t>
  </si>
  <si>
    <t>[187.5, -369.6, nan]</t>
  </si>
  <si>
    <t>[-99.2, 520.0, nan]</t>
  </si>
  <si>
    <t>[-62.3, 47.8, nan]</t>
  </si>
  <si>
    <t>[295.0, -80.5, nan]</t>
  </si>
  <si>
    <t>[-137.8, -1607.1, nan]</t>
  </si>
  <si>
    <t>[71.5, -50.5, nan]</t>
  </si>
  <si>
    <t>[7.2, -1.5, nan]</t>
  </si>
  <si>
    <t>[-14237.5, -22.5, nan]</t>
  </si>
  <si>
    <t>[-17.2, 38.9, nan]</t>
  </si>
  <si>
    <t>[-6.6, 389.2, nan]</t>
  </si>
  <si>
    <t>[-683.8, -93.9, nan]</t>
  </si>
  <si>
    <t>[14.8, -1.2, nan]</t>
  </si>
  <si>
    <t>[-50.0, -67.9, nan]</t>
  </si>
  <si>
    <t>[-1.8, -82.7, nan]</t>
  </si>
  <si>
    <t>[812.9, 56.3, -59.0]</t>
  </si>
  <si>
    <t>[-46.7, 28.9, nan]</t>
  </si>
  <si>
    <t>[15.3, -23.4, nan]</t>
  </si>
  <si>
    <t>[48.8, -29.6, nan]</t>
  </si>
  <si>
    <t>[-107.6, -912.5, nan]</t>
  </si>
  <si>
    <t>[32.8, 118.9, nan]</t>
  </si>
  <si>
    <t>[110.1, -37.1, nan]</t>
  </si>
  <si>
    <t>[184.3, -76.4, nan]</t>
  </si>
  <si>
    <t>[-38.7, -86.2, nan]</t>
  </si>
  <si>
    <t>[170.8, -189.2, nan]</t>
  </si>
  <si>
    <t>[58.5, 158.5, nan]</t>
  </si>
  <si>
    <t>[20.5, -60.2, nan]</t>
  </si>
  <si>
    <t>[48.2, -7.8, nan]</t>
  </si>
  <si>
    <t>[0.9, -92.1, nan]</t>
  </si>
  <si>
    <t>[-45.7, -76.5, nan]</t>
  </si>
  <si>
    <t>[12.2, 45.5, 77.6]</t>
  </si>
  <si>
    <t>[74.9, -51.7, nan]</t>
  </si>
  <si>
    <t>[-53.4, 38.6, nan]</t>
  </si>
  <si>
    <t>[-49.0, -174.2, -72.7]</t>
  </si>
  <si>
    <t>[-21.2, -469.0, nan]</t>
  </si>
  <si>
    <t>[17.3, -169.9, nan]</t>
  </si>
  <si>
    <t>[-7.5, -15.8, nan]</t>
  </si>
  <si>
    <t>[-35.0, 42.7, nan]</t>
  </si>
  <si>
    <t>[-50.1, -49.8, nan]</t>
  </si>
  <si>
    <t>[-2.1, -5.1, nan]</t>
  </si>
  <si>
    <t>[-8.0, -137.3, nan]</t>
  </si>
  <si>
    <t>[-10.3, 125.9, nan]</t>
  </si>
  <si>
    <t>[-24.2, -273.9, nan]</t>
  </si>
  <si>
    <t>[-17.5, 798.8, 19.1]</t>
  </si>
  <si>
    <t>[58.8, 5.5, nan]</t>
  </si>
  <si>
    <t>[146.3, 55.8, nan]</t>
  </si>
  <si>
    <t>[-120.0, 53.8, nan]</t>
  </si>
  <si>
    <t>[15.6, -100.6, -65500.0]</t>
  </si>
  <si>
    <t>[-51.5, 12.3, nan]</t>
  </si>
  <si>
    <t>[-102.5, -2500.0, nan]</t>
  </si>
  <si>
    <t>[-478.6, -121.8, nan]</t>
  </si>
  <si>
    <t>[69.8, -0.5, nan]</t>
  </si>
  <si>
    <t>[-232.4, 51.0, nan]</t>
  </si>
  <si>
    <t>[-14.0, -521.6, nan]</t>
  </si>
  <si>
    <t>[-35.7, 17.2, nan]</t>
  </si>
  <si>
    <t>[-35.4, -4.7, nan]</t>
  </si>
  <si>
    <t>[101.1, -80.4, nan]</t>
  </si>
  <si>
    <t>[-30.1, -34.2, nan]</t>
  </si>
  <si>
    <t>[12.6, -65.4, nan]</t>
  </si>
  <si>
    <t>[36.3, -5.2, nan]</t>
  </si>
  <si>
    <t>[-39.2, -435.4, nan]</t>
  </si>
  <si>
    <t>[725.8, -51.3, nan]</t>
  </si>
  <si>
    <t>[51.7, 15.8, nan]</t>
  </si>
  <si>
    <t>[-19.4, 149.1, nan]</t>
  </si>
  <si>
    <t>[30.3, 28.3, nan]</t>
  </si>
  <si>
    <t>[-50.5, 3.3, nan]</t>
  </si>
  <si>
    <t>[-42.3, 659.0, nan]</t>
  </si>
  <si>
    <t>[-111.8, -532.5, 29.5]</t>
  </si>
  <si>
    <t>[15.3, -9.5, nan]</t>
  </si>
  <si>
    <t>[-7.7, 106.5, nan]</t>
  </si>
  <si>
    <t>[-483.8, 5.2, nan]</t>
  </si>
  <si>
    <t>[-12.8, -19.7, -8.8]</t>
  </si>
  <si>
    <t>[88.4, -111.6, nan]</t>
  </si>
  <si>
    <t>[46.2, -96.4, 553.0]</t>
  </si>
  <si>
    <t>[-9.0, -46.9, 56.0]</t>
  </si>
  <si>
    <t>[-10.3, -49.9, 61.6]</t>
  </si>
  <si>
    <t>[20.4, 23.0, -23.6]</t>
  </si>
  <si>
    <t>[-80.5, -37.4, 24.2]</t>
  </si>
  <si>
    <t>[-5.8, -18.8, -41.2]</t>
  </si>
  <si>
    <t>[-1.6, 12.0, nan]</t>
  </si>
  <si>
    <t>[-135.3, -285.6, 110.2]</t>
  </si>
  <si>
    <t>[-11.8, -199.4, 126.9]</t>
  </si>
  <si>
    <t>[-44.3, -95.7, -975.8]</t>
  </si>
  <si>
    <t>[-75.6, -35.5, -216.4]</t>
  </si>
  <si>
    <t>[-62.1, 101.1, -39.2]</t>
  </si>
  <si>
    <t>[0.8, 34.8, nan]</t>
  </si>
  <si>
    <t>[7.3, -73.5, nan]</t>
  </si>
  <si>
    <t>[-8.3, -5.4, nan]</t>
  </si>
  <si>
    <t>[-19.6, -27.9, 51.9]</t>
  </si>
  <si>
    <t>[36.0, -48.4, 70.1]</t>
  </si>
  <si>
    <t>[-114.6, -1687.0, nan]</t>
  </si>
  <si>
    <t>[1.3, -41.1, -305.2]</t>
  </si>
  <si>
    <t>[10.3, -84.4, nan]</t>
  </si>
  <si>
    <t>[-20.5, -168.5, nan]</t>
  </si>
  <si>
    <t>[89.2, 6.8, -24.0]</t>
  </si>
  <si>
    <t>[-82.0, 63.5, nan]</t>
  </si>
  <si>
    <t>[30.7, 23.5, nan]</t>
  </si>
  <si>
    <t>[-29.0, -164.9, 49.3]</t>
  </si>
  <si>
    <t>[0.0, -35.3, -15.2]</t>
  </si>
  <si>
    <t>[-106.9, 661.2, nan]</t>
  </si>
  <si>
    <t>[-124.9, -120.6, 2894.1]</t>
  </si>
  <si>
    <t>[-69.5, 222.7, -14.2]</t>
  </si>
  <si>
    <t>[-22.6, 219.4, -40.4]</t>
  </si>
  <si>
    <t>[34.4, 17.8, -3.3]</t>
  </si>
  <si>
    <t>[-46.5, -1193.9, nan]</t>
  </si>
  <si>
    <t>[45.8, -12.0, nan]</t>
  </si>
  <si>
    <t>[-5.4, -2.0, nan]</t>
  </si>
  <si>
    <t>[112.2, -55.7, nan]</t>
  </si>
  <si>
    <t>[-167.8, 312.8, -20.5]</t>
  </si>
  <si>
    <t>[-28.5, -51.5, nan]</t>
  </si>
  <si>
    <t>[-5.1, 376.4, nan]</t>
  </si>
  <si>
    <t>[-170.6, 43.1, nan]</t>
  </si>
  <si>
    <t>[1048.4, -97.4, nan]</t>
  </si>
  <si>
    <t>[-201.8, -106.8, -534.8]</t>
  </si>
  <si>
    <t>[-106.5, 235.0, nan]</t>
  </si>
  <si>
    <t>[15.6, -80.8, 372.4]</t>
  </si>
  <si>
    <t>[-29.0, -75.7, 265.5]</t>
  </si>
  <si>
    <t>[-54.9, -181.0, nan]</t>
  </si>
  <si>
    <t>[-44.3, 190.5, nan]</t>
  </si>
  <si>
    <t>[94.1, -484.8, nan]</t>
  </si>
  <si>
    <t>[40.2, -56.9, nan]</t>
  </si>
  <si>
    <t>[-219.2, 800.0, nan]</t>
  </si>
  <si>
    <t>[-30.6, -4.5, nan]</t>
  </si>
  <si>
    <t>[284.0, -141.7, nan]</t>
  </si>
  <si>
    <t>[23.4, -45.8, nan]</t>
  </si>
  <si>
    <t>[15.2, -39.2, 22.5]</t>
  </si>
  <si>
    <t>[-195.0, -156.1, nan]</t>
  </si>
  <si>
    <t>[-85.2, -318.8, nan]</t>
  </si>
  <si>
    <t>[-24.3, -8.4, nan]</t>
  </si>
  <si>
    <t>[-30.9, 245.8, nan]</t>
  </si>
  <si>
    <t>[26.5, -13.5, nan]</t>
  </si>
  <si>
    <t>[-27.0, -7.8, nan]</t>
  </si>
  <si>
    <t>[-67.1, 352.4, -178.7]</t>
  </si>
  <si>
    <t>[276.8, -51.2, nan]</t>
  </si>
  <si>
    <t>[4.0, 14.9, nan]</t>
  </si>
  <si>
    <t>[-128.0, 87.5, nan]</t>
  </si>
  <si>
    <t>[-38.5, -68.6, nan]</t>
  </si>
  <si>
    <t>[33.3, -487.5, nan]</t>
  </si>
  <si>
    <t>[74.1, -16.7, nan]</t>
  </si>
  <si>
    <t>[92.2, -30.2, 19.6]</t>
  </si>
  <si>
    <t>[76.5, -42.1, -14.6]</t>
  </si>
  <si>
    <t>[1133.3, -148.6, nan]</t>
  </si>
  <si>
    <t>[-16.7, -1.5, -7.3]</t>
  </si>
  <si>
    <t>[-236.0, -93.2, nan]</t>
  </si>
  <si>
    <t>[93.0, 81.6, nan]</t>
  </si>
  <si>
    <t>[-16.7, 351.7, nan]</t>
  </si>
  <si>
    <t>[-99.9, -324.1, nan]</t>
  </si>
  <si>
    <t>[45.2, -41.1, nan]</t>
  </si>
  <si>
    <t>[-20.8, -13.1, 33.7]</t>
  </si>
  <si>
    <t>[-27.6, 72.8, nan]</t>
  </si>
  <si>
    <t>[1474.0, -96.6, -146.5]</t>
  </si>
  <si>
    <t>[nan, 590.7, -54.4]</t>
  </si>
  <si>
    <t>[50.3, -69.9, nan]</t>
  </si>
  <si>
    <t>[-17.4, -101.5, -12062.5]</t>
  </si>
  <si>
    <t>[328.0, -172.2, nan]</t>
  </si>
  <si>
    <t>[-40.9, -23.8, nan]</t>
  </si>
  <si>
    <t>[-45.1, -58.8, 25.5]</t>
  </si>
  <si>
    <t>[-595.1, -116.2, nan]</t>
  </si>
  <si>
    <t>[-74.4, 1970.0, nan]</t>
  </si>
  <si>
    <t>[23.0, -20.5, nan]</t>
  </si>
  <si>
    <t>[30.2, -18.2, 9.1]</t>
  </si>
  <si>
    <t>[-69.1, -199.3, nan]</t>
  </si>
  <si>
    <t>[-32.3, 43.4, nan]</t>
  </si>
  <si>
    <t>[3.8, -16.1, nan]</t>
  </si>
  <si>
    <t>[7.2, 17.0, nan]</t>
  </si>
  <si>
    <t>[-24.3, -156.1, nan]</t>
  </si>
  <si>
    <t>[-4.0, 767.7, nan]</t>
  </si>
  <si>
    <t>[131.9, 17.7, nan]</t>
  </si>
  <si>
    <t>[-58.3, 5.2, nan]</t>
  </si>
  <si>
    <t>[48.8, 14.2, nan]</t>
  </si>
  <si>
    <t>[-140.8, -106.6, nan]</t>
  </si>
  <si>
    <t>[-4.8, 232.9, nan]</t>
  </si>
  <si>
    <t>[29.2, -40.7, nan]</t>
  </si>
  <si>
    <t>[61.4, -12.2, nan]</t>
  </si>
  <si>
    <t>[-16.4, 85.2, nan]</t>
  </si>
  <si>
    <t>[-216.5, -136.4, nan]</t>
  </si>
  <si>
    <t>[-46.3, -38.7, nan]</t>
  </si>
  <si>
    <t>[-4.1, -34.5, 46.2]</t>
  </si>
  <si>
    <t>[-11.5, -10.0, nan]</t>
  </si>
  <si>
    <t>[22.8, 115.3, nan]</t>
  </si>
  <si>
    <t>[-162.1, 7.4, -80.6]</t>
  </si>
  <si>
    <t>[-73.5, 300.5, nan]</t>
  </si>
  <si>
    <t>[448.0, 3.5, nan]</t>
  </si>
  <si>
    <t>[-1909.3, -138.5, nan]</t>
  </si>
  <si>
    <t>[52.0, 12.3, nan]</t>
  </si>
  <si>
    <t>[-50.2, -152.0, -142.5]</t>
  </si>
  <si>
    <t>[9.7, 64.7, nan]</t>
  </si>
  <si>
    <t>[451.1, -106.6, nan]</t>
  </si>
  <si>
    <t>[40.1, -66.6, nan]</t>
  </si>
  <si>
    <t>[-31.5, 4.6, nan]</t>
  </si>
  <si>
    <t>[75.0, -177.5, nan]</t>
  </si>
  <si>
    <t>[-16.1, 65.5, nan]</t>
  </si>
  <si>
    <t>[28.9, 16.9, nan]</t>
  </si>
  <si>
    <t>[100.0, 43.1, nan]</t>
  </si>
  <si>
    <t>[-144.8, -61.5, nan]</t>
  </si>
  <si>
    <t>[-191.7, 422.7, nan]</t>
  </si>
  <si>
    <t>[-142.2, 24.3, nan]</t>
  </si>
  <si>
    <t>[8.5, -25.6, nan]</t>
  </si>
  <si>
    <t>[-21.2, 53.1, nan]</t>
  </si>
  <si>
    <t>[-89.1, -80.6, nan]</t>
  </si>
  <si>
    <t>[-106.8, -13606.7, nan]</t>
  </si>
  <si>
    <t>[37.3, -91.1, nan]</t>
  </si>
  <si>
    <t>[49.0, -21.0, nan]</t>
  </si>
  <si>
    <t>[3690.0, -112.4, nan]</t>
  </si>
  <si>
    <t>[0.0, 273.1, nan]</t>
  </si>
  <si>
    <t>[15.5, -26.3, nan]</t>
  </si>
  <si>
    <t>[1.0, 1.0, nan]</t>
  </si>
  <si>
    <t>[-17.4, 123.7, nan]</t>
  </si>
  <si>
    <t>[-26.7, 476.2, nan]</t>
  </si>
  <si>
    <t>[-137.5, 122.5, nan]</t>
  </si>
  <si>
    <t>[-68.8, -574.0, nan]</t>
  </si>
  <si>
    <t>[-5.4, -8.6, nan]</t>
  </si>
  <si>
    <t>[2.4, 10.2, nan]</t>
  </si>
  <si>
    <t>[-85.6, -743.3, nan]</t>
  </si>
  <si>
    <t>[-31.1, -26.6, nan]</t>
  </si>
  <si>
    <t>[-91.5, 316.0, nan]</t>
  </si>
  <si>
    <t>[124.5, 131.5, nan]</t>
  </si>
  <si>
    <t>[-272.0, -178.5, nan]</t>
  </si>
  <si>
    <t>[-576.9, 872.6, nan]</t>
  </si>
  <si>
    <t>[-142.9, -14.9, nan]</t>
  </si>
  <si>
    <t>[18700.0, -225.5, nan]</t>
  </si>
  <si>
    <t>[-4256.2, -60.3, nan]</t>
  </si>
  <si>
    <t>[20.3, 71.2, nan]</t>
  </si>
  <si>
    <t>[120.7, -61.2, nan]</t>
  </si>
  <si>
    <t>[-68.3, 37.9, nan]</t>
  </si>
  <si>
    <t>[-73.8, -371.8, nan]</t>
  </si>
  <si>
    <t>[-143.2, 108.4, nan]</t>
  </si>
  <si>
    <t>[-14.9, -41.4, nan]</t>
  </si>
  <si>
    <t>[17.7, -17.2, nan]</t>
  </si>
  <si>
    <t>[-81.7, 9415.0, nan]</t>
  </si>
  <si>
    <t>[231.4, 56.9, nan]</t>
  </si>
  <si>
    <t>[-22.7, 31.3, nan]</t>
  </si>
  <si>
    <t>[11.6, -37.5, nan]</t>
  </si>
  <si>
    <t>[25.2, -66.2, nan]</t>
  </si>
  <si>
    <t>[78.5, -7.8, nan]</t>
  </si>
  <si>
    <t>[-65.9, 227.6, nan]</t>
  </si>
  <si>
    <t>[48.7, -141.6, nan]</t>
  </si>
  <si>
    <t>[-52.8, -142.5, nan]</t>
  </si>
  <si>
    <t>[127.9, 11.1, -143.7]</t>
  </si>
  <si>
    <t>[12.2, -7.8, nan]</t>
  </si>
  <si>
    <t>[19.7, -15.9, nan]</t>
  </si>
  <si>
    <t>[166.7, 13.5, nan]</t>
  </si>
  <si>
    <t>[546.7, -120.6, nan]</t>
  </si>
  <si>
    <t>[-32.6, -93.4, nan]</t>
  </si>
  <si>
    <t>[-239.6, 78.4, nan]</t>
  </si>
  <si>
    <t>[-74.4, 239.1, nan]</t>
  </si>
  <si>
    <t>[28.5, -2.6, nan]</t>
  </si>
  <si>
    <t>[-39.8, -29.5, -67.7]</t>
  </si>
  <si>
    <t>[-544.3, 26.9, nan]</t>
  </si>
  <si>
    <t>[73.1, 590.9, nan]</t>
  </si>
  <si>
    <t>[16.6, 0.9, nan]</t>
  </si>
  <si>
    <t>[35.4, -85.6, nan]</t>
  </si>
  <si>
    <t>[42.4, -68.6, nan]</t>
  </si>
  <si>
    <t>[-1.7, 36.2, nan]</t>
  </si>
  <si>
    <t>[-38.6, 19.2, nan]</t>
  </si>
  <si>
    <t>[42.4, 10.9, nan]</t>
  </si>
  <si>
    <t>[-102.7, -906.2, nan]</t>
  </si>
  <si>
    <t>[20.1, -31.1, nan]</t>
  </si>
  <si>
    <t>[329.5, -35.4, nan]</t>
  </si>
  <si>
    <t>[-53.7, -49.4, nan]</t>
  </si>
  <si>
    <t>[-50.9, 11.7, -19.3]</t>
  </si>
  <si>
    <t>[34.7, -17.8, nan]</t>
  </si>
  <si>
    <t>[17.9, 4.1, nan]</t>
  </si>
  <si>
    <t>[71.5, -60.9, nan]</t>
  </si>
  <si>
    <t>[17.5, 6.3, 9.2]</t>
  </si>
  <si>
    <t>[-117.0, 377.8, nan]</t>
  </si>
  <si>
    <t>[-11.1, -6.8, nan]</t>
  </si>
  <si>
    <t>[-87.9, -45.3, nan]</t>
  </si>
  <si>
    <t>[29.9, 150.0, nan]</t>
  </si>
  <si>
    <t>[-168.0, -191.7, nan]</t>
  </si>
  <si>
    <t>[99.1, -239.5, nan]</t>
  </si>
  <si>
    <t>[43.3, -11.4, nan]</t>
  </si>
  <si>
    <t>[99.6, -55.0, nan]</t>
  </si>
  <si>
    <t>[-11.0, 5109.0, nan]</t>
  </si>
  <si>
    <t>[-42.4, -88.5, nan]</t>
  </si>
  <si>
    <t>[-57.8, 70.8, nan]</t>
  </si>
  <si>
    <t>[125.0, -113.0, nan]</t>
  </si>
  <si>
    <t>[143.8, -73.0, nan]</t>
  </si>
  <si>
    <t>[-14.4, -70.8, nan]</t>
  </si>
  <si>
    <t>[8.1, 17.9, nan]</t>
  </si>
  <si>
    <t>[-8.2, 44.9, nan]</t>
  </si>
  <si>
    <t>[26.0, -43.3, nan]</t>
  </si>
  <si>
    <t>[101.4, -13.8, -45.9]</t>
  </si>
  <si>
    <t>[118.2, -1191.7, nan]</t>
  </si>
  <si>
    <t>[-10.1, -124.5, nan]</t>
  </si>
  <si>
    <t>[14.5, 45.9, -0.5]</t>
  </si>
  <si>
    <t>[26.3, -35.1, nan]</t>
  </si>
  <si>
    <t>[327.8, -41.6, nan]</t>
  </si>
  <si>
    <t>[-103.5, 16000.0, nan]</t>
  </si>
  <si>
    <t>[-281.8, -163.3, nan]</t>
  </si>
  <si>
    <t>[-1144.4, 20.2, nan]</t>
  </si>
  <si>
    <t>[93.9, -109.1, nan]</t>
  </si>
  <si>
    <t>[2.7, -93.7, nan]</t>
  </si>
  <si>
    <t>[-444.1, -92.7, nan]</t>
  </si>
  <si>
    <t>[33.0, 67.1, nan]</t>
  </si>
  <si>
    <t>[49.4, -36.9, nan]</t>
  </si>
  <si>
    <t>[-181.2, -216.9, nan]</t>
  </si>
  <si>
    <t>[190.1, -107.4, nan]</t>
  </si>
  <si>
    <t>[-92.3, 962.5, nan]</t>
  </si>
  <si>
    <t>[-484.2, 219.2, nan]</t>
  </si>
  <si>
    <t>[-15.0, 14.4, nan]</t>
  </si>
  <si>
    <t>[-36.4, -23.9, nan]</t>
  </si>
  <si>
    <t>[-111.5, 161.3, nan]</t>
  </si>
  <si>
    <t>[-50.6, -30.3, nan]</t>
  </si>
  <si>
    <t>[92.9, -149.5, nan]</t>
  </si>
  <si>
    <t>[-4.5, 39.4, nan]</t>
  </si>
  <si>
    <t>[-58.5, -2.9, nan]</t>
  </si>
  <si>
    <t>[-57.7, -33.8, nan]</t>
  </si>
  <si>
    <t>[-3103.8, -23.1, nan]</t>
  </si>
  <si>
    <t>[-46.5, -6.3, nan]</t>
  </si>
  <si>
    <t>[240.9, -119.4, -92.1]</t>
  </si>
  <si>
    <t>[-83.2, 100.0, nan]</t>
  </si>
  <si>
    <t>[159.6, -112.8, nan]</t>
  </si>
  <si>
    <t>[216.1, -87.2, nan]</t>
  </si>
  <si>
    <t>[-47.3, -59.3, nan]</t>
  </si>
  <si>
    <t>[25.9, -93.8, nan]</t>
  </si>
  <si>
    <t>[-436.2, -155.8, nan]</t>
  </si>
  <si>
    <t>[-114.9, -60.6, nan]</t>
  </si>
  <si>
    <t>[15.6, -63.5, -4.7]</t>
  </si>
  <si>
    <t>[-163.0, 60.0, nan]</t>
  </si>
  <si>
    <t>[-12.3, 80.1, nan]</t>
  </si>
  <si>
    <t>[-584.5, -17.0, nan]</t>
  </si>
  <si>
    <t>[-37.1, -11.8, nan]</t>
  </si>
  <si>
    <t>[-73.0, -15.2, nan]</t>
  </si>
  <si>
    <t>[-98.5, -2875.0, nan]</t>
  </si>
  <si>
    <t>[332.5, -79.3, nan]</t>
  </si>
  <si>
    <t>[102.3, -76.4, nan]</t>
  </si>
  <si>
    <t>[-203.3, -16.3, nan]</t>
  </si>
  <si>
    <t>[-96.5, 700.0, nan]</t>
  </si>
  <si>
    <t>[-152.5, -107.1, nan]</t>
  </si>
  <si>
    <t>[-12.4, 21.3, nan]</t>
  </si>
  <si>
    <t>[-14.4, 32.1, nan]</t>
  </si>
  <si>
    <t>[10.3, -9.4, nan]</t>
  </si>
  <si>
    <t>[-61.4, -28.0, nan]</t>
  </si>
  <si>
    <t>[-12.1, -72.5, nan]</t>
  </si>
  <si>
    <t>[3.2, -81.7, nan]</t>
  </si>
  <si>
    <t>[-123.5, -100.0]</t>
  </si>
  <si>
    <t>[366.7, -58.3, nan]</t>
  </si>
  <si>
    <t>[65.6, -195.8, nan]</t>
  </si>
  <si>
    <t>[-10.0, -2.9, nan]</t>
  </si>
  <si>
    <t>[-4.9, 87.9, nan]</t>
  </si>
  <si>
    <t>[-870.0, 248.7, nan]</t>
  </si>
  <si>
    <t>[-29.9, 67.2, nan]</t>
  </si>
  <si>
    <t>[-4.7, 9.9, nan]</t>
  </si>
  <si>
    <t>[-43.3, -72.1, nan]</t>
  </si>
  <si>
    <t>[23.8, 11.1, nan]</t>
  </si>
  <si>
    <t>[-13.6, -196.3, nan]</t>
  </si>
  <si>
    <t>[1.8, -27.8, nan]</t>
  </si>
  <si>
    <t>[-12.5, -38.3, nan]</t>
  </si>
  <si>
    <t>[-53.7, -36.7, 112.3]</t>
  </si>
  <si>
    <t>[118.3, -33.7, nan]</t>
  </si>
  <si>
    <t>[-49.7, 493.6, nan]</t>
  </si>
  <si>
    <t>[-6.7, 48.0, nan]</t>
  </si>
  <si>
    <t>[-41.0, -93.7, nan]</t>
  </si>
  <si>
    <t>[-20.4, 8.4, nan]</t>
  </si>
  <si>
    <t>[-30.1, -90.2, nan]</t>
  </si>
  <si>
    <t>[2.4, -84.4, nan]</t>
  </si>
  <si>
    <t>[163.8, -108.3, nan]</t>
  </si>
  <si>
    <t>[-310.1, -115.7, nan]</t>
  </si>
  <si>
    <t>[-584.0, -150.9, nan]</t>
  </si>
  <si>
    <t>[-294.4, -202.9, nan]</t>
  </si>
  <si>
    <t>[5.7, -56.4, nan]</t>
  </si>
  <si>
    <t>[-11.2, -26.9, -19.9]</t>
  </si>
  <si>
    <t>[-63.2, 130.4, 75.2]</t>
  </si>
  <si>
    <t>[100.8, -33.5, nan]</t>
  </si>
  <si>
    <t>[56.6, -171.9, nan]</t>
  </si>
  <si>
    <t>[-23.3, -20.1, -6.8]</t>
  </si>
  <si>
    <t>[-132.9, -274.6, nan]</t>
  </si>
  <si>
    <t>[11.7, 127.8, 29.4]</t>
  </si>
  <si>
    <t>[9.6, 1.6, -68.5]</t>
  </si>
  <si>
    <t>[7753.3, 52.7, nan]</t>
  </si>
  <si>
    <t>[-79.4, -114.3, nan]</t>
  </si>
  <si>
    <t>[-185.4, 2436.8, nan]</t>
  </si>
  <si>
    <t>[-75.6, 128.8, nan]</t>
  </si>
  <si>
    <t>[-3.6, -15.5, nan]</t>
  </si>
  <si>
    <t>[10.4, 15.8, 10.7]</t>
  </si>
  <si>
    <t>[-58.6, -38.5, 267.0]</t>
  </si>
  <si>
    <t>[-6740.4, -77.0, -95.7]</t>
  </si>
  <si>
    <t>[-71.1, 253.7, nan]</t>
  </si>
  <si>
    <t>[842.5, -19.6, nan]</t>
  </si>
  <si>
    <t>[-32.9, -76.0, nan]</t>
  </si>
  <si>
    <t>[-90.1, 722.2, nan]</t>
  </si>
  <si>
    <t>[-399.8, -481.2, -166.1]</t>
  </si>
  <si>
    <t>[-3.4, 2.9, -26.2]</t>
  </si>
  <si>
    <t>[65.4, -2.6, -25.8]</t>
  </si>
  <si>
    <t>[-6.8, -14.1, nan]</t>
  </si>
  <si>
    <t>[-48.8, 251.8, nan]</t>
  </si>
  <si>
    <t>[-43.3, -93.6, nan]</t>
  </si>
  <si>
    <t>[3.4, 5.1, nan]</t>
  </si>
  <si>
    <t>[19.9, 13.6, nan]</t>
  </si>
  <si>
    <t>[-71.3, 174.4, nan]</t>
  </si>
  <si>
    <t>[-56.8, -113.5, -756.5]</t>
  </si>
  <si>
    <t>[507.8, 35.2, nan]</t>
  </si>
  <si>
    <t>[-40.3, -47.6, nan]</t>
  </si>
  <si>
    <t>[31.8, 2.9, 25.3]</t>
  </si>
  <si>
    <t>[-74.0, 933.8, nan]</t>
  </si>
  <si>
    <t>[23.0, 65.2, 26.2]</t>
  </si>
  <si>
    <t>[-9.6, 207.9, nan]</t>
  </si>
  <si>
    <t>[-105.3, 602.0, nan]</t>
  </si>
  <si>
    <t>[-13.1, 1.1, nan]</t>
  </si>
  <si>
    <t>[21.5, -32.7, 28.8]</t>
  </si>
  <si>
    <t>[15.4, -30.2, 17.7]</t>
  </si>
  <si>
    <t>[-19.9, -8.2, nan]</t>
  </si>
  <si>
    <t>[116.8, -49.1, nan]</t>
  </si>
  <si>
    <t>[71.1, 60.0, nan]</t>
  </si>
  <si>
    <t>[-1232.0, -132.9, nan]</t>
  </si>
  <si>
    <t>[-117.9, 292.6, nan]</t>
  </si>
  <si>
    <t>[-22.9, -48.1, nan]</t>
  </si>
  <si>
    <t>[-2.2, 20.4, nan]</t>
  </si>
  <si>
    <t>[20.1, -58.7, 28.1]</t>
  </si>
  <si>
    <t>[-155.6, -276.0, 208.7]</t>
  </si>
  <si>
    <t>[-8.3, 51.5, nan]</t>
  </si>
  <si>
    <t>[0.8, -67.0, nan]</t>
  </si>
  <si>
    <t>[-36.6, 18.5, -78.7]</t>
  </si>
  <si>
    <t>[255.1, 430.1, nan]</t>
  </si>
  <si>
    <t>[-16.5, -25.2, nan]</t>
  </si>
  <si>
    <t>[-359.3, -1.3, nan]</t>
  </si>
  <si>
    <t>[-34.8, -144.7, nan]</t>
  </si>
  <si>
    <t>[-128.0, 56.8, nan]</t>
  </si>
  <si>
    <t>[-27.2, -134.8, nan]</t>
  </si>
  <si>
    <t>[-22.4, -5.3, nan]</t>
  </si>
  <si>
    <t>[-10.3, -11.5, nan]</t>
  </si>
  <si>
    <t>[9.4, -0.6, nan]</t>
  </si>
  <si>
    <t>[-86.5, 361.7, nan]</t>
  </si>
  <si>
    <t>[15.5, 20.0, 22.6]</t>
  </si>
  <si>
    <t>[-65.4, 534.6, nan]</t>
  </si>
  <si>
    <t>[-65.0, -94.7, nan]</t>
  </si>
  <si>
    <t>[-18.6, -135.9, nan]</t>
  </si>
  <si>
    <t>[-66.8, 65.9, nan]</t>
  </si>
  <si>
    <t>[252.5, -28.2, nan]</t>
  </si>
  <si>
    <t>[-44.1, -24.1, nan]</t>
  </si>
  <si>
    <t>[42.7, -41.3, 16.3]</t>
  </si>
  <si>
    <t>[20.1, 17.3, 28.9]</t>
  </si>
  <si>
    <t>[-10.7, -0.3, 16.0]</t>
  </si>
  <si>
    <t>[1.4, -39.8, 20.7]</t>
  </si>
  <si>
    <t>[26.7, -24.8, nan]</t>
  </si>
  <si>
    <t>[1.5, 74.7, nan]</t>
  </si>
  <si>
    <t>[85.7, -55.9, nan]</t>
  </si>
  <si>
    <t>[1.3, 24.1, nan]</t>
  </si>
  <si>
    <t>[43.1, -43.5, 35.5]</t>
  </si>
  <si>
    <t>[70.1, -55.3, nan]</t>
  </si>
  <si>
    <t>[87.3, -11.3, nan]</t>
  </si>
  <si>
    <t>[142.8, 18.0, nan]</t>
  </si>
  <si>
    <t>[-60.1, 19.1, nan]</t>
  </si>
  <si>
    <t>[-12.8, -45.5, nan]</t>
  </si>
  <si>
    <t>[22.3, -144.3, nan]</t>
  </si>
  <si>
    <t>[335.6, 63.9, -69.9]</t>
  </si>
  <si>
    <t>[140.8, -21.7, -2.2]</t>
  </si>
  <si>
    <t>[354.4, 170.9, nan]</t>
  </si>
  <si>
    <t>[-83.5, -294.4, -84.3]</t>
  </si>
  <si>
    <t>[-150.9, 196.4, -122.1]</t>
  </si>
  <si>
    <t>[-29.6, -54.7, -64.3]</t>
  </si>
  <si>
    <t>[-47.9, -11.8, 99.2]</t>
  </si>
  <si>
    <t>[-42.4, -216.9, nan]</t>
  </si>
  <si>
    <t>[-13.9, 27.4, nan]</t>
  </si>
  <si>
    <t>[-14.1, 65.3, nan]</t>
  </si>
  <si>
    <t>[7.7, 31.1, -8.6]</t>
  </si>
  <si>
    <t>[-40.0, 26.6, 27.3]</t>
  </si>
  <si>
    <t>[-31.7, 30.8, nan]</t>
  </si>
  <si>
    <t>[91.3, -85.5, -179.0]</t>
  </si>
  <si>
    <t>[30.0, -127.7, nan]</t>
  </si>
  <si>
    <t>[-139.3, -217.0, nan]</t>
  </si>
  <si>
    <t>[-50.8, -52.3, nan]</t>
  </si>
  <si>
    <t>[200.0, -228.6, nan]</t>
  </si>
  <si>
    <t>[-22.2, 40.8, 21.8]</t>
  </si>
  <si>
    <t>[-58.4, 0.0, nan]</t>
  </si>
  <si>
    <t>[-87.2, 151.9, nan]</t>
  </si>
  <si>
    <t>[605.8, -84.6, nan]</t>
  </si>
  <si>
    <t>[81.3, -33.4, nan]</t>
  </si>
  <si>
    <t>[-22.2, -42.1, 52.6]</t>
  </si>
  <si>
    <t>[-25.4, 2703.3, nan]</t>
  </si>
  <si>
    <t>[96.8, 75.6, nan]</t>
  </si>
  <si>
    <t>[-58.3, 268.7, 28.5]</t>
  </si>
  <si>
    <t>[-90.9, 833.4, nan]</t>
  </si>
  <si>
    <t>[-19.0, 11.5, nan]</t>
  </si>
  <si>
    <t>[44.4, -10.1, 12.5]</t>
  </si>
  <si>
    <t>[-6.1, 48.5, nan]</t>
  </si>
  <si>
    <t>[58.7, -34.3, nan]</t>
  </si>
  <si>
    <t>[-5.4, 16.3, nan]</t>
  </si>
  <si>
    <t>[13.0, -18.7, -29.8]</t>
  </si>
  <si>
    <t>[-111.5, 1265.8, -80.2]</t>
  </si>
  <si>
    <t>[-19.2, -0.8, nan]</t>
  </si>
  <si>
    <t>[-216.9, -140.6, 916.1]</t>
  </si>
  <si>
    <t>[-12.0, -8.9, 72.0]</t>
  </si>
  <si>
    <t>[-178.3, -121.8, 404.9]</t>
  </si>
  <si>
    <t>[35.4, -341.0, -123.0]</t>
  </si>
  <si>
    <t>[36.1, -93.7, 362.6]</t>
  </si>
  <si>
    <t>[-20.7, -523.7, nan]</t>
  </si>
  <si>
    <t>[437.9, -86.2, 514.4]</t>
  </si>
  <si>
    <t>[3.1, 31.8, 28.3]</t>
  </si>
  <si>
    <t>[-7.5, -37.3, nan]</t>
  </si>
  <si>
    <t>[0.7, 21.6, nan]</t>
  </si>
  <si>
    <t>[149.3, -36.3, nan]</t>
  </si>
  <si>
    <t>[-156.4, 844.0, -121.2]</t>
  </si>
  <si>
    <t>[-54.9, -10.5, -200.6]</t>
  </si>
  <si>
    <t>[-65.3, 42.2, nan]</t>
  </si>
  <si>
    <t>[-99.2, -51.2, -3.2]</t>
  </si>
  <si>
    <t>[24.5, 12.0, -9.7]</t>
  </si>
  <si>
    <t>[46.8, 205.2, nan]</t>
  </si>
  <si>
    <t>[-40.5, -3.2, -10.4]</t>
  </si>
  <si>
    <t>[6.4, 54.2, nan]</t>
  </si>
  <si>
    <t>[300.0, -210.0, nan]</t>
  </si>
  <si>
    <t>[1130.8, -10.6, nan]</t>
  </si>
  <si>
    <t>[-19.4, -29.1, 35.0]</t>
  </si>
  <si>
    <t>[26.1, -14.1, -3.3]</t>
  </si>
  <si>
    <t>[-100.4, 50150.0, nan]</t>
  </si>
  <si>
    <t>[-28.6, 10.5, nan]</t>
  </si>
  <si>
    <t>[-7.6, 8.2, 4.4]</t>
  </si>
  <si>
    <t>[47.4, -8.6, nan]</t>
  </si>
  <si>
    <t>[-7.5, -155.3, nan]</t>
  </si>
  <si>
    <t>[-8.4, -39.8, -106.1]</t>
  </si>
  <si>
    <t>[-412.0, -24.5, -4.6]</t>
  </si>
  <si>
    <t>[-2.7, -183.1, nan]</t>
  </si>
  <si>
    <t>[229.1, -74.7, nan]</t>
  </si>
  <si>
    <t>[2.1, -124.3, nan]</t>
  </si>
  <si>
    <t>[-72.7, 55.3, nan]</t>
  </si>
  <si>
    <t>[nan, 80.0, -60.8]</t>
  </si>
  <si>
    <t>[22.9, 18.6, 1.6]</t>
  </si>
  <si>
    <t>[-55.8, -865.3, -91.2]</t>
  </si>
  <si>
    <t>[-39.4, 8.5, -22.4]</t>
  </si>
  <si>
    <t>[-60.2, 746.9, nan]</t>
  </si>
  <si>
    <t>[-100.5, -2584.6, 313.0]</t>
  </si>
  <si>
    <t>[10.2, -98.6, nan]</t>
  </si>
  <si>
    <t>[-85.7, 195.3, nan]</t>
  </si>
  <si>
    <t>[-233.3, 208.3, nan]</t>
  </si>
  <si>
    <t>[126.0, -46.9, nan]</t>
  </si>
  <si>
    <t>[-5.8, 5.7, nan]</t>
  </si>
  <si>
    <t>[5.4, 8.0, nan]</t>
  </si>
  <si>
    <t>[9.5, -23.1, nan]</t>
  </si>
  <si>
    <t>[7.9, -11.8, nan]</t>
  </si>
  <si>
    <t>[-39.6, -161.9, nan]</t>
  </si>
  <si>
    <t>[-4.7, -152.8, nan]</t>
  </si>
  <si>
    <t>[72.6, -42.2, nan]</t>
  </si>
  <si>
    <t>[-164.1, -15.9, nan]</t>
  </si>
  <si>
    <t>[19.4, 58.0, -22.1]</t>
  </si>
  <si>
    <t>[16.8, -10.2, -21.5]</t>
  </si>
  <si>
    <t>[-59.9, 1350.4, nan]</t>
  </si>
  <si>
    <t>[-27.0, -4.7, nan]</t>
  </si>
  <si>
    <t>[-17.7, 14.2, -76.7]</t>
  </si>
  <si>
    <t>[-56.7, 48.3, nan]</t>
  </si>
  <si>
    <t>[-119.2, -155.8, nan]</t>
  </si>
  <si>
    <t>[15.0, -21.7, nan]</t>
  </si>
  <si>
    <t>[-2.6, -89.6, nan]</t>
  </si>
  <si>
    <t>[-3.7, 67.9, nan]</t>
  </si>
  <si>
    <t>[70.5, -19.8, nan]</t>
  </si>
  <si>
    <t>[-77.2, -135.8, nan]</t>
  </si>
  <si>
    <t>[-20.2, 115.9, nan]</t>
  </si>
  <si>
    <t>[-39.9, -67.5, nan]</t>
  </si>
  <si>
    <t>[303.6, 127.9, nan]</t>
  </si>
  <si>
    <t>[-67.6, 304.1, -409.7]</t>
  </si>
  <si>
    <t>[138.2, -1029.6, nan]</t>
  </si>
  <si>
    <t>[-203.1, 45.5, nan]</t>
  </si>
  <si>
    <t>[800.0, -76.4, nan]</t>
  </si>
  <si>
    <t>[230.2, -90.1, nan]</t>
  </si>
  <si>
    <t>[-26.4, 64.0, nan]</t>
  </si>
  <si>
    <t>[-79.9, 59.7, nan]</t>
  </si>
  <si>
    <t>[34.3, -68.2, -73.9]</t>
  </si>
  <si>
    <t>[-41.5, 165.9, 71.0]</t>
  </si>
  <si>
    <t>[-78.5, -1927.6, -180.4]</t>
  </si>
  <si>
    <t>[-86.3, 124.4, nan]</t>
  </si>
  <si>
    <t>[-21.5, -102.2, 5671.9]</t>
  </si>
  <si>
    <t>[-28.6, 65.0, nan]</t>
  </si>
  <si>
    <t>[20.3, -71.5, 55.6]</t>
  </si>
  <si>
    <t>[-516.9, -27.0, nan]</t>
  </si>
  <si>
    <t>[5658.3, 34.3, nan]</t>
  </si>
  <si>
    <t>[1625.0, 1.4, nan]</t>
  </si>
  <si>
    <t>[-93.2, 5613.0, nan]</t>
  </si>
  <si>
    <t>[66.6, -62.1, nan]</t>
  </si>
  <si>
    <t>[91.9, -28.0, nan]</t>
  </si>
  <si>
    <t>[8.4, -12.4, nan]</t>
  </si>
  <si>
    <t>[6.8, -7.0, nan]</t>
  </si>
  <si>
    <t>[-267.1, -136.5, nan]</t>
  </si>
  <si>
    <t>[476.9, 628.7, nan]</t>
  </si>
  <si>
    <t>[30.8, -0.1, nan]</t>
  </si>
  <si>
    <t>[-424.2, -88.7, -302.7]</t>
  </si>
  <si>
    <t>[-74.1, 158.5, -30.1]</t>
  </si>
  <si>
    <t>[-205.1, -13.6, nan]</t>
  </si>
  <si>
    <t>[-57.6, -21.8, nan]</t>
  </si>
  <si>
    <t>[-98.8, 1942.9, nan]</t>
  </si>
  <si>
    <t>[-28.9, -2.4, nan]</t>
  </si>
  <si>
    <t>[50.9, -77.2, nan]</t>
  </si>
  <si>
    <t>[-89.4, 1326.3, nan]</t>
  </si>
  <si>
    <t>[-80.4, -10.8, nan]</t>
  </si>
  <si>
    <t>[4.0, 47.1, 7.6]</t>
  </si>
  <si>
    <t>[20.5, 40.2, nan]</t>
  </si>
  <si>
    <t>[-54.7, 110.5, nan]</t>
  </si>
  <si>
    <t>[-23.5, 9.0, nan]</t>
  </si>
  <si>
    <t>[268.6, -35.2, nan]</t>
  </si>
  <si>
    <t>[24.5, -119.7, nan]</t>
  </si>
  <si>
    <t>[-41.1, -148.8, nan]</t>
  </si>
  <si>
    <t>[-18.5, -42.5, 48.5]</t>
  </si>
  <si>
    <t>[-97.4, -14.1, nan]</t>
  </si>
  <si>
    <t>[-76.1, 78.8, nan]</t>
  </si>
  <si>
    <t>[-209.2, -471.7, nan]</t>
  </si>
  <si>
    <t>[8.2, 5.2, -2.9]</t>
  </si>
  <si>
    <t>[-53.4, -51.5, 392.9]</t>
  </si>
  <si>
    <t>[7.3, -56.7, nan]</t>
  </si>
  <si>
    <t>[-166.4, -61.8, nan]</t>
  </si>
  <si>
    <t>[-79.1, 55.9, nan]</t>
  </si>
  <si>
    <t>[14.4, -3.7, nan]</t>
  </si>
  <si>
    <t>[1466.0, -21.9, nan]</t>
  </si>
  <si>
    <t>[-18.8, -924.7, nan]</t>
  </si>
  <si>
    <t>[60.3, 30.3, nan]</t>
  </si>
  <si>
    <t>[-105.4, 252.4, nan]</t>
  </si>
  <si>
    <t>[147.5, -95.8, nan]</t>
  </si>
  <si>
    <t>[-22.6, 83.4, nan]</t>
  </si>
  <si>
    <t>[489.0, -74.1, nan]</t>
  </si>
  <si>
    <t>[74.9, 11.6, 13.2]</t>
  </si>
  <si>
    <t>[-81.8, -82.2, nan]</t>
  </si>
  <si>
    <t>[-273.5, -150.1, nan]</t>
  </si>
  <si>
    <t>[284.3, -53.8, nan]</t>
  </si>
  <si>
    <t>[-72.4, -14.8, nan]</t>
  </si>
  <si>
    <t>[20.5, 98.0, nan]</t>
  </si>
  <si>
    <t>[48.0, -22.7, nan]</t>
  </si>
  <si>
    <t>[596.4, -124.9, nan]</t>
  </si>
  <si>
    <t>[-754.3, -69.1, nan]</t>
  </si>
  <si>
    <t>[-17.1, -11.0, nan]</t>
  </si>
  <si>
    <t>[-23.6, 3.7, nan]</t>
  </si>
  <si>
    <t>[-1.1, -87.4, nan]</t>
  </si>
  <si>
    <t>[-123.5, 26.6, nan]</t>
  </si>
  <si>
    <t>[-26.9, -48.0, 131.5]</t>
  </si>
  <si>
    <t>[-40.8, 371.8, nan]</t>
  </si>
  <si>
    <t>[125.6, -363.9, nan]</t>
  </si>
  <si>
    <t>[33.2, -66.8, nan]</t>
  </si>
  <si>
    <t>[12.0, 128.2, nan]</t>
  </si>
  <si>
    <t>[145.2, -7.8, nan]</t>
  </si>
  <si>
    <t>[-120.3, -24.4, nan]</t>
  </si>
  <si>
    <t>[-49.9, 320.6, nan]</t>
  </si>
  <si>
    <t>[17.5, -33.6, nan]</t>
  </si>
  <si>
    <t>[-312.3, -54.9, nan]</t>
  </si>
  <si>
    <t>[56.5, 23.9, nan]</t>
  </si>
  <si>
    <t>[-38.0, 6.2, nan]</t>
  </si>
  <si>
    <t>[404.7, -245.6, nan]</t>
  </si>
  <si>
    <t>[-39.8, -235.4, nan]</t>
  </si>
  <si>
    <t>[nan, nan, -26.2]</t>
  </si>
  <si>
    <t>[-190.8, -40.7, nan]</t>
  </si>
  <si>
    <t>[3.1, -25.8, nan]</t>
  </si>
  <si>
    <t>[-97.9, -564.1, nan]</t>
  </si>
  <si>
    <t>[30.5, 22.6, nan]</t>
  </si>
  <si>
    <t>[-452.6, -388.1, nan]</t>
  </si>
  <si>
    <t>[-101.7, -2768.6, nan]</t>
  </si>
  <si>
    <t>[-8.8, 87.1, 24.5]</t>
  </si>
  <si>
    <t>[1.2, 40.1, nan]</t>
  </si>
  <si>
    <t>[-54.1, 41.1, nan]</t>
  </si>
  <si>
    <t>[93.1, 73.1, nan]</t>
  </si>
  <si>
    <t>[-21.3, -87.2, nan]</t>
  </si>
  <si>
    <t>[-11.0, -315.4, -108.9]</t>
  </si>
  <si>
    <t>[-124.0, -432.8, nan]</t>
  </si>
  <si>
    <t>[-1270.0, 411.1, nan]</t>
  </si>
  <si>
    <t>[-49.3, -122.4, nan]</t>
  </si>
  <si>
    <t>[-29.6, -55.9, -210.5]</t>
  </si>
  <si>
    <t>[-0.9, 38.4, nan]</t>
  </si>
  <si>
    <t>[36.4, 4.5, nan]</t>
  </si>
  <si>
    <t>[10.7, 377.2, nan]</t>
  </si>
  <si>
    <t>[-54.8, -272.5, nan]</t>
  </si>
  <si>
    <t>[-20.5, -19.5, nan]</t>
  </si>
  <si>
    <t>[-38.5, -40.3, nan]</t>
  </si>
  <si>
    <t>[-33.9, -146.7, nan]</t>
  </si>
  <si>
    <t>[3.8, 59.6, -14.4]</t>
  </si>
  <si>
    <t>[-15.8, -13.7, nan]</t>
  </si>
  <si>
    <t>[-142.3, -92.4, -299.8]</t>
  </si>
  <si>
    <t>[-74.6, 19.2, nan]</t>
  </si>
  <si>
    <t>[14.0, 13.4, nan]</t>
  </si>
  <si>
    <t>[-81.1, 685.2, nan]</t>
  </si>
  <si>
    <t>[-185.6, -100.4, nan]</t>
  </si>
  <si>
    <t>[8.4, 6.8, 4.1]</t>
  </si>
  <si>
    <t>[-288.3, 38.1, nan]</t>
  </si>
  <si>
    <t>[-47.8, -31.5, nan]</t>
  </si>
  <si>
    <t>[38.6, -87.3, nan]</t>
  </si>
  <si>
    <t>[-428.0, 4.2, nan]</t>
  </si>
  <si>
    <t>[-18.5, -12.5, 37.3]</t>
  </si>
  <si>
    <t>[-12.9, 34.9, 29.3]</t>
  </si>
  <si>
    <t>[-64.4, -50.5, nan]</t>
  </si>
  <si>
    <t>[142.6, 18.0, -38.0]</t>
  </si>
  <si>
    <t>[-3.1, 3.7, nan]</t>
  </si>
  <si>
    <t>[17.3, -15.1, nan]</t>
  </si>
  <si>
    <t>[-44.6, 91.7, nan]</t>
  </si>
  <si>
    <t>[114.1, 34.0, nan]</t>
  </si>
  <si>
    <t>[-15.1, -46.4, nan]</t>
  </si>
  <si>
    <t>[150.0, -52.3, nan]</t>
  </si>
  <si>
    <t>[-44.3, -212.5, nan]</t>
  </si>
  <si>
    <t>[-148.9, 164.4, nan]</t>
  </si>
  <si>
    <t>[-119.3, -132.0, -46.9]</t>
  </si>
  <si>
    <t>[60.3, -6.2, nan]</t>
  </si>
  <si>
    <t>[-105.3, 5220.0, nan]</t>
  </si>
  <si>
    <t>[21.5, 237.4, nan]</t>
  </si>
  <si>
    <t>[-119.4, 602.4, nan]</t>
  </si>
  <si>
    <t>[-201.2, 78.4, -170.3]</t>
  </si>
  <si>
    <t>[13.9, -29.5, nan]</t>
  </si>
  <si>
    <t>[-97.8, -541.4, nan]</t>
  </si>
  <si>
    <t>[-58.8, -71.6, 287.9]</t>
  </si>
  <si>
    <t>[45.1, -18.8, nan]</t>
  </si>
  <si>
    <t>[59.1, 242.5, nan]</t>
  </si>
  <si>
    <t>[7.6, -8.8, 1.0]</t>
  </si>
  <si>
    <t>[-10.1, 5.7, 20.9]</t>
  </si>
  <si>
    <t>[1.5, 11.4, -284.4]</t>
  </si>
  <si>
    <t>[179.8, -29.6, nan]</t>
  </si>
  <si>
    <t>[10.6, -58.7, nan]</t>
  </si>
  <si>
    <t>[52.4, -74.5, nan]</t>
  </si>
  <si>
    <t>[31.1, 120.3, -109.6]</t>
  </si>
  <si>
    <t>[109.8, -52.0, nan]</t>
  </si>
  <si>
    <t>[48.4, -59.3, nan]</t>
  </si>
  <si>
    <t>[-58.7, -48.9, -129.9]</t>
  </si>
  <si>
    <t>[31.4, 312.7, nan]</t>
  </si>
  <si>
    <t>[68.7, 147.0, nan]</t>
  </si>
  <si>
    <t>[54.3, -36.5, nan]</t>
  </si>
  <si>
    <t>[45.6, 71.4, nan]</t>
  </si>
  <si>
    <t>[-70.3, 40.8, nan]</t>
  </si>
  <si>
    <t>[-31.1, 4.2, nan]</t>
  </si>
  <si>
    <t>[0.3, -72.2, nan]</t>
  </si>
  <si>
    <t>[-83.4, -17.9, -48.1]</t>
  </si>
  <si>
    <t>[19.8, -32.6, -20.6]</t>
  </si>
  <si>
    <t>[-19.5, -197.2, 166.7]</t>
  </si>
  <si>
    <t>[-75.6, -5.9, nan]</t>
  </si>
  <si>
    <t>[-36.9, -76.4, nan]</t>
  </si>
  <si>
    <t>[1875.2, -65.2, nan]</t>
  </si>
  <si>
    <t>[nan, 253.4, nan]</t>
  </si>
  <si>
    <t>[106.3, -25.4, nan]</t>
  </si>
  <si>
    <t>[1367.7, -101.2, nan]</t>
  </si>
  <si>
    <t>[-52.9, -1.7, nan]</t>
  </si>
  <si>
    <t>[-324.8, 98.7, nan]</t>
  </si>
  <si>
    <t>[6.3, -0.4, -2.5]</t>
  </si>
  <si>
    <t>[28.8, -190.8, nan]</t>
  </si>
  <si>
    <t>[-11.9, -12.4, nan]</t>
  </si>
  <si>
    <t>[-90.5, -320.6, nan]</t>
  </si>
  <si>
    <t>[152.6, -126.4, nan]</t>
  </si>
  <si>
    <t>[-21.5, -217.0, nan]</t>
  </si>
  <si>
    <t>[77.8, 686.5, nan]</t>
  </si>
  <si>
    <t>[-37.1, 85.7, nan]</t>
  </si>
  <si>
    <t>[nan, 330.6, -86.7]</t>
  </si>
  <si>
    <t>[230.2, 45.6, -68.9]</t>
  </si>
  <si>
    <t>[-28.7, 84.3, 67.7]</t>
  </si>
  <si>
    <t>[18.7, -5.0, -23.0]</t>
  </si>
  <si>
    <t>[-0.1, 47.4, nan]</t>
  </si>
  <si>
    <t>[5.0, -5.5, 70.2]</t>
  </si>
  <si>
    <t>[-13.7, 53.6, nan]</t>
  </si>
  <si>
    <t>[-22.3, 45.9, nan]</t>
  </si>
  <si>
    <t>[194.9, -63.6, nan]</t>
  </si>
  <si>
    <t>[59.9, 8.9, -1.0]</t>
  </si>
  <si>
    <t>[861.5, 124.8, nan]</t>
  </si>
  <si>
    <t>[590.6, -51.7, nan]</t>
  </si>
  <si>
    <t>[47.5, -56.3, nan]</t>
  </si>
  <si>
    <t>[-110.7, 90.7, nan]</t>
  </si>
  <si>
    <t>[-12.3, -45.8, 5.1]</t>
  </si>
  <si>
    <t>[-2.4, -2.2, nan]</t>
  </si>
  <si>
    <t>[-17.1, 16.9, nan]</t>
  </si>
  <si>
    <t>[-2.6, -35.9, -43.1]</t>
  </si>
  <si>
    <t>[20.0, -24.9, nan]</t>
  </si>
  <si>
    <t>[-65.5, 24.3, -40.5]</t>
  </si>
  <si>
    <t>[-19.8, -16.4, -16.9]</t>
  </si>
  <si>
    <t>[130.0, -40.0, 78.1]</t>
  </si>
  <si>
    <t>[-19.7, -111.0, nan]</t>
  </si>
  <si>
    <t>[-23.3, 32.6, nan]</t>
  </si>
  <si>
    <t>[376.1, 262.6, nan]</t>
  </si>
  <si>
    <t>[-35.7, 14.9, 13.5]</t>
  </si>
  <si>
    <t>[321.4, 13.8, -44.6]</t>
  </si>
  <si>
    <t>[-1267.1, -40.9, -91.1]</t>
  </si>
  <si>
    <t>[56.5, 49.1, nan]</t>
  </si>
  <si>
    <t>[41.7, 7.3, nan]</t>
  </si>
  <si>
    <t>[393.9, -3.7, -86.0]</t>
  </si>
  <si>
    <t>[112.2, -82.8, 426.8]</t>
  </si>
  <si>
    <t>[9.0, -62.5, 64.4]</t>
  </si>
  <si>
    <t>[-22.5, 15.0, 5.1]</t>
  </si>
  <si>
    <t>[129.2, -203.2, nan]</t>
  </si>
  <si>
    <t>[-30.2, 8.1, nan]</t>
  </si>
  <si>
    <t>[-297.8, 111.1, nan]</t>
  </si>
  <si>
    <t>[-11.6, 182.1, nan]</t>
  </si>
  <si>
    <t>[298.2, -52.0, -17.4]</t>
  </si>
  <si>
    <t>[-112.5, -448.4, nan]</t>
  </si>
  <si>
    <t>[80.5, -35.3, 9.0]</t>
  </si>
  <si>
    <t>[-73.0, -75.3, nan]</t>
  </si>
  <si>
    <t>[-89.7, 1409.1, nan]</t>
  </si>
  <si>
    <t>[-5.9, 330.7, nan]</t>
  </si>
  <si>
    <t>[45.8, 0.9, -26.0]</t>
  </si>
  <si>
    <t>[25.2, 126.6, nan]</t>
  </si>
  <si>
    <t>[-13.1, 42.7, nan]</t>
  </si>
  <si>
    <t>[5.8, 16.6, 13.1]</t>
  </si>
  <si>
    <t>[72.6, 7.4, nan]</t>
  </si>
  <si>
    <t>[-45.6, 82.8, nan]</t>
  </si>
  <si>
    <t>[-12.0, -11.5, nan]</t>
  </si>
  <si>
    <t>[0.3, -1.6, nan]</t>
  </si>
  <si>
    <t>[12.1, 32.0, nan]</t>
  </si>
  <si>
    <t>[-77.2, 306.5, nan]</t>
  </si>
  <si>
    <t>[-60.2, -19.5, nan]</t>
  </si>
  <si>
    <t>[23.9, -57.1, nan]</t>
  </si>
  <si>
    <t>[4.2, -78.7, 139.4]</t>
  </si>
  <si>
    <t>[23.4, 1.9, nan]</t>
  </si>
  <si>
    <t>[339.5, 28.5, 9.1]</t>
  </si>
  <si>
    <t>[6.5, -62.7, nan]</t>
  </si>
  <si>
    <t>[-0.3, 24.0, nan]</t>
  </si>
  <si>
    <t>[453.1, 212.0, -10.1]</t>
  </si>
  <si>
    <t>[-493.9, 103.7, nan]</t>
  </si>
  <si>
    <t>[20.6, 146.8, nan]</t>
  </si>
  <si>
    <t>[286.5, 13.3, 42.9]</t>
  </si>
  <si>
    <t>[14.9, 2.3, 17.1]</t>
  </si>
  <si>
    <t>[-13.1, -31.8, nan]</t>
  </si>
  <si>
    <t>[46.0, -87.0, 81.9]</t>
  </si>
  <si>
    <t>[-4.8, -1.9, nan]</t>
  </si>
  <si>
    <t>[116.8, -51.3, -61.3]</t>
  </si>
  <si>
    <t>[-300.8, -24.4, nan]</t>
  </si>
  <si>
    <t>[25.6, 59.2, nan]</t>
  </si>
  <si>
    <t>[33.0, 18.3, -13.8]</t>
  </si>
  <si>
    <t>[-194.8, 107.3, nan]</t>
  </si>
  <si>
    <t>[738.0, 200.0, -10.7]</t>
  </si>
  <si>
    <t>[-23.0, 9.0, -0.3]</t>
  </si>
  <si>
    <t>[95.2, 36.6, nan]</t>
  </si>
  <si>
    <t>[124.6, 27.7, nan]</t>
  </si>
  <si>
    <t>[1.8, 3.8, -26.6]</t>
  </si>
  <si>
    <t>[-9121.4, 41.9, nan]</t>
  </si>
  <si>
    <t>[-16.2, 20.0, -3.2]</t>
  </si>
  <si>
    <t>[116.4, 1.5, -29.6]</t>
  </si>
  <si>
    <t>[63.4, 22.4, nan]</t>
  </si>
  <si>
    <t>[63.7, -54.6, nan]</t>
  </si>
  <si>
    <t>[-112.2, 517.1, nan]</t>
  </si>
  <si>
    <t>[52.6, 114.6, nan]</t>
  </si>
  <si>
    <t>[-43.6, -37.7, nan]</t>
  </si>
  <si>
    <t>[105.0, -33.2, 3.9]</t>
  </si>
  <si>
    <t>[-32.7, 13.4, -35.1]</t>
  </si>
  <si>
    <t>[4.0, -41.1, -185.4]</t>
  </si>
  <si>
    <t>[25.7, 42.2, nan]</t>
  </si>
  <si>
    <t>[77.7, -43.7, nan]</t>
  </si>
  <si>
    <t>[25.5, -73.1, 93.5]</t>
  </si>
  <si>
    <t>[-133.3, 269.4, nan]</t>
  </si>
  <si>
    <t>[-2722.7, 173.3, -36.5]</t>
  </si>
  <si>
    <t>[35.1, -34.4, -62.2]</t>
  </si>
  <si>
    <t>[14.0, -56.8, 51.6]</t>
  </si>
  <si>
    <t>[-86.8, -81.6, nan]</t>
  </si>
  <si>
    <t>[140.2, 24.1, 16.2]</t>
  </si>
  <si>
    <t>[-890.5, -524.1, nan]</t>
  </si>
  <si>
    <t>[3991.7, 28.5, 7.1]</t>
  </si>
  <si>
    <t>[-574.8, 68.1, 105.8]</t>
  </si>
  <si>
    <t>[51.2, -30.4, nan]</t>
  </si>
  <si>
    <t>[128.1, 85.8, -26.9]</t>
  </si>
  <si>
    <t>[-3.4, 61.8, 3.1]</t>
  </si>
  <si>
    <t>[-8.6, -32.7, 4.6]</t>
  </si>
  <si>
    <t>[43.9, -10.6, nan]</t>
  </si>
  <si>
    <t>[-159.2, -68.3, nan]</t>
  </si>
  <si>
    <t>[-39.7, 11.1, -92.4, 3956.3, 0]</t>
  </si>
  <si>
    <t>[54.3, 304.4, 7.0, -87.9, 18.9]</t>
  </si>
  <si>
    <t>[-54.2, 4.0, 151.8, 65.1, -57.9]</t>
  </si>
  <si>
    <t>[41.1, 27.4, 0, 0, -51.8]</t>
  </si>
  <si>
    <t>[-73.5, 18.6, -36.4, 80.0, -11.7]</t>
  </si>
  <si>
    <t>[0, 11.2, -38.4, 54.3, 0]</t>
  </si>
  <si>
    <t>[-68.0, 116.0, 42.3, -86.7, 135.5]</t>
  </si>
  <si>
    <t>[0, 0, 0, 0, 0]</t>
  </si>
  <si>
    <t>[-26.7, -38.3, 1.1, -18.2, -86.0]</t>
  </si>
  <si>
    <t>[0, 0, 0, nan, 0]</t>
  </si>
  <si>
    <t>[-17.6, -25.0, 64.5, 57.9, -33.0]</t>
  </si>
  <si>
    <t>[-17.6, -7.0, 7.6, -6.6, -68.4]</t>
  </si>
  <si>
    <t>[-22.5, -19.2, -57.8, -81.8, 0]</t>
  </si>
  <si>
    <t>[-81.1, 68.7, -51.4, 0, 0]</t>
  </si>
  <si>
    <t>[-19.2, 9.8, -11.7, 28.0, 7.4]</t>
  </si>
  <si>
    <t>[48.1, -98.1, 3100.5, -11.2, 0]</t>
  </si>
  <si>
    <t>[-64.9, 446.1, 1.7, -48.6, 54.4]</t>
  </si>
  <si>
    <t>[0, 0, 0, -44.2, 15.1]</t>
  </si>
  <si>
    <t>[-51.8, 122.4, -46.9, 967.2, 0]</t>
  </si>
  <si>
    <t>[-37.3, 896.5, -22.5, -71.6, -98.4]</t>
  </si>
  <si>
    <t>[6.9, 16.6, -34.3, -78.9, -2.8]</t>
  </si>
  <si>
    <t>[8.7, 2.7, 21.2, -30.5, 43.1]</t>
  </si>
  <si>
    <t>[55.6, 28.5, -3.5, -85.5, 0]</t>
  </si>
  <si>
    <t>[-3.2, -72.5, 0, 0, 0]</t>
  </si>
  <si>
    <t>[159.3, -40.6, 21.1, -69.1, -68.5]</t>
  </si>
  <si>
    <t>[0, 0, 2.8, -99.9, 201.8]</t>
  </si>
  <si>
    <t>[0, 0, 194.2, 0, 841.7]</t>
  </si>
  <si>
    <t>[0, 42.3, -99.2, 567.6, 0]</t>
  </si>
  <si>
    <t>[12.7, -33.7, -62.3, 47.8, 144.9]</t>
  </si>
  <si>
    <t>[0, 0, 0, -80.5, 89.6]</t>
  </si>
  <si>
    <t>[-2.6, 0, 71.8, -50.6, -57.8]</t>
  </si>
  <si>
    <t>[-4.3, -27.8, 7.2, -1.5, -21.9]</t>
  </si>
  <si>
    <t>[0, 0, 0, -22.5, -26.9]</t>
  </si>
  <si>
    <t>[571.5, -20.7, -17.2, 38.9, 0]</t>
  </si>
  <si>
    <t>[-12.3, -66.2, -6.7, 389.6, 16.5]</t>
  </si>
  <si>
    <t>[28.2, 40.6, 14.8, -1.2, -9.4]</t>
  </si>
  <si>
    <t>[124.5, -40.9, -51.0, -67.4, 0]</t>
  </si>
  <si>
    <t>[0, 0, -1.7, -82.7, 0]</t>
  </si>
  <si>
    <t>[0, 0, 810.0, 56.4, -73.7]</t>
  </si>
  <si>
    <t>[11.4, -13.2, -46.6, 28.9, -37.2]</t>
  </si>
  <si>
    <t>[0, 39.5, 14.9, -23.2, 13.0]</t>
  </si>
  <si>
    <t>[141.3, -53.0, 48.8, -29.5, -17.5]</t>
  </si>
  <si>
    <t>[0, -27.5, 0, 0, -22.2]</t>
  </si>
  <si>
    <t>[7.4, -49.6, 32.8, 119.0, 0]</t>
  </si>
  <si>
    <t>[0, 0, 184.4, -76.5, 30.7]</t>
  </si>
  <si>
    <t>[66.0, 860.7, -38.8, -86.2, 0]</t>
  </si>
  <si>
    <t>[-22.5, -84.0, 58.0, 158.9, 11.7]</t>
  </si>
  <si>
    <t>[3528.0, 101.2, 20.7, -60.3, 0]</t>
  </si>
  <si>
    <t>[-45.4, 0, 0, 0, 0]</t>
  </si>
  <si>
    <t>[46.9, 7.8, 0.9, -92.2, 5632.2]</t>
  </si>
  <si>
    <t>[100.4, 19.8, -45.6, -76.6, 131.1]</t>
  </si>
  <si>
    <t>[126.2, 8.0, 11.9, 45.6, 188.0]</t>
  </si>
  <si>
    <t>[278.6, -71.2, 75.0, -51.7, 88.6]</t>
  </si>
  <si>
    <t>[0, -61.0, -53.4, 38.5, 92.9]</t>
  </si>
  <si>
    <t>[-76.6, 0, 0, 0, -68.8]</t>
  </si>
  <si>
    <t>[185.9, -4.8, -21.2, 0, 77.8]</t>
  </si>
  <si>
    <t>[11.8, -43.7, 17.4, 0, 0]</t>
  </si>
  <si>
    <t>[19876.6, 68.5, -7.5, -15.7, -41.8]</t>
  </si>
  <si>
    <t>[41.6, -22.2, -35.0, 42.8, 0]</t>
  </si>
  <si>
    <t>[-21.8, 16.3, -1.8, -5.1, -33.3]</t>
  </si>
  <si>
    <t>[6.6, 66.6, -8.0, 0, -30.5]</t>
  </si>
  <si>
    <t>[-56.9, 71.8, -10.3, 125.9, 14.6]</t>
  </si>
  <si>
    <t>[29.7, 0, 0, 0, 6.1]</t>
  </si>
  <si>
    <t>[-4.3, 0, 0, 0, 0]</t>
  </si>
  <si>
    <t>[-2.5, -55.6, 0, 0, 0]</t>
  </si>
  <si>
    <t>[4.5, 21.3, -51.4, 12.1, -44.4]</t>
  </si>
  <si>
    <t>[-29.4, 20.7, 0, 0, -47.8]</t>
  </si>
  <si>
    <t>[19.8, -46.8, 69.3, -0.4, 0]</t>
  </si>
  <si>
    <t>[-64.4, 0, 0, 53.1, 487.3]</t>
  </si>
  <si>
    <t>[-97.8, -77.1, -13.9, 0, 0]</t>
  </si>
  <si>
    <t>[24.2, -26.1, -35.6, 16.9, 70.3]</t>
  </si>
  <si>
    <t>[-24.6, -86.5, -35.2, -5.3, 0]</t>
  </si>
  <si>
    <t>[73.4, -9.8, 101.2, -80.4, 139.1]</t>
  </si>
  <si>
    <t>[-26.6, 46.4, -30.1, -34.2, -33.6]</t>
  </si>
  <si>
    <t>[-0.9, -22.8, 12.6, -65.4, 0]</t>
  </si>
  <si>
    <t>[114.2, 44.5, 36.4, -5.2, -54.9]</t>
  </si>
  <si>
    <t>[-7.9, -64.6, -39.2, 0, 0]</t>
  </si>
  <si>
    <t>[0, -76.9, 725.4, -51.3, -5.3]</t>
  </si>
  <si>
    <t>[37.8, -41.2, 51.7, 15.9, -95.8]</t>
  </si>
  <si>
    <t>[184.5, -35.6, -19.4, 148.9, 342.3]</t>
  </si>
  <si>
    <t>[-87.6, -22.2, 30.1, 28.3, 0]</t>
  </si>
  <si>
    <t>[32.3, 19.7, -50.5, 3.3, 98.5]</t>
  </si>
  <si>
    <t>[13.1, -52.3, -42.3, 659.6, -35.1]</t>
  </si>
  <si>
    <t>[0, -27.9, 0, 0, -45.4]</t>
  </si>
  <si>
    <t>[0, -35.1, 15.2, -9.5, -5.4]</t>
  </si>
  <si>
    <t>[-75.7, 58.3, -7.7, 106.4, 79.2]</t>
  </si>
  <si>
    <t>[0, 0, 0, 5.2, 117.0]</t>
  </si>
  <si>
    <t>[33.2, -31.4, -12.8, -19.7, -41.5]</t>
  </si>
  <si>
    <t>[nan, nan, 46.2, -96.4, -64.7]</t>
  </si>
  <si>
    <t>[4.5, 19.5, -9.0, -46.9, -15.1]</t>
  </si>
  <si>
    <t>[15.0, 9.9, -10.3, -49.9, 28.2]</t>
  </si>
  <si>
    <t>[-0.6, -48.4, 20.5, 23.0, -42.2]</t>
  </si>
  <si>
    <t>[-9.5, 1163.8, -80.5, -37.4, -11.3]</t>
  </si>
  <si>
    <t>[14.5, -8.0, -5.8, -18.8, -60.1]</t>
  </si>
  <si>
    <t>[475.1, -9.7, -1.6, 12.0, -23.1]</t>
  </si>
  <si>
    <t>[-91.8, 213.9, 0, 0, 50.2]</t>
  </si>
  <si>
    <t>[-60.0, 0, 0, 0, 176.5]</t>
  </si>
  <si>
    <t>[8.6, -15.8, -44.3, -95.7, 0]</t>
  </si>
  <si>
    <t>[nan, nan, -75.6, -35.5, 0]</t>
  </si>
  <si>
    <t>[-15.8, -25.4, -62.1, 101.1, -83.7]</t>
  </si>
  <si>
    <t>[5.2, 6.0, 6.1, 7.9, 12.1]</t>
  </si>
  <si>
    <t>[0, 38.4, 7.3, -73.6, 0]</t>
  </si>
  <si>
    <t>[20.2, -6.4, -8.3, -5.3, -14.8]</t>
  </si>
  <si>
    <t>[15.3, 15.6, 10.3, 6.2, 9.5]</t>
  </si>
  <si>
    <t>[16.5, -5.4, 36.0, -48.4, 3.7]</t>
  </si>
  <si>
    <t>[0, 112.0, 0, 0, -58.7]</t>
  </si>
  <si>
    <t>[-46.4, -76.4, 1.3, -41.2, 0]</t>
  </si>
  <si>
    <t>[38.6, 32.6, 10.3, -84.4, 0]</t>
  </si>
  <si>
    <t>[-24.3, 0, 0, 0, 0]</t>
  </si>
  <si>
    <t>[35.9, -64.8, 89.2, 6.8, -43.1]</t>
  </si>
  <si>
    <t>[53.6, -49.3, -82.0, 63.2, -54.1]</t>
  </si>
  <si>
    <t>[-20.2, 6.6, 8.0, 9.4, 4.6]</t>
  </si>
  <si>
    <t>[0, 0, 0, 0, -10.1]</t>
  </si>
  <si>
    <t>[]</t>
  </si>
  <si>
    <t>[7.3, 0, 0, 656.1, -35.3]</t>
  </si>
  <si>
    <t>[0, 329.8, 0, 0, 0]</t>
  </si>
  <si>
    <t>[0.2, -42.9, -69.5, 222.8, -38.7]</t>
  </si>
  <si>
    <t>[15.8, -3.8, -22.7, 219.8, -68.9]</t>
  </si>
  <si>
    <t>[-24.1, -4.6, 34.5, 17.7, -2.0]</t>
  </si>
  <si>
    <t>[34.6, 49.2, -46.4, 0, 0]</t>
  </si>
  <si>
    <t>[-33.0, 146.6, 45.2, -11.8, 12.0]</t>
  </si>
  <si>
    <t>[64.5, -22.5, -5.4, -2.0, 101.9]</t>
  </si>
  <si>
    <t>[25.6, 153.2, 112.2, -55.7, 6.7]</t>
  </si>
  <si>
    <t>[5917.1, 0, 0, 313.1, -46.9]</t>
  </si>
  <si>
    <t>[-2.1, -24.1, -28.6, -51.7, 85.5]</t>
  </si>
  <si>
    <t>[2.6, 1.8, 1.7, 7.9, 16.4]</t>
  </si>
  <si>
    <t>[0, 89.6, 0, 0, 0]</t>
  </si>
  <si>
    <t>[40.4, -29.3, 1048.6, -97.4, 113.1]</t>
  </si>
  <si>
    <t>[-60.5, 0, 0, 0, 0]</t>
  </si>
  <si>
    <t>[0, 0, 0, 234.8, -95.0]</t>
  </si>
  <si>
    <t>[0, -32.0, 15.6, -80.8, 57.0]</t>
  </si>
  <si>
    <t>[9.3, 6.5, 4.2, 0.9, 2.9]</t>
  </si>
  <si>
    <t>[12.8, 14.3, 6.3, -4.7, 6.2]</t>
  </si>
  <si>
    <t>[106.4, -18.0, -44.3, 190.2, -53.6]</t>
  </si>
  <si>
    <t>[-37.4, 46.0, 91.1, 0, 0]</t>
  </si>
  <si>
    <t>[-13.4, -47.5, 40.2, -56.9, 58.6]</t>
  </si>
  <si>
    <t>[9.5, 33.6, -30.7, -4.2, 0]</t>
  </si>
  <si>
    <t>[146.0, 0, 0, 0, 179.4]</t>
  </si>
  <si>
    <t>[51.0, -19.6, 23.4, -45.8, -14.2]</t>
  </si>
  <si>
    <t>[nan, nan, -16.7, 15.1, -39.2]</t>
  </si>
  <si>
    <t>[-57.8, 93.8, 0, 0, 0]</t>
  </si>
  <si>
    <t>[0, 33.1, -84.8, 0, 0]</t>
  </si>
  <si>
    <t>[0, 10.9, -24.4, -8.4, 55.5]</t>
  </si>
  <si>
    <t>[79.0, -61.8, -30.8, 245.5, -72.6]</t>
  </si>
  <si>
    <t>[-89.7, 406.9, 26.4, -13.7, -32.4]</t>
  </si>
  <si>
    <t>[-37.0, -18.2, -27.1, -7.6, -40.4]</t>
  </si>
  <si>
    <t>[-99.6, 0, 0, 0, 0]</t>
  </si>
  <si>
    <t>[-36.9, -43.8, 279.1, -51.2, 0]</t>
  </si>
  <si>
    <t>[-0.3, 24.2, 4.0, 14.9, 21.4]</t>
  </si>
  <si>
    <t>[-39.6, 124.2, -38.5, -68.4, 21.7]</t>
  </si>
  <si>
    <t>[1577.7, 0, 0, 0, 0]</t>
  </si>
  <si>
    <t>[-16.6, -47.0, 74.3, -16.6, -9.9]</t>
  </si>
  <si>
    <t>[5.6, -13.7, 92.3, -30.3, 19.9]</t>
  </si>
  <si>
    <t>[nan, 0, 76.4, -42.1, -27.4]</t>
  </si>
  <si>
    <t>[-0.7, 21.0, -16.7, -1.5, -16.8]</t>
  </si>
  <si>
    <t>[-48.6, 0, 0, -93.3, 99.5]</t>
  </si>
  <si>
    <t>[47.5, 14.0, 93.0, 81.6, 0]</t>
  </si>
  <si>
    <t>[32.9, -18.2, -16.6, 352.9, -48.0]</t>
  </si>
  <si>
    <t>[169.4, 4160.9, -99.9, 0, 0]</t>
  </si>
  <si>
    <t>[-55.3, 21.9, 45.2, -41.1, -42.7]</t>
  </si>
  <si>
    <t>[-20.1, 65.7, -20.8, -13.1, 19.8]</t>
  </si>
  <si>
    <t>[378.3, -3.1, -27.6, 73.0, -59.8]</t>
  </si>
  <si>
    <t>[-7.5, -28.5, 1474.0, -96.6, 0]</t>
  </si>
  <si>
    <t>[nan, nan, nan, 592.1, 0]</t>
  </si>
  <si>
    <t>[1235.4, -7.6, 50.3, -69.9, 0]</t>
  </si>
  <si>
    <t>[-58.0, 154.8, -17.5, 0, 2506.1]</t>
  </si>
  <si>
    <t>[0, 0, 328.2, 0, 0]</t>
  </si>
  <si>
    <t>[6.5, 14.4, 7.7, 5.5, 2.6]</t>
  </si>
  <si>
    <t>[-72.4, 458.6, -45.2, -58.8, -33.6]</t>
  </si>
  <si>
    <t>[6.0, -86.6, 0, 0, 0]</t>
  </si>
  <si>
    <t>[-46.5, 1.2, 22.9, -20.5, -31.0]</t>
  </si>
  <si>
    <t>[34.4, -2.7, 30.2, -18.2, 10.2]</t>
  </si>
  <si>
    <t>[-75.2, 64.6, -69.1, 0, 0]</t>
  </si>
  <si>
    <t>[0, 42.6, -32.1, 43.4, 573.5]</t>
  </si>
  <si>
    <t>[164.2, -14.0, 3.9, -16.1, -77.2]</t>
  </si>
  <si>
    <t>[0, 35.0, 7.4, 16.9, 12.8]</t>
  </si>
  <si>
    <t>[-54.9, 0, 0, 0, 0]</t>
  </si>
  <si>
    <t>[-75.6, 137.7, -3.9, 767.9, 94.1]</t>
  </si>
  <si>
    <t>[-7.5, -45.4, 131.9, 17.8, 1311.5]</t>
  </si>
  <si>
    <t>[-52.6, 8.7, 48.9, 14.2, -4.3]</t>
  </si>
  <si>
    <t>[-28.7, -1.6, -4.8, 233.0, -71.9]</t>
  </si>
  <si>
    <t>[-0.9, 48.5, 29.4, -40.8, -22.1]</t>
  </si>
  <si>
    <t>[43.0, -42.5, 61.4, -12.2, -94.4]</t>
  </si>
  <si>
    <t>[11.3, -56.6, -16.3, 85.1, 11.0]</t>
  </si>
  <si>
    <t>[-97.2, 0, 0, 0, 0]</t>
  </si>
  <si>
    <t>[0, 18.5, -4.1, -34.5, 45.2]</t>
  </si>
  <si>
    <t>[-15.3, 6.9, -11.4, -10.0, 9.2]</t>
  </si>
  <si>
    <t>[-7.7, 30.8, 22.8, 115.3, 0]</t>
  </si>
  <si>
    <t>[-50.1, 0, 0, 7.5, -76.2]</t>
  </si>
  <si>
    <t>[288.1, -46.0, -73.5, 299.8, 28.2]</t>
  </si>
  <si>
    <t>[78.1, 0, 0, 0, 0]</t>
  </si>
  <si>
    <t>[-33.4, -20.6, 51.9, 12.3, -99.8]</t>
  </si>
  <si>
    <t>[0, 0, -50.2, 0, 0]</t>
  </si>
  <si>
    <t>[-27.0, 15.7, 10.3, 64.6, -13.5]</t>
  </si>
  <si>
    <t>[-36.8, 161.1, 40.0, -66.4, 0]</t>
  </si>
  <si>
    <t>[61.3, 69.4, -31.7, 5.4, 55.4]</t>
  </si>
  <si>
    <t>[19.3, -68.1, 74.8, 0, 0]</t>
  </si>
  <si>
    <t>[136.6, 24.1, -16.0, 65.3, 69.1]</t>
  </si>
  <si>
    <t>[4.4, -25.5, 28.8, 16.8, -23.1]</t>
  </si>
  <si>
    <t>[-20.3, -82.1, 98.7, 43.1, 0]</t>
  </si>
  <si>
    <t>[-6.1, 322.9, 0, 0, 0]</t>
  </si>
  <si>
    <t>[14.6, 1.0, 0, 0, 0]</t>
  </si>
  <si>
    <t>[120.7, -56.9, 0, 0, 0]</t>
  </si>
  <si>
    <t>[127.7, 119.1, 8.5, -25.7, 19.0]</t>
  </si>
  <si>
    <t>[0, 70.8, -21.2, 53.4, -71.0]</t>
  </si>
  <si>
    <t>[155.6, 525.4, -89.1, -80.6, 0]</t>
  </si>
  <si>
    <t>[6.3, 0, 0, 0, 0]</t>
  </si>
  <si>
    <t>[0, 981.0, 37.4, -91.1, -30.3]</t>
  </si>
  <si>
    <t>[-52.1, 59.6, 49.3, -21.1, 0]</t>
  </si>
  <si>
    <t>[-80.2, 0, 0, 0, 330.6]</t>
  </si>
  <si>
    <t>[8.3, -17.9, 15.5, -26.0, -23.4]</t>
  </si>
  <si>
    <t>[14.3, 12.3, 11.7, 10.9, 17.4]</t>
  </si>
  <si>
    <t>[19.7, 79.5, -17.4, 123.6, 0]</t>
  </si>
  <si>
    <t>[-86.5, 172.6, -26.6, 475.5, -11.1]</t>
  </si>
  <si>
    <t>[7006.6, 23.6, 0, 0, 0]</t>
  </si>
  <si>
    <t>[-24.5, -61.1, -68.8, 0, 0]</t>
  </si>
  <si>
    <t>[-99.9, -53.6, -5.4, -8.5, -22.9]</t>
  </si>
  <si>
    <t>[-33.7, -19.2, 2.3, 10.2, 5.4]</t>
  </si>
  <si>
    <t>[0, 675.7, -85.7, 0, 104.3]</t>
  </si>
  <si>
    <t>[-59.8, 189.4, -31.1, -26.6, 0]</t>
  </si>
  <si>
    <t>[32.0, 48.9, 124.3, 131.5, 0]</t>
  </si>
  <si>
    <t>[-32.2, 0, 0, 0, 0]</t>
  </si>
  <si>
    <t>[-42.1, -85.2, 0, 0, 0]</t>
  </si>
  <si>
    <t>[392.2, -11.8, 0, 0, 0.2]</t>
  </si>
  <si>
    <t>[-14.6, 0, 0, 0, -94.9]</t>
  </si>
  <si>
    <t>[-41.0, -48.2, 20.3, 71.2, -17.5]</t>
  </si>
  <si>
    <t>[21.2, -34.1, 120.7, -61.2, 46.9]</t>
  </si>
  <si>
    <t>[95.4, 263.7, -68.3, 38.0, 13.6]</t>
  </si>
  <si>
    <t>[15.7, 0, 0, 0, 0]</t>
  </si>
  <si>
    <t>[132.3, 44.8, 0, 0, 0]</t>
  </si>
  <si>
    <t>[99.8, 5.1, -14.9, -41.3, 0]</t>
  </si>
  <si>
    <t>[0, -40.6, 17.9, -17.3, 65.7]</t>
  </si>
  <si>
    <t>[0, 0, -81.4, 9247.3, 2490.9]</t>
  </si>
  <si>
    <t>[-78.1, 0, 0, 0, 0]</t>
  </si>
  <si>
    <t>[-6.7, -8.3, -22.6, 31.2, -50.5]</t>
  </si>
  <si>
    <t>[19.9, 45.3, 11.5, -37.5, -21.7]</t>
  </si>
  <si>
    <t>[4782.8, 34.4, 25.0, -66.1, 0]</t>
  </si>
  <si>
    <t>[-2.1, -14.6, 78.6, -7.7, -66.4]</t>
  </si>
  <si>
    <t>[-12.4, -18.7, -65.7, 225.2, 9.1]</t>
  </si>
  <si>
    <t>[-79.7, 0, 0, 0, 0]</t>
  </si>
  <si>
    <t>[62.0, -71.9, 127.9, 11.1, 0]</t>
  </si>
  <si>
    <t>[1887.1, -95.3, 12.2, -7.8, 35.9]</t>
  </si>
  <si>
    <t>[156.6, 92.1, 19.6, -15.8, 60.8]</t>
  </si>
  <si>
    <t>[62.3, 0, 0, 78.2, 5.8]</t>
  </si>
  <si>
    <t>[nan, nan, -74.3, 237.6, 2.8]</t>
  </si>
  <si>
    <t>[0, -32.1, 28.5, -2.6, -3.2]</t>
  </si>
  <si>
    <t>[623.7, 39.8, -39.8, -29.5, -87.9]</t>
  </si>
  <si>
    <t>[147.0, 69.0, 73.2, 590.7, -90.7]</t>
  </si>
  <si>
    <t>[-37.1, 43.2, -69.4, 35.0, -85.6]</t>
  </si>
  <si>
    <t>[-70.0, 0, 0, 0, 0]</t>
  </si>
  <si>
    <t>[20.2, 94.9, -1.7, 36.2, -83.2]</t>
  </si>
  <si>
    <t>[-23.2, -39.3, -38.7, 19.3, -28.1]</t>
  </si>
  <si>
    <t>[65.4, -33.1, 42.4, 10.9, 61.6]</t>
  </si>
  <si>
    <t>[-54.9, 153.2, 0, 0, 0]</t>
  </si>
  <si>
    <t>[22.2, -23.4, 19.9, -31.1, -16.7]</t>
  </si>
  <si>
    <t>[176.6, -27.1, -53.7, -49.4, 10.8]</t>
  </si>
  <si>
    <t>[-29.6, -22.2, -50.9, 11.7, -26.1]</t>
  </si>
  <si>
    <t>[-4.6, -4.5, 35.0, -18.0, 16.0]</t>
  </si>
  <si>
    <t>[32.4, 1.7, 17.7, 4.2, 17.8]</t>
  </si>
  <si>
    <t>[-49.5, 55.8, 70.8, -60.7, 9.3]</t>
  </si>
  <si>
    <t>[-7.2, -16.1, 17.5, 6.3, -5.9]</t>
  </si>
  <si>
    <t>[11.8, -2.5, -11.1, -6.8, -20.8]</t>
  </si>
  <si>
    <t>[-89.6, 584.8, 0, 0, 0]</t>
  </si>
  <si>
    <t>[-38.6, -37.2, 0, 0, -71.6]</t>
  </si>
  <si>
    <t>[0, 0, 0, 0, -13.7]</t>
  </si>
  <si>
    <t>[-75.2, 723.9, 43.2, -11.4, -71.4]</t>
  </si>
  <si>
    <t>[1119.3, 16.1, 99.6, -55.0, -32.1]</t>
  </si>
  <si>
    <t>[26.0, -27.3, -11.0, 5109.9, -25.1]</t>
  </si>
  <si>
    <t>[16.4, 24.5, -42.4, -88.6, -21.1]</t>
  </si>
  <si>
    <t>[-39.5, -50.6, 125.9, 0, 0]</t>
  </si>
  <si>
    <t>[-10.7, -33.4, -14.5, -71.1, 0]</t>
  </si>
  <si>
    <t>[6.3, -30.9, 8.1, 18.0, -1.0]</t>
  </si>
  <si>
    <t>[-40.6, 65.1, -8.3, 45.0, -55.3]</t>
  </si>
  <si>
    <t>[4.0, -32.8, 101.4, -13.8, -42.3]</t>
  </si>
  <si>
    <t>[-27.9, 0, 0, 0, 0]</t>
  </si>
  <si>
    <t>[-0.6, -12.6, 14.5, 45.9, -7.7]</t>
  </si>
  <si>
    <t>[1184.0, -78.6, 328.0, -42.1, -29.4]</t>
  </si>
  <si>
    <t>[47.3, 48.9, 0, 0, 0]</t>
  </si>
  <si>
    <t>[-3.3, 0, 0, 20.2, -60.3]</t>
  </si>
  <si>
    <t>[154.5, 40.3, 93.9, 0, 0]</t>
  </si>
  <si>
    <t>[0, 0, 0, -92.3, 0]</t>
  </si>
  <si>
    <t>[-54.2, -14.0, 190.3, 0, 191.9]</t>
  </si>
  <si>
    <t>[0, 0, -92.3, 967.6, -11.6]</t>
  </si>
  <si>
    <t>[0, 520.2, -14.4, 24.2, -93.7]</t>
  </si>
  <si>
    <t>[-77.8, 385.8, -36.5, -23.8, 0]</t>
  </si>
  <si>
    <t>[0, 1377.3, 0, 0, 0]</t>
  </si>
  <si>
    <t>[-16.0, -12.7, -50.4, -30.4, 142.1]</t>
  </si>
  <si>
    <t>[-89.2, 596.9, 92.9, 0, -42.6]</t>
  </si>
  <si>
    <t>[-98.6, 0, 0, 0, 0]</t>
  </si>
  <si>
    <t>[56.2, -42.9, -58.5, -3.0, -95.3]</t>
  </si>
  <si>
    <t>[40.8, 0, 0, -23.1, -1.2]</t>
  </si>
  <si>
    <t>[6.4, 79.4, -46.5, -6.3, -30.8]</t>
  </si>
  <si>
    <t>[8.9, -24.5, 241.3, 0, 0]</t>
  </si>
  <si>
    <t>[6.9, -29.2, -83.1, 97.6, 0]</t>
  </si>
  <si>
    <t>[179.0, -80.7, 159.5, 0, 0]</t>
  </si>
  <si>
    <t>[-9.0, 73.3, 216.0, -87.2, 196.3]</t>
  </si>
  <si>
    <t>[92.3, -81.4, -47.3, -59.2, 0]</t>
  </si>
  <si>
    <t>[-7.8, 0, 0, 0, 0]</t>
  </si>
  <si>
    <t>[0, -83.6, 0, 0, 0]</t>
  </si>
  <si>
    <t>[-31.4, 3643.3, 0, 0, 83.8]</t>
  </si>
  <si>
    <t>[nan, -99.0, 15.6, -63.4, -29.5]</t>
  </si>
  <si>
    <t>[0, 0, 0, 60.1, 51.4]</t>
  </si>
  <si>
    <t>[11.6, 68.3, -12.2, 79.9, 61.8]</t>
  </si>
  <si>
    <t>[65.8, -9.5, 0, 0, 0]</t>
  </si>
  <si>
    <t>[23.4, -5.9, -37.1, -11.9, 0]</t>
  </si>
  <si>
    <t>[390.6, 37.7, -73.0, -15.2, 26.8]</t>
  </si>
  <si>
    <t>[0, 0, -98.5, 0, 0]</t>
  </si>
  <si>
    <t>[0, -26.0, 332.9, -79.3, 0]</t>
  </si>
  <si>
    <t>[0, 12.9, 102.3, -76.4, 0]</t>
  </si>
  <si>
    <t>[-15.6, -0.4, 0, 0, -72.3]</t>
  </si>
  <si>
    <t>[-40.8, 0, 0, 0, 0]</t>
  </si>
  <si>
    <t>[-92.6, 0, 0, 0, 854.3]</t>
  </si>
  <si>
    <t>[6.6, 10.2, 8.6, 11.2, 19.4]</t>
  </si>
  <si>
    <t>[108.0, 37.7, -14.3, 32.0, -14.3]</t>
  </si>
  <si>
    <t>[0, 0, 10.9, -9.4, 0]</t>
  </si>
  <si>
    <t>[250.2, 28.0, -12.2, -72.6, 137.1]</t>
  </si>
  <si>
    <t>[-0.6, 21.3, 3.4, -81.8, 309.1]</t>
  </si>
  <si>
    <t>[109.3, -63.0, 369.0, -58.4, 39.4]</t>
  </si>
  <si>
    <t>[-75.3, 139.5, 65.5, 0, 85.8]</t>
  </si>
  <si>
    <t>[-11.8, -57.1, -10.1, -2.9, 98.9]</t>
  </si>
  <si>
    <t>[175.9, -48.7, -4.8, 87.8, -87.5]</t>
  </si>
  <si>
    <t>[-24.1, -94.9, 0, 0, 0]</t>
  </si>
  <si>
    <t>[0, 0, -29.9, 67.1, 0]</t>
  </si>
  <si>
    <t>[92.5, 13.3, -4.8, 9.9, -3.9]</t>
  </si>
  <si>
    <t>[-77.6, 36.6, -43.3, -72.1, -10.6]</t>
  </si>
  <si>
    <t>[-22.7, 30.1, 23.7, 11.1, 8.5]</t>
  </si>
  <si>
    <t>[132.7, 263.5, -13.7, 0, 0]</t>
  </si>
  <si>
    <t>[-8.9, 1.3, 1.9, -27.8, -58.5]</t>
  </si>
  <si>
    <t>[10.2, -60.7, -12.7, -38.2, -78.1]</t>
  </si>
  <si>
    <t>[8.4, 91.0, -53.7, -36.7, -36.8]</t>
  </si>
  <si>
    <t>[37.9, 1.4, 118.3, -33.7, 0]</t>
  </si>
  <si>
    <t>[-66.9, 149.4, -49.3, 490.6, -97.5]</t>
  </si>
  <si>
    <t>[12.2, 38.2, -6.7, 48.0, -28.2]</t>
  </si>
  <si>
    <t>[24.6, 85.9, -41.0, -93.7, 0]</t>
  </si>
  <si>
    <t>[-35.1, 7.3, -20.3, 8.4, -74.9]</t>
  </si>
  <si>
    <t>[-75.4, -66.0, -30.0, -90.7, -53.5]</t>
  </si>
  <si>
    <t>[-47.8, 88.3, 2.4, -84.5, 24.2]</t>
  </si>
  <si>
    <t>[0, 0, 0, 0, 613.0]</t>
  </si>
  <si>
    <t>[-73.7, 0, 0, 0, 0]</t>
  </si>
  <si>
    <t>[0, -83.1, 0, 0, 0]</t>
  </si>
  <si>
    <t>[32.3, -24.5, 0, 0, 0]</t>
  </si>
  <si>
    <t>[292.3, -69.1, 5.7, -56.4, 51.8]</t>
  </si>
  <si>
    <t>[51.4, -10.9, -11.2, -26.9, -28.6]</t>
  </si>
  <si>
    <t>[-64.7, 88.6, -63.2, 130.4, 41.2]</t>
  </si>
  <si>
    <t>[0, -23.5, 100.9, -33.5, 19.0]</t>
  </si>
  <si>
    <t>[0, -27.6, -23.3, -20.1, 21.8]</t>
  </si>
  <si>
    <t>[66.1, -73.8, 0, 0, 58.5]</t>
  </si>
  <si>
    <t>[30.6, -61.6, 11.7, 127.9, 13.6]</t>
  </si>
  <si>
    <t>[149.0, 50.4, 9.6, 1.6, -74.1]</t>
  </si>
  <si>
    <t>[nan, nan, 7960.5, 52.7, -50.1]</t>
  </si>
  <si>
    <t>[-96.1, -33.1, -79.6, 0, 0]</t>
  </si>
  <si>
    <t>[-55.6, 0, 0, 2435.7, 0]</t>
  </si>
  <si>
    <t>[0.3, 8.8, 2.0, 6.3, 5.1]</t>
  </si>
  <si>
    <t>[37.8, -2.3, -3.7, -15.5, 0]</t>
  </si>
  <si>
    <t>[-11.5, 2.1, 10.4, 15.8, 10.3]</t>
  </si>
  <si>
    <t>[546.2, 122.5, -58.6, -38.5, 161.1]</t>
  </si>
  <si>
    <t>[0, -92.6, 0, 0, 0]</t>
  </si>
  <si>
    <t>[0, 501.4, -71.1, 253.3, -65.2]</t>
  </si>
  <si>
    <t>[-7.0, -93.9, 837.3, -19.6, -13.8]</t>
  </si>
  <si>
    <t>[219.7, 73.8, -32.9, -76.0, -15.8]</t>
  </si>
  <si>
    <t>[-45.2, -71.1, -90.1, 724.7, 0]</t>
  </si>
  <si>
    <t>[0, -78.4, 0, 0, 0]</t>
  </si>
  <si>
    <t>[15.4, 53.5, -3.4, 2.9, -37.7]</t>
  </si>
  <si>
    <t>[0, 135.1, 65.3, -2.7, -35.0]</t>
  </si>
  <si>
    <t>[-44.7, -8.6, -6.8, -14.2, -58.7]</t>
  </si>
  <si>
    <t>[266.2, -24.9, -41.8, 226.4, -6.4]</t>
  </si>
  <si>
    <t>[-29.1, 1725.6, -43.2, -93.8, 0]</t>
  </si>
  <si>
    <t>[3.0, 0.8, 3.6, 5.0, 8.3]</t>
  </si>
  <si>
    <t>[465.8, -73.4, 20.1, 13.5, -40.0]</t>
  </si>
  <si>
    <t>[-30.6, 39.7, -71.3, 175.1, -50.7]</t>
  </si>
  <si>
    <t>[0, 0, -56.8, 0, 500.4]</t>
  </si>
  <si>
    <t>[0, -70.1, 505.9, 35.3, 0]</t>
  </si>
  <si>
    <t>[-5.8, -15.4, -40.4, -47.5, 0]</t>
  </si>
  <si>
    <t>[28.3, 84.9, 31.8, 2.9, 12.4]</t>
  </si>
  <si>
    <t>[10.9, -18.4, 23.0, 65.2, 53.0]</t>
  </si>
  <si>
    <t>[17.6, -9.6, -9.6, 208.0, 125.2]</t>
  </si>
  <si>
    <t>[1.9, 6.2, -13.2, 1.1, 24.5]</t>
  </si>
  <si>
    <t>[4.2, 6.4, 7.3, 4.8, 6.1]</t>
  </si>
  <si>
    <t>[0, 0, 15.4, -30.2, -8.6]</t>
  </si>
  <si>
    <t>[103.2, -43.3, -20.0, -8.0, 0]</t>
  </si>
  <si>
    <t>[0, 33.1, 116.8, -49.1, -15.8]</t>
  </si>
  <si>
    <t>[-38.3, -78.1, 68.0, 60.8, -94.7]</t>
  </si>
  <si>
    <t>[0, 0, 0, 298.1, 0]</t>
  </si>
  <si>
    <t>[0, 38.4, -22.8, -48.5, -7.3]</t>
  </si>
  <si>
    <t>[-11.3, -12.0, -2.2, 20.3, -7.7]</t>
  </si>
  <si>
    <t>[35.7, -21.3, 20.1, -58.7, -18.4]</t>
  </si>
  <si>
    <t>[11.3, -22.9, 0, 0, 174.7]</t>
  </si>
  <si>
    <t>[0, -53.0, -8.3, 51.5, 94.0]</t>
  </si>
  <si>
    <t>[-20.2, 87.3, 0.8, -67.0, 59.9]</t>
  </si>
  <si>
    <t>[-23.5, 305.0, -36.6, 18.4, -96.3]</t>
  </si>
  <si>
    <t>[-57.1, 0, 0, 0, 0]</t>
  </si>
  <si>
    <t>[470.8, 218.0, -16.5, -25.2, -7.8]</t>
  </si>
  <si>
    <t>[-23.7, 0, 0, -1.3, -72.3]</t>
  </si>
  <si>
    <t>[25.1, 156.2, -34.8, 0, 19.5]</t>
  </si>
  <si>
    <t>[-13.2, 0, 0, 56.8, 63.0]</t>
  </si>
  <si>
    <t>[-19.6, -51.9, -26.8, 0, 0]</t>
  </si>
  <si>
    <t>[6.3, 8.0, 6.2, 5.8, 12.0]</t>
  </si>
  <si>
    <t>[2911.1, -26.8, -10.3, -11.6, -65.5]</t>
  </si>
  <si>
    <t>[19.6, -9.4, 9.4, -0.6, 388.3]</t>
  </si>
  <si>
    <t>[52.2, -29.4, -86.5, 362.0, 0]</t>
  </si>
  <si>
    <t>[16.1, 3.1, 15.5, 20.1, 22.2]</t>
  </si>
  <si>
    <t>[-44.1, 319.6, -65.5, 534.6, -73.1]</t>
  </si>
  <si>
    <t>[0, 385.2, -65.2, -94.3, 0]</t>
  </si>
  <si>
    <t>[38.3, 65.6, -18.6, 0, 28.8]</t>
  </si>
  <si>
    <t>[-10.3, 111.4, -66.8, 66.1, 80.6]</t>
  </si>
  <si>
    <t>[0, 167.6, 252.3, -28.2, -46.5]</t>
  </si>
  <si>
    <t>[-10.7, 45.5, -44.1, -24.1, -64.7]</t>
  </si>
  <si>
    <t>[8.2, 4.2, 5.7, 3.0, 3.6]</t>
  </si>
  <si>
    <t>[4.7, 6.6, 7.4, 8.2, 10.0]</t>
  </si>
  <si>
    <t>[8.2, 9.2, 8.8, 4.8, 5.9]</t>
  </si>
  <si>
    <t>[12.1, -60.6, 26.7, -24.8, 75.6]</t>
  </si>
  <si>
    <t>[117.1, 9.1, 1.5, 74.7, 4.1]</t>
  </si>
  <si>
    <t>[-51.4, 66.6, 85.7, -55.9, 22.3]</t>
  </si>
  <si>
    <t>[29.1, 16.4, 1.3, 24.1, -13.2]</t>
  </si>
  <si>
    <t>[-4.5, -19.9, 43.0, -43.5, 29.5]</t>
  </si>
  <si>
    <t>[41.6, -58.9, 70.0, -55.4, 0]</t>
  </si>
  <si>
    <t>[-24.7, 39.3, -57.3, 88.7, -11.6]</t>
  </si>
  <si>
    <t>[10.0, -31.8, 142.7, 18.0, -27.4]</t>
  </si>
  <si>
    <t>[4.1, -36.0, -60.1, 19.2, -79.7]</t>
  </si>
  <si>
    <t>[275.1, -25.7, -12.8, -45.4, -25.8]</t>
  </si>
  <si>
    <t>[6.2, 14.2, 16.4, -6.7, 9.3]</t>
  </si>
  <si>
    <t>[0, 0, 140.9, -21.7, 2.1]</t>
  </si>
  <si>
    <t>[nan, nan, 354.7, 170.9, -8.7]</t>
  </si>
  <si>
    <t>[-7.2, 439.7, -83.5, 0, -91.1]</t>
  </si>
  <si>
    <t>[-30.4, 110.8, 0, 0, 0]</t>
  </si>
  <si>
    <t>[85.0, 22.2, -29.6, -54.7, -87.8]</t>
  </si>
  <si>
    <t>[15.7, 70.0, -48.0, -11.8, 99.1]</t>
  </si>
  <si>
    <t>[13.9, 22.2, -42.4, 0, 38.3]</t>
  </si>
  <si>
    <t>[4.6, 4.9, 3.9, 4.5, 4.8]</t>
  </si>
  <si>
    <t>[22.4, -59.4, -14.1, 65.3, 11.9]</t>
  </si>
  <si>
    <t>[14.1, 13.8, 13.0, 15.1, 13.2]</t>
  </si>
  <si>
    <t>[15.2, 22.5, 11.6, 12.8, 16.5]</t>
  </si>
  <si>
    <t>[135.9, -41.6, -31.6, 30.8, -21.0]</t>
  </si>
  <si>
    <t>[0, 0, 91.3, -85.5, -98.3]</t>
  </si>
  <si>
    <t>[0, 11632.6, 30.0, 0, -80.8]</t>
  </si>
  <si>
    <t>[113.4, -16.2, 0, 0, 0]</t>
  </si>
  <si>
    <t>[29.3, 36.6, -50.9, -52.4, 84.5]</t>
  </si>
  <si>
    <t>[0, 0, 0, 0, 836.0]</t>
  </si>
  <si>
    <t>[0.8, 7.2, 5.8, 7.6, 9.1]</t>
  </si>
  <si>
    <t>[4.2, 11.3, 5.2, 5.0, 5.7]</t>
  </si>
  <si>
    <t>[0, 0, -87.2, 152.8, 13.9]</t>
  </si>
  <si>
    <t>[-23.6, 52.4, 606.0, -84.6, 354.2]</t>
  </si>
  <si>
    <t>[13.8, 122.9, -22.2, -42.1, 12.8]</t>
  </si>
  <si>
    <t>[-24.9, -67.6, -25.6, 2708.3, -75.4]</t>
  </si>
  <si>
    <t>[5.0, -71.9, 97.0, 75.5, 16.4]</t>
  </si>
  <si>
    <t>[-2.7, -19.3, -58.3, 268.6, 46.0]</t>
  </si>
  <si>
    <t>[-13.0, 36.4, -90.9, 833.0, 94.9]</t>
  </si>
  <si>
    <t>[-42.8, 94.1, -19.0, 11.5, 34.9]</t>
  </si>
  <si>
    <t>[28.6, -33.0, 44.4, -10.1, -1.1]</t>
  </si>
  <si>
    <t>[8.3, 7.7, 6.7, 9.2, 8.1]</t>
  </si>
  <si>
    <t>[-38.7, -6.8, 59.2, -34.4, 25.0]</t>
  </si>
  <si>
    <t>[-33.6, -16.6, -5.2, 16.5, 8.1]</t>
  </si>
  <si>
    <t>[1.5, 42.6, 13.0, -18.7, -60.5]</t>
  </si>
  <si>
    <t>[-6.2, 98.8, 0, 0, 0]</t>
  </si>
  <si>
    <t>[-8.2, 9.7, -19.3, -0.9, 22.6]</t>
  </si>
  <si>
    <t>[0, 3.6, 0, 0, 65.7]</t>
  </si>
  <si>
    <t>[40.2, 11.1, -12.0, -8.9, 105.3]</t>
  </si>
  <si>
    <t>[4.7, -9.7, 0, 0, 61.0]</t>
  </si>
  <si>
    <t>[-64.0, 34.3, 35.9, 0, 79.0]</t>
  </si>
  <si>
    <t>[0, 76.5, 36.1, -93.7, -27.8]</t>
  </si>
  <si>
    <t>[0, 0, -20.9, 0, 0]</t>
  </si>
  <si>
    <t>[-92.7, 32.7, 438.2, -86.2, 39.5]</t>
  </si>
  <si>
    <t>[5.1, 7.4, 7.3, 9.1, 12.0]</t>
  </si>
  <si>
    <t>[44.0, 7.4, -7.6, -37.1, 19.2]</t>
  </si>
  <si>
    <t>[63.5, -71.0, 0.7, 21.5, 2.1]</t>
  </si>
  <si>
    <t>[-65.7, 9.9, 149.6, -36.2, 0]</t>
  </si>
  <si>
    <t>[-17.3, -72.6, 0, 0, 0]</t>
  </si>
  <si>
    <t>[-5.0, -1.9, -54.8, -10.5, 0]</t>
  </si>
  <si>
    <t>[-4.5, -54.4, -65.3, 42.2, -54.6]</t>
  </si>
  <si>
    <t>[20.6, 1924.0, -99.2, -51.2, -5.5]</t>
  </si>
  <si>
    <t>[2.8, 2.9, 3.2, 2.9, 2.7]</t>
  </si>
  <si>
    <t>[33.0, -64.7, 46.8, 205.2, -47.7]</t>
  </si>
  <si>
    <t>[8.2, 107.8, -40.5, -3.2, -27.0]</t>
  </si>
  <si>
    <t>[-57.3, -36.1, 6.4, 54.2, -6.8]</t>
  </si>
  <si>
    <t>[0, 0, 0, 0, 49.1]</t>
  </si>
  <si>
    <t>[0.0, 0.7, 8.6, 7.2, 9.6]</t>
  </si>
  <si>
    <t>[13.1, 15.0, 11.0, 6.8, 10.6]</t>
  </si>
  <si>
    <t>[2.9, 3.0, 3.1, 2.9, 2.7]</t>
  </si>
  <si>
    <t>[0, 0, 0, 51525.4, 11.8]</t>
  </si>
  <si>
    <t>[8.1, 3.0, -28.6, 10.5, 0.2]</t>
  </si>
  <si>
    <t>[2.4, 2.7, 2.6, 2.5, 2.5]</t>
  </si>
  <si>
    <t>[-12.0, -42.3, 47.3, -8.5, -19.6]</t>
  </si>
  <si>
    <t>[0, 0, -7.5, 0, 0]</t>
  </si>
  <si>
    <t>[63.7, 22.4, -8.4, -39.8, 0]</t>
  </si>
  <si>
    <t>[0, 0, 0, -24.5, -31.2]</t>
  </si>
  <si>
    <t>[0, -5.9, -2.9, 0, 3.3]</t>
  </si>
  <si>
    <t>[41.5, 27.0, 229.1, -74.8, -71.9]</t>
  </si>
  <si>
    <t>[3.1, 26.0, 2.0, 0, 5.6]</t>
  </si>
  <si>
    <t>[14.0, -39.3, -72.6, 55.0, 5.7]</t>
  </si>
  <si>
    <t>[nan, nan, nan, 80.0, -69.2]</t>
  </si>
  <si>
    <t>[3.3, 3.3, 3.5, 3.5, 3.4]</t>
  </si>
  <si>
    <t>[141.4, -3.0, -55.8, 0, 0]</t>
  </si>
  <si>
    <t>[654.7, 104.7, -39.4, 8.6, -49.5]</t>
  </si>
  <si>
    <t>[-93.9, 176.1, -60.2, 746.5, 5.4]</t>
  </si>
  <si>
    <t>[0, 159.8, 0, 0, 2758.5]</t>
  </si>
  <si>
    <t>[77.2, -48.9, 10.0, -98.7, 235.3]</t>
  </si>
  <si>
    <t>[106.4, -40.8, -85.7, 195.0, 0]</t>
  </si>
  <si>
    <t>[53.1, 0, 0, 207.1, 3.6]</t>
  </si>
  <si>
    <t>[0, 45.9, 126.8, -47.4, -97.7]</t>
  </si>
  <si>
    <t>[-0.8, 5.0, -5.8, 5.7, -14.9]</t>
  </si>
  <si>
    <t>[8.7, 9.4, 9.1, 9.1, 9.1]</t>
  </si>
  <si>
    <t>[-53.3, 57.5, 9.5, -23.1, -10.1]</t>
  </si>
  <si>
    <t>[-3.5, 8.0, 7.9, -11.9, -19.3]</t>
  </si>
  <si>
    <t>[470.7, -22.1, -39.6, 0, 728.3]</t>
  </si>
  <si>
    <t>[93.9, -63.0, 95.3, -4.7, 0]</t>
  </si>
  <si>
    <t>[-96.0, 2878.6, 72.5, -42.3, -29.5]</t>
  </si>
  <si>
    <t>[0, 0, 0, -16.0, -32.6]</t>
  </si>
  <si>
    <t>[4.7, -64.9, 19.4, 58.0, -64.5]</t>
  </si>
  <si>
    <t>[2.9, 2.9, 3.1, 2.9, 2.5]</t>
  </si>
  <si>
    <t>[39.5, -86.5, -59.9, 1350.5, 0]</t>
  </si>
  <si>
    <t>[27.8, -18.3, -27.0, -4.8, -79.0]</t>
  </si>
  <si>
    <t>[38.8, -28.5, -17.7, 14.2, 0]</t>
  </si>
  <si>
    <t>[-71.0, 209.9, -56.7, 48.3, -1.2]</t>
  </si>
  <si>
    <t>[-83.1, 290.8, 0, 0, 26.2]</t>
  </si>
  <si>
    <t>[66.7, -48.8, 15.0, -21.7, 102.2]</t>
  </si>
  <si>
    <t>[32.0, 44.2, -2.7, -89.6, 0]</t>
  </si>
  <si>
    <t>[-5.4, 17.5, -3.7, 67.9, 71.3]</t>
  </si>
  <si>
    <t>[6.3, 214.1, 70.5, -19.8, 34.8]</t>
  </si>
  <si>
    <t>[121.1, 0, 0, 0, 0]</t>
  </si>
  <si>
    <t>[76.6, -14.1, -20.2, 116.0, 33.6]</t>
  </si>
  <si>
    <t>[0, 282.7, -39.9, -67.5, -35.1]</t>
  </si>
  <si>
    <t>[-91.6, 146.9, 303.7, 127.9, -29.3]</t>
  </si>
  <si>
    <t>[0, 0, -67.6, 304.5, 0]</t>
  </si>
  <si>
    <t>[-44.0, -61.9, 136.1, 0, 0]</t>
  </si>
  <si>
    <t>[0, 0, 0, 44.7, 0]</t>
  </si>
  <si>
    <t>[0, 0, 781.3, -76.8, 0]</t>
  </si>
  <si>
    <t>[-1.5, -20.3, 229.9, -90.1, -46.8]</t>
  </si>
  <si>
    <t>[-31.4, -62.3, -26.4, 64.0, -46.5]</t>
  </si>
  <si>
    <t>[-49.2, 170.1, -79.9, 60.1, -37.2]</t>
  </si>
  <si>
    <t>[-88.5, 119.1, 34.3, -68.2, -67.9]</t>
  </si>
  <si>
    <t>[146.2, -40.1, -41.5, 165.8, 1015.5]</t>
  </si>
  <si>
    <t>[0, 0, -78.3, 0, 245.3]</t>
  </si>
  <si>
    <t>[33.1, 843.1, -86.3, 124.4, 115.9]</t>
  </si>
  <si>
    <t>[105.1, 25.9, -21.5, 0, 0]</t>
  </si>
  <si>
    <t>[2.8, 4.4, 2.9, 5.6, 1.1]</t>
  </si>
  <si>
    <t>[10.4, 55.1, 20.3, -71.6, 22.5]</t>
  </si>
  <si>
    <t>[0, 0, 0, -27.0, 0]</t>
  </si>
  <si>
    <t>[-32.2, -96.6, 1515.0, 2.4, 0]</t>
  </si>
  <si>
    <t>[35.5, -48.8, -93.2, 5678.9, 72.3]</t>
  </si>
  <si>
    <t>[-13.9, -33.1, 66.6, -62.1, 11.1]</t>
  </si>
  <si>
    <t>[nan, nan, 91.8, -28.0, -37.8]</t>
  </si>
  <si>
    <t>[-10.3, -22.6, 8.5, -12.6, -30.3]</t>
  </si>
  <si>
    <t>[-41.2, 72.4, 6.9, -7.0, -0.3]</t>
  </si>
  <si>
    <t>[-9.2, -88.7, 0, 0, 0]</t>
  </si>
  <si>
    <t>[28.8, -21.9, 30.9, -0.1, 0]</t>
  </si>
  <si>
    <t>[9.4, -44.9, 0, 0, 0]</t>
  </si>
  <si>
    <t>[67.7, -17.8, -74.1, 158.7, -61.8]</t>
  </si>
  <si>
    <t>[15.6, -54.7, 0, 0, 0]</t>
  </si>
  <si>
    <t>[58.9, -38.8, -98.9, 2002.5, 0]</t>
  </si>
  <si>
    <t>[22.3, 39.1, -28.9, -2.4, 27.5]</t>
  </si>
  <si>
    <t>[93.3, -39.4, -89.1, 1292.1, 210.2]</t>
  </si>
  <si>
    <t>[19.5, 168.5, -80.4, -10.7, -76.5]</t>
  </si>
  <si>
    <t>[-15.3, -1.2, 4.0, 47.1, -1.7]</t>
  </si>
  <si>
    <t>[-18.3, 3.5, 20.5, 40.2, -7.8]</t>
  </si>
  <si>
    <t>[25.9, 50.7, -54.7, 110.5, -26.0]</t>
  </si>
  <si>
    <t>[-0.7, 6.3, -23.5, 9.0, -12.9]</t>
  </si>
  <si>
    <t>[0, -29.4, 269.4, -35.2, -4.8]</t>
  </si>
  <si>
    <t>[-93.5, 0, 0, 0, 0]</t>
  </si>
  <si>
    <t>[122.7, 14.3, -41.1, 0, 0]</t>
  </si>
  <si>
    <t>[89.7, 21.1, -18.5, -42.5, -2.5]</t>
  </si>
  <si>
    <t>[45.5, 787.4, -97.4, -14.1, 50.8]</t>
  </si>
  <si>
    <t>[-5.6, 33.5, -76.1, 78.8, -53.8]</t>
  </si>
  <si>
    <t>[-11.7, 0, 0, 0, 0]</t>
  </si>
  <si>
    <t>[2.5, 2.6, 2.7, 2.7, 2.5]</t>
  </si>
  <si>
    <t>[0, -20.9, -53.4, -51.5, 235.8]</t>
  </si>
  <si>
    <t>[-70.2, 259.9, 7.3, -56.7, -82.4]</t>
  </si>
  <si>
    <t>[449.2, 25.7, 14.4, -3.7, -33.1]</t>
  </si>
  <si>
    <t>[0, -75.8, 1466.7, -21.9, -29.4]</t>
  </si>
  <si>
    <t>[0, 0, -18.7, 0, 0]</t>
  </si>
  <si>
    <t>[-37.1, -70.5, 59.9, 30.4, 0.1]</t>
  </si>
  <si>
    <t>[0, 321.4, 0, 0, 3715.7]</t>
  </si>
  <si>
    <t>[91.9, -75.0, 147.2, -95.8, 97.1]</t>
  </si>
  <si>
    <t>[7.8, 6.2, 4.7, 8.0, 7.1]</t>
  </si>
  <si>
    <t>[11.8, 69.9, 488.9, -74.1, 14.7]</t>
  </si>
  <si>
    <t>[229.5, 0, 0, 0, 0]</t>
  </si>
  <si>
    <t>[121.8, -35.4, 0, 0, 0]</t>
  </si>
  <si>
    <t>[-13.2, 1.3, 284.2, -53.8, 79.3]</t>
  </si>
  <si>
    <t>[8.7, 473.5, -72.4, -14.8, 38.0]</t>
  </si>
  <si>
    <t>[-55.5, 0, 0, 0, 0]</t>
  </si>
  <si>
    <t>[3.1, 6.6, 9.2, 6.6, 6.4]</t>
  </si>
  <si>
    <t>[-83.0, 0, 0, 0, -56.9]</t>
  </si>
  <si>
    <t>[7.2, 8.2, 6.4, 5.4, 9.5]</t>
  </si>
  <si>
    <t>[1.7, 1.7, 1.3, 1.4, 1.6]</t>
  </si>
  <si>
    <t>[-62.1, 734.0, -0.9, -87.4, 57.3]</t>
  </si>
  <si>
    <t>[0, 150.0, 0, 0, 0]</t>
  </si>
  <si>
    <t>[-17.3, 63.8, -26.9, -48.1, 212.0]</t>
  </si>
  <si>
    <t>[-26.9, -28.8, -41.0, 372.8, -91.3]</t>
  </si>
  <si>
    <t>[0, 0, 0, 0, -98.0]</t>
  </si>
  <si>
    <t>[3.0, -19.5, 33.2, -66.8, -70.7]</t>
  </si>
  <si>
    <t>[-97.0, -12.9, 12.1, 128.1, -64.8]</t>
  </si>
  <si>
    <t>[0, 81.0, 147.3, -7.5, 0]</t>
  </si>
  <si>
    <t>[-44.3, 0, 0, -23.7, 7.8]</t>
  </si>
  <si>
    <t>[20.0, 59.8, 17.5, -33.6, -7.3]</t>
  </si>
  <si>
    <t>[0, 0, 0, -54.8, 147.5]</t>
  </si>
  <si>
    <t>[0, 226.7, 56.0, 24.0, -38.8]</t>
  </si>
  <si>
    <t>[201.8, 0.4, -38.0, 6.3, 43.8]</t>
  </si>
  <si>
    <t>[-43.6, 0, 0, 0, 0]</t>
  </si>
  <si>
    <t>[5.9, 8.8, -39.9, 0, 0]</t>
  </si>
  <si>
    <t>[nan, nan, nan, nan, 2.1]</t>
  </si>
  <si>
    <t>[-5.7, -76.4, 0, 0, 589.0]</t>
  </si>
  <si>
    <t>[2.4, 2.5, 2.5, 2.3, 2.0]</t>
  </si>
  <si>
    <t>[-35.4, 13809.4, -97.9, 0, 39.4]</t>
  </si>
  <si>
    <t>[76.5, -14.1, 30.4, 22.6, -43.5]</t>
  </si>
  <si>
    <t>[0, 29.7, 0, 0, 0]</t>
  </si>
  <si>
    <t>[143.7, -46.0, 0, 0, 395.8]</t>
  </si>
  <si>
    <t>[-34.3, -20.6, -8.8, 87.1, 4.3]</t>
  </si>
  <si>
    <t>[-50.1, -45.5, 1.3, 40.2, -30.0]</t>
  </si>
  <si>
    <t>[0, 63.0, -21.3, -87.2, 0]</t>
  </si>
  <si>
    <t>[77.7, 6.5, -11.0, 0, -84.3]</t>
  </si>
  <si>
    <t>[146.0, -47.4, 0, 0, 1328.8]</t>
  </si>
  <si>
    <t>[-3.4, -85.2, 0, 0, 0]</t>
  </si>
  <si>
    <t>[71.5, -10.8, -29.7, -55.8, 0]</t>
  </si>
  <si>
    <t>[nan, nan, -0.9, 38.4, 12.5]</t>
  </si>
  <si>
    <t>[0, -3.8, 36.5, 4.6, 0]</t>
  </si>
  <si>
    <t>[103.2, 0, 0, 0, 0]</t>
  </si>
  <si>
    <t>[-18.8, -18.8, -54.8, 0, 31.0]</t>
  </si>
  <si>
    <t>[-2.5, -25.9, -20.5, -19.5, 76.2]</t>
  </si>
  <si>
    <t>[10.6, 103.2, -38.6, -40.1, -97.1]</t>
  </si>
  <si>
    <t>[2198.1, -87.6, -33.8, 0, 74.9]</t>
  </si>
  <si>
    <t>[6.1, 4.5, -0.5, -0.7, 0.0]</t>
  </si>
  <si>
    <t>[97.5, 28.3, -15.8, -13.7, 0]</t>
  </si>
  <si>
    <t>[0, 0, 0, -92.4, 0]</t>
  </si>
  <si>
    <t>[64.1, 61.6, -74.6, 19.3, 869.3]</t>
  </si>
  <si>
    <t>[52.1, 0, 0, 0, 0]</t>
  </si>
  <si>
    <t>[0, 114.7, 0, 0, 0]</t>
  </si>
  <si>
    <t>[2.0, 2.1, 2.2, 2.0, 1.9]</t>
  </si>
  <si>
    <t>[737.9, -80.4, 0, 0, 0]</t>
  </si>
  <si>
    <t>[71.0, 10.1, -47.8, -31.5, -43.6]</t>
  </si>
  <si>
    <t>[-2.1, -25.5, 38.7, -87.3, -8.7]</t>
  </si>
  <si>
    <t>[0, 0, 0, 4.2, -42.1]</t>
  </si>
  <si>
    <t>[-13.7, 47.8, -12.9, 35.0, 6.9]</t>
  </si>
  <si>
    <t>[-25.8, 18.4, -64.4, -50.5, 0]</t>
  </si>
  <si>
    <t>[-6.9, -61.7, 142.5, 18.0, -50.2]</t>
  </si>
  <si>
    <t>[92.4, 33.7, -3.2, 3.7, -29.7]</t>
  </si>
  <si>
    <t>[2.1, -15.5, 17.4, -15.1, 0]</t>
  </si>
  <si>
    <t>[96.9, -51.4, -44.7, 91.7, -36.3]</t>
  </si>
  <si>
    <t>[159.4, 0, 0, 0, -53.2]</t>
  </si>
  <si>
    <t>[-3.0, -3.3, -8.3, -6.4, 2.6]</t>
  </si>
  <si>
    <t>[-9.0, -41.2, -44.3, 0, 0]</t>
  </si>
  <si>
    <t>[-48.8, -23.2, 0, 0, 0]</t>
  </si>
  <si>
    <t>[0, 455.8, 0, 0, -75.4]</t>
  </si>
  <si>
    <t>[-87.7, 620.5, 60.2, -6.1, 57.2]</t>
  </si>
  <si>
    <t>[0, 0, 0, 0, -70.3]</t>
  </si>
  <si>
    <t>[88.1, 0, 0, 0, 0]</t>
  </si>
  <si>
    <t>[14.8, -62.6, 0, 0, 0]</t>
  </si>
  <si>
    <t>[-47.0, -81.6, 0, 0, 0]</t>
  </si>
  <si>
    <t>[-47.9, 56.6, 13.9, -29.5, 417.4]</t>
  </si>
  <si>
    <t>[-13.0, 500.3, -97.8, 0, 696.5]</t>
  </si>
  <si>
    <t>[166.8, 9.4, -58.8, -71.6, 289.6]</t>
  </si>
  <si>
    <t>[-20.3, 6.0, 45.1, -18.9, -6.4]</t>
  </si>
  <si>
    <t>[0, -78.8, 59.1, 242.8, 0]</t>
  </si>
  <si>
    <t>[45.2, -18.1, 7.6, -8.7, -14.5]</t>
  </si>
  <si>
    <t>[-5.6, -16.4, -10.1, 5.7, 22.8]</t>
  </si>
  <si>
    <t>[0, 0, 1.4, 11.1, 0]</t>
  </si>
  <si>
    <t>[0, 74.6, 179.8, -29.6, -17.0]</t>
  </si>
  <si>
    <t>[239.8, -0.4, 10.6, -58.7, 0]</t>
  </si>
  <si>
    <t>[65.6, -4.4, 52.4, -74.5, -47.2]</t>
  </si>
  <si>
    <t>[-43.5, -19.8, 31.1, 120.3, 0]</t>
  </si>
  <si>
    <t>[-90.1, 59514.4, 109.8, -52.0, 412.5]</t>
  </si>
  <si>
    <t>[136.7, -23.2, 48.4, -59.3, -58.1]</t>
  </si>
  <si>
    <t>[113.7, 44.3, -58.7, -48.9, 0]</t>
  </si>
  <si>
    <t>[146.8, 0, 0, 0, 0]</t>
  </si>
  <si>
    <t>[-81.0, 870.8, 54.3, -36.5, -18.2]</t>
  </si>
  <si>
    <t>[0, 235.0, 45.4, 71.6, -95.1]</t>
  </si>
  <si>
    <t>[52.7, -47.3, -70.3, 40.8, 91.8]</t>
  </si>
  <si>
    <t>[48.5, 38.6, -31.0, 3.8, 5.9]</t>
  </si>
  <si>
    <t>[5.9, 6.7, 6.5, 1.8, 15.2]</t>
  </si>
  <si>
    <t>[-41.2, 42.9, -83.4, -18.0, -86.4]</t>
  </si>
  <si>
    <t>[-42.2, 17.7, 19.7, -32.5, -84.0]</t>
  </si>
  <si>
    <t>[-27.7, 1898.5, -19.4, 0, 0]</t>
  </si>
  <si>
    <t>[-22.3, 49.3, -75.6, -5.9, -71.2]</t>
  </si>
  <si>
    <t>[229.6, -42.2, -36.9, -76.4, 47.4]</t>
  </si>
  <si>
    <t>[1028.4, 0, 0, 0, 0]</t>
  </si>
  <si>
    <t>[nan, nan, nan, 253.5, 8.4]</t>
  </si>
  <si>
    <t>[-22.7, -4.9, 106.2, -25.4, 11.3]</t>
  </si>
  <si>
    <t>[42.5, -60.9, 1367.6, 0, -17.2]</t>
  </si>
  <si>
    <t>[21.9, 0.4, -52.9, -1.7, 0]</t>
  </si>
  <si>
    <t>[-38.3, -23.9, 0, 0, 0]</t>
  </si>
  <si>
    <t>[47.3, 45.5, 6.5, -0.4, -13.6]</t>
  </si>
  <si>
    <t>[-93.1, 0, 0, 0, 0]</t>
  </si>
  <si>
    <t>[5.3, 6.5, -11.9, -12.4, -58.1]</t>
  </si>
  <si>
    <t>[142.4, 48.5, -90.6, 0, 0]</t>
  </si>
  <si>
    <t>[-36.0, 0, 0, 0, 0]</t>
  </si>
  <si>
    <t>[42.6, 728.0, -21.5, 0, 0]</t>
  </si>
  <si>
    <t>[0, -92.4, 78.7, 688.6, -78.2]</t>
  </si>
  <si>
    <t>[-23.2, 278.2, -37.1, 85.7, 8.8]</t>
  </si>
  <si>
    <t>[nan, nan, nan, 330.6, 0]</t>
  </si>
  <si>
    <t>[nan, 23.0, 230.5, 44.2, -92.5]</t>
  </si>
  <si>
    <t>[15.3, 17.4, 10.8, 17.0, 27.1]</t>
  </si>
  <si>
    <t>[-48.1, 54.0, 18.7, -5.0, -31.8]</t>
  </si>
  <si>
    <t>[87.0, -13.8, -0.1, 47.4, 22.6]</t>
  </si>
  <si>
    <t>[3.4, 5.5, 5.0, -5.5, 72.8]</t>
  </si>
  <si>
    <t>[-18.6, 13.2, -13.7, 53.6, 0]</t>
  </si>
  <si>
    <t>[11.6, 12.0, -22.3, 45.9, 1.6]</t>
  </si>
  <si>
    <t>[-62.6, 289.5, 195.0, -63.6, 953.9]</t>
  </si>
  <si>
    <t>[nan, nan, 59.9, 8.9, -14.5]</t>
  </si>
  <si>
    <t>[0, -30.9, 843.1, 124.8, 0]</t>
  </si>
  <si>
    <t>[91.9, 11.6, 591.0, -51.7, nan]</t>
  </si>
  <si>
    <t>[87.1, 3.9, 47.5, -56.3, -16.6]</t>
  </si>
  <si>
    <t>[-45.5, 0, 0, 90.7, 0]</t>
  </si>
  <si>
    <t>[9.6, 696.3, -12.3, -45.8, -15.6]</t>
  </si>
  <si>
    <t>[134.6, 12.7, -2.4, -2.1, 6.7]</t>
  </si>
  <si>
    <t>[49.0, 44.4, -17.1, 16.9, -25.5]</t>
  </si>
  <si>
    <t>[11.4, 33.6, -2.6, -35.9, -76.7]</t>
  </si>
  <si>
    <t>[nan, 347.6, 20.0, -24.9, 196.1]</t>
  </si>
  <si>
    <t>[16.3, 219.3, -65.5, 24.3, -65.0]</t>
  </si>
  <si>
    <t>[153.7, 151.7, -19.8, -16.4, -9.0]</t>
  </si>
  <si>
    <t>[-38.4, 191.6, 130.0, -40.0, 35.0]</t>
  </si>
  <si>
    <t>[0, 0, -19.7, 0, 0]</t>
  </si>
  <si>
    <t>[110.8, 15.4, -23.3, 32.5, 54.4]</t>
  </si>
  <si>
    <t>[0, 0, 371.3, 263.2, -43.8]</t>
  </si>
  <si>
    <t>[34.1, 34.6, -35.7, 14.9, 60.4]</t>
  </si>
  <si>
    <t>[-60.6, 206.2, 321.3, 13.8, -49.7]</t>
  </si>
  <si>
    <t>[-47.4, 0, 0, -41.0, 0]</t>
  </si>
  <si>
    <t>[nan, 99.9, 56.5, 49.1, 48.1]</t>
  </si>
  <si>
    <t>[23.2, -4.4, 41.7, 7.3, -62.0]</t>
  </si>
  <si>
    <t>[0, 821.1, 400.4, -3.7, 0]</t>
  </si>
  <si>
    <t>[45.7, 34.1, 112.2, -82.8, 1077.9]</t>
  </si>
  <si>
    <t>[-46.5, 304.9, 9.0, -62.5, -0.3]</t>
  </si>
  <si>
    <t>[18.8, -5.5, -22.5, 15.0, -5.7]</t>
  </si>
  <si>
    <t>[109.2, 0, 0, 0, 502.3]</t>
  </si>
  <si>
    <t>[21.9, 11.7, -30.2, 8.1, -80.2]</t>
  </si>
  <si>
    <t>[0, 0, 0, 111.0, 54.3]</t>
  </si>
  <si>
    <t>[203.8, -30.5, -11.6, 182.1, -53.1]</t>
  </si>
  <si>
    <t>[109.9, 177.2, 298.2, -52.0, -28.4]</t>
  </si>
  <si>
    <t>[0, 453.9, 0, 0, 52.1]</t>
  </si>
  <si>
    <t>[0, 0, 80.5, -35.3, -45.5]</t>
  </si>
  <si>
    <t>[0, 24.7, -73.0, -75.3, 0]</t>
  </si>
  <si>
    <t>[0, 378.5, -89.9, 1439.2, 0]</t>
  </si>
  <si>
    <t>[-81.7, 652.2, -5.8, 330.5, -95.3]</t>
  </si>
  <si>
    <t>[143.0, 147.7, 45.8, 0.9, -38.7]</t>
  </si>
  <si>
    <t>[nan, -18.3, 25.3, 126.6, -50.8]</t>
  </si>
  <si>
    <t>[61.5, 5.7, -13.2, 42.8, -15.9]</t>
  </si>
  <si>
    <t>[69.7, -27.2, 5.8, 16.6, 3.2]</t>
  </si>
  <si>
    <t>[0, -6.9, 72.7, 7.4, 44.7]</t>
  </si>
  <si>
    <t>[19.5, 3.5, -45.6, 82.9, 14.7]</t>
  </si>
  <si>
    <t>[0, -0.3, -12.0, -11.5, -11.0]</t>
  </si>
  <si>
    <t>[26.7, -10.9, 0.3, -1.6, -31.7]</t>
  </si>
  <si>
    <t>[58.4, -22.3, 12.2, 32.0, -44.5]</t>
  </si>
  <si>
    <t>[nan, 148.8, -77.2, 306.5, -94.0]</t>
  </si>
  <si>
    <t>[nan, 2909.2, -60.1, -19.5, 0]</t>
  </si>
  <si>
    <t>[243.5, 16.1, 23.8, -57.2, -6.9]</t>
  </si>
  <si>
    <t>[39.8, 16.7, 4.2, -78.7, -38.2]</t>
  </si>
  <si>
    <t>[2.4, 80.0, 23.4, 1.9, -18.0]</t>
  </si>
  <si>
    <t>[nan, nan, 339.8, 28.5, 13.6]</t>
  </si>
  <si>
    <t>[5.7, -1.6, 6.5, -62.7, -22.4]</t>
  </si>
  <si>
    <t>[6.1, 21.3, -0.3, 24.0, -8.1]</t>
  </si>
  <si>
    <t>[111.1, -85.1, 455.2, 211.9, 87.1]</t>
  </si>
  <si>
    <t>[-84.2, 0, 0, 103.8, 3.2]</t>
  </si>
  <si>
    <t>[0, 0, 20.6, 146.7, 0]</t>
  </si>
  <si>
    <t>[206.7, -89.4, 287.5, 13.3, -6.4]</t>
  </si>
  <si>
    <t>[73.8, 124.7, 14.8, 2.3, 22.4]</t>
  </si>
  <si>
    <t>[0, 0, -13.2, -31.8, 21.3]</t>
  </si>
  <si>
    <t>[-31.7, 260.3, 46.0, -87.0, 40.2]</t>
  </si>
  <si>
    <t>[97.5, 266.7, -4.8, -1.9, 61.0]</t>
  </si>
  <si>
    <t>[-70.5, 177.8, 116.8, -51.3, 0]</t>
  </si>
  <si>
    <t>[46.2, 0, 0, -24.5, 187.4]</t>
  </si>
  <si>
    <t>[127.2, 49.3, 33.0, 18.4, -8.8]</t>
  </si>
  <si>
    <t>[0, 0, 0, 106.5, 0]</t>
  </si>
  <si>
    <t>[nan, 0, 736.0, 200.1, -14.7]</t>
  </si>
  <si>
    <t>[17.5, 98.5, -23.0, 9.0, 6.9]</t>
  </si>
  <si>
    <t>[23.3, -40.9, 124.7, 27.8, 8.8]</t>
  </si>
  <si>
    <t>[-1.9, 13.8, 1.8, 3.9, -34.6]</t>
  </si>
  <si>
    <t>[0, 0, 0, 41.8, -20.2]</t>
  </si>
  <si>
    <t>[16.3, 6.2, -16.2, 20.0, -14.7]</t>
  </si>
  <si>
    <t>[-26.9, 1.0, 116.5, 1.5, -43.2]</t>
  </si>
  <si>
    <t>[61.5, 40.4, 63.5, 22.5, -8.3]</t>
  </si>
  <si>
    <t>[-3.4, -3.8, 63.8, -54.6, -4.2]</t>
  </si>
  <si>
    <t>[0, 0, 0, 519.0, 7.8]</t>
  </si>
  <si>
    <t>[0, 0, 52.6, 114.6, -3.0]</t>
  </si>
  <si>
    <t>[0, 113.1, -43.6, -37.7, -71.7]</t>
  </si>
  <si>
    <t>[-29.0, 30.1, 105.0, -33.2, 6.9]</t>
  </si>
  <si>
    <t>[61.0, 50.6, -32.7, 13.4, -39.9]</t>
  </si>
  <si>
    <t>[323.0, 28.9, 4.0, -41.0, 0]</t>
  </si>
  <si>
    <t>[-11.9, 0, 25.7, 42.2, -46.9]</t>
  </si>
  <si>
    <t>[nan, 0, 77.6, -43.7, -74.0]</t>
  </si>
  <si>
    <t>[85.2, -8.4, 25.5, -73.1, 126.3]</t>
  </si>
  <si>
    <t>[0, 0, 0, 173.3, -43.1]</t>
  </si>
  <si>
    <t>[20.9, 76.7, 35.1, -34.4, -70.1]</t>
  </si>
  <si>
    <t>[36.7, 51.9, 13.9, -56.8, -62.0]</t>
  </si>
  <si>
    <t>[94.8, 479.0, -86.8, -81.5, 302.1]</t>
  </si>
  <si>
    <t>[12.7, -28.8, 140.2, 24.1, -4.4]</t>
  </si>
  <si>
    <t>[0, -47.4, 0, 0, 0]</t>
  </si>
  <si>
    <t>[-14.5, 0, 4041.8, 28.5, -3.2]</t>
  </si>
  <si>
    <t>[nan, 0, 0, 68.1, 0]</t>
  </si>
  <si>
    <t>[51.6, 6.0, 51.3, -30.4, 8.5]</t>
  </si>
  <si>
    <t>[0, -81.9, 128.0, 85.9, -39.0]</t>
  </si>
  <si>
    <t>[nan, -27.9, -3.4, 61.8, -16.9]</t>
  </si>
  <si>
    <t>[17.7, 165.3, -8.7, -32.7, -32.1]</t>
  </si>
  <si>
    <t>[31.4, 108.1, 43.8, -10.5, 27.4]</t>
  </si>
  <si>
    <t>[-49.9, 0, 0, -68.4, 0]</t>
  </si>
  <si>
    <t>[2888.0, 2871.0, 3185.0, nan]</t>
  </si>
  <si>
    <t>[1934.0, 2039.0, 2037.0, nan]</t>
  </si>
  <si>
    <t>[1015.0, 1098.0, 1242.0, nan]</t>
  </si>
  <si>
    <t>[634.0, 551.0, 521.0, nan]</t>
  </si>
  <si>
    <t>[1484.0, 1491.0, 1496.0, nan]</t>
  </si>
  <si>
    <t>[1225.0, 1629.0, 1724.0, nan]</t>
  </si>
  <si>
    <t>[952.0, 1029.0, 1006.0, nan]</t>
  </si>
  <si>
    <t>[456.0, 392.0, 755.0, nan]</t>
  </si>
  <si>
    <t>[487.0, 474.0, 456.0, nan]</t>
  </si>
  <si>
    <t>[567.0, 575.0, 576.0, nan]</t>
  </si>
  <si>
    <t>[212.0, 168.0, 143.0, nan]</t>
  </si>
  <si>
    <t>[1397.0, 1488.0, 1639.0, nan]</t>
  </si>
  <si>
    <t>[1766.0, 1819.0, 1943.0, 2000.0]</t>
  </si>
  <si>
    <t>[1989.0, 2088.0, 2569.0, nan]</t>
  </si>
  <si>
    <t>[725.0, 750.0, 750.0, nan]</t>
  </si>
  <si>
    <t>[3173.0, 3334.0, 3683.0, nan]</t>
  </si>
  <si>
    <t>[2525.0, 2727.0, 2913.0, nan]</t>
  </si>
  <si>
    <t>[341.0, 686.0, 552.0, nan]</t>
  </si>
  <si>
    <t>[474.0, 522.0, 528.0, nan]</t>
  </si>
  <si>
    <t>[2392.0, 2587.0, 2666.0, nan]</t>
  </si>
  <si>
    <t>[472.0, 499.0, 841.0, nan]</t>
  </si>
  <si>
    <t>[1176.0, 1382.0, 1413.0, nan]</t>
  </si>
  <si>
    <t>[2846.0, 3442.0, 3444.0, nan]</t>
  </si>
  <si>
    <t>[5948.0, 7033.0, 7711.0, nan]</t>
  </si>
  <si>
    <t>[1714.0, 1886.0, 1900.0, nan]</t>
  </si>
  <si>
    <t>[1469.0, 1375.0, 1222.0, nan]</t>
  </si>
  <si>
    <t>[2410.0, 2727.0, 2798.0, 2815.0]</t>
  </si>
  <si>
    <t>[276.0, 331.0, 346.0, nan]</t>
  </si>
  <si>
    <t>[603.0, 589.0, 574.0, nan]</t>
  </si>
  <si>
    <t>[648.0, 617.0, 611.0, nan]</t>
  </si>
  <si>
    <t>[1001.0, 1036.0, 1069.0, nan]</t>
  </si>
  <si>
    <t>[1302.0, 1522.0, 1534.0, nan]</t>
  </si>
  <si>
    <t>[1064.0, 1030.0, 1656.0, nan]</t>
  </si>
  <si>
    <t>[317.0, 336.0, 434.0, nan]</t>
  </si>
  <si>
    <t>[1837.0, 1955.0, 2080.0, nan]</t>
  </si>
  <si>
    <t>[846.0, 1129.0, 1345.0, nan]</t>
  </si>
  <si>
    <t>[2524.0, 2752.0, 3114.0, nan]</t>
  </si>
  <si>
    <t>[1912.0, 1929.0, 2163.0, nan]</t>
  </si>
  <si>
    <t>[1112.0, 962.0, 937.0, nan]</t>
  </si>
  <si>
    <t>[1159.0, 1404.0, 1668.0, nan]</t>
  </si>
  <si>
    <t>[690.0, 724.0, 722.0, nan]</t>
  </si>
  <si>
    <t>[623.0, 721.0, 727.0, nan]</t>
  </si>
  <si>
    <t>[1466.0, 1796.0, 2480.0, 2535.0]</t>
  </si>
  <si>
    <t>[3700.0, 3759.0, 3826.0, nan]</t>
  </si>
  <si>
    <t>[727.0, 739.0, 748.0, nan]</t>
  </si>
  <si>
    <t>[1485.0, 1554.0, 1648.0, nan]</t>
  </si>
  <si>
    <t>[525.0, 509.0, 515.0, nan]</t>
  </si>
  <si>
    <t>[2054.0, 2246.0, 2689.0, nan]</t>
  </si>
  <si>
    <t>[183.0, 234.0, 169.0, nan]</t>
  </si>
  <si>
    <t>[1738.0, 2277.0, 2308.0, nan]</t>
  </si>
  <si>
    <t>[1450.0, 1445.0, 1540.0, nan]</t>
  </si>
  <si>
    <t>[375.0, 341.0, 935.0, nan]</t>
  </si>
  <si>
    <t>[1536.0, 1531.0, 1606.0, nan]</t>
  </si>
  <si>
    <t>[337.0, 369.0, 378.0, nan]</t>
  </si>
  <si>
    <t>[1108.0, 1017.0, 876.0, nan]</t>
  </si>
  <si>
    <t>[1081.0, 1232.0, 1234.0, nan]</t>
  </si>
  <si>
    <t>[2864.0, 2984.0, 3021.0, nan]</t>
  </si>
  <si>
    <t>[2541.0, 2804.0, 3782.0, nan]</t>
  </si>
  <si>
    <t>[3022.0, 3029.0, 3052.0, nan]</t>
  </si>
  <si>
    <t>[908.0, 839.0, 906.0, nan]</t>
  </si>
  <si>
    <t>[4504.0, 4360.0, 4393.0, 4375.0]</t>
  </si>
  <si>
    <t>[1857.0, 2001.0, 1390.0, nan]</t>
  </si>
  <si>
    <t>[1033.0, 1100.0, 1023.0, nan]</t>
  </si>
  <si>
    <t>[422.0, 462.0, 503.0, nan]</t>
  </si>
  <si>
    <t>[9595.0, 10443.0, 10843.0, nan]</t>
  </si>
  <si>
    <t>[208.0, 217.0, 189.0, nan]</t>
  </si>
  <si>
    <t>[658.0, 692.0, 714.0, nan]</t>
  </si>
  <si>
    <t>[1384.0, 1610.0, 1501.0, nan]</t>
  </si>
  <si>
    <t>[1862.0, 1757.0, 1891.0, nan]</t>
  </si>
  <si>
    <t>[789.0, 785.0, 809.0, nan]</t>
  </si>
  <si>
    <t>[1295.0, 1278.0, 1093.0, 970.0]</t>
  </si>
  <si>
    <t>[465.0, 514.0, 327.0, nan]</t>
  </si>
  <si>
    <t>[366.0, 478.0, 507.0, nan]</t>
  </si>
  <si>
    <t>[734.0, 734.0, 705.0, nan]</t>
  </si>
  <si>
    <t>[6659.0, 6484.0, 6724.0, 6450.0]</t>
  </si>
  <si>
    <t>[534.0, 546.0, 559.0, nan]</t>
  </si>
  <si>
    <t>[571.0, 556.0, 569.0, nan]</t>
  </si>
  <si>
    <t>[198.0, 925.0, 762.0, nan]</t>
  </si>
  <si>
    <t>[423.0, 464.0, 561.0, nan]</t>
  </si>
  <si>
    <t>[2075.0, 2517.0, 2578.0, nan]</t>
  </si>
  <si>
    <t>[1598.0, 1612.0, 1826.0, nan]</t>
  </si>
  <si>
    <t>[692.0, 710.0, 737.0, nan]</t>
  </si>
  <si>
    <t>[1652.0, 1662.0, 1668.0, nan]</t>
  </si>
  <si>
    <t>[1085.0, 1293.0, 1327.0, nan]</t>
  </si>
  <si>
    <t>[1379.0, 1457.0, 1465.0, nan]</t>
  </si>
  <si>
    <t>[3222.0, 3303.0, 3423.0, nan]</t>
  </si>
  <si>
    <t>[2942.0, 4261.0, 5257.0, nan]</t>
  </si>
  <si>
    <t>[1916.0, 1976.0, 1939.0, nan]</t>
  </si>
  <si>
    <t>[2748.0, 3320.0, 3553.0, nan]</t>
  </si>
  <si>
    <t>[1561.0, 1609.0, 1681.0, nan]</t>
  </si>
  <si>
    <t>[748.0, 754.0, 775.0, nan]</t>
  </si>
  <si>
    <t>[607.0, 626.0, 649.0, nan]</t>
  </si>
  <si>
    <t>[1647.0, 1876.0, 2017.0, nan]</t>
  </si>
  <si>
    <t>[633.0, 647.0, 766.0, nan]</t>
  </si>
  <si>
    <t>[6323.0, 6209.0, 6351.0, 6540.0]</t>
  </si>
  <si>
    <t>[1403.0, 1449.0, 1491.0, nan]</t>
  </si>
  <si>
    <t>[4729.0, 4354.0, 6084.0, nan]</t>
  </si>
  <si>
    <t>[2901.0, 3087.0, 3238.0, nan]</t>
  </si>
  <si>
    <t>[63587.0, 67655.0, 71568.0, 74848.0]</t>
  </si>
  <si>
    <t>[3527.0, 2932.0, 2997.0, nan]</t>
  </si>
  <si>
    <t>[11717.0, 12360.0, 12107.0, 12402.0]</t>
  </si>
  <si>
    <t>[16739.0, 17082.0, 17172.0, 17456.0]</t>
  </si>
  <si>
    <t>[4136.0, 4474.0, 4580.0, 4864.0]</t>
  </si>
  <si>
    <t>[292954.0, 306305.0, 323300.0, 337611.0]</t>
  </si>
  <si>
    <t>[22168.0, 22896.0, 23175.0, 23438.0]</t>
  </si>
  <si>
    <t>[39554.0, 41325.0, 42420.0, 43218.0]</t>
  </si>
  <si>
    <t>[3650.0, 3820.0, 4030.0, nan]</t>
  </si>
  <si>
    <t>[3618.0, 3048.0, 3403.0, 3777.0]</t>
  </si>
  <si>
    <t>[31401.0, 30369.0, 30918.0, 32049.0]</t>
  </si>
  <si>
    <t>[167155.0, 166960.0, 168984.0, 166015.0]</t>
  </si>
  <si>
    <t>[74884.0, 77275.0, 79920.0, 75787.0]</t>
  </si>
  <si>
    <t>[691035.0, 679740.0, 700658.0, 708445.0]</t>
  </si>
  <si>
    <t>[8454.0, 8224.0, 9892.0, nan]</t>
  </si>
  <si>
    <t>[7015.0, 8452.0, 8273.0, nan]</t>
  </si>
  <si>
    <t>[6691.0, 7140.0, 7415.0, nan]</t>
  </si>
  <si>
    <t>[31037.0, 41314.0, 45104.0, 44150.0]</t>
  </si>
  <si>
    <t>[15444.0, 16845.0, 17318.0, 18371.0]</t>
  </si>
  <si>
    <t>[1005.0, 999.0, 1041.0, nan]</t>
  </si>
  <si>
    <t>[1211.0, 1260.0, 1240.0, nan]</t>
  </si>
  <si>
    <t>[3487.0, 3748.0, 3710.0, nan]</t>
  </si>
  <si>
    <t>[2694.0, 2175.0, 2612.0, nan]</t>
  </si>
  <si>
    <t>[64676.0, 62741.0, 66626.0, 69107.0]</t>
  </si>
  <si>
    <t>[3232.0, 3203.0, 3237.0, nan]</t>
  </si>
  <si>
    <t>[8753.0, 9485.0, 11549.0, nan]</t>
  </si>
  <si>
    <t>[4670.0, 4090.0, 4339.0, 4710.0]</t>
  </si>
  <si>
    <t>[7155.0, 8210.0, 8777.0, 9776.0]</t>
  </si>
  <si>
    <t>[2080.0, 2081.0, 2160.0, nan]</t>
  </si>
  <si>
    <t>[3827.0, 2554.0, 2611.0, 3303.0]</t>
  </si>
  <si>
    <t>[9337.0, 8652.0, 8861.0, 8955.0]</t>
  </si>
  <si>
    <t>[993.0, 983.0, 1181.0, nan]</t>
  </si>
  <si>
    <t>[9255.0, 9907.0, 10456.0, 11126.0]</t>
  </si>
  <si>
    <t>[1586.0, 1485.0, 1006.0, nan]</t>
  </si>
  <si>
    <t>[359.0, 385.0, 411.0, nan]</t>
  </si>
  <si>
    <t>[5231.0, 5663.0, 5906.0, nan]</t>
  </si>
  <si>
    <t>[3460.0, 4393.0, 5057.0, nan]</t>
  </si>
  <si>
    <t>[21794.0, 23696.0, 24861.0, 25820.0]</t>
  </si>
  <si>
    <t>[781.0, 798.0, 810.0, nan]</t>
  </si>
  <si>
    <t>[2689.0, 2699.0, 2947.0, nan]</t>
  </si>
  <si>
    <t>[1612.0, 1588.0, 1470.0, nan]</t>
  </si>
  <si>
    <t>[15337.0, 10002.0, 10010.0, nan]</t>
  </si>
  <si>
    <t>[7172.0, 9165.0, 9097.0, 10426.0]</t>
  </si>
  <si>
    <t>[3313.0, 3403.0, 3336.0, nan]</t>
  </si>
  <si>
    <t>[45413.0, 41854.0, 44253.0, 48518.0]</t>
  </si>
  <si>
    <t>[93516.0, 103069.0, 126859.0, 80160.0]</t>
  </si>
  <si>
    <t>[11843.0, 14156.0, 14188.0, nan]</t>
  </si>
  <si>
    <t>[2423.0, 2694.0, 3304.0, nan]</t>
  </si>
  <si>
    <t>[996.0, 1008.0, 921.0, nan]</t>
  </si>
  <si>
    <t>[725.0, 775.0, 794.0, nan]</t>
  </si>
  <si>
    <t>[1231.0, 1243.0, 1246.0, nan]</t>
  </si>
  <si>
    <t>[370.0, 595.0, 707.0, nan]</t>
  </si>
  <si>
    <t>[2512.0, 2470.0, 2392.0, nan]</t>
  </si>
  <si>
    <t>[2601.0, 2838.0, 2970.0, nan]</t>
  </si>
  <si>
    <t>[876.0, 3034.0, 3321.0, 2794.0]</t>
  </si>
  <si>
    <t>[810.0, 779.0, 786.0, nan]</t>
  </si>
  <si>
    <t>[1905.0, 1881.0, 1852.0, nan]</t>
  </si>
  <si>
    <t>[700.0, 707.0, 712.0, nan]</t>
  </si>
  <si>
    <t>[1249.0, 1394.0, 1579.0, nan]</t>
  </si>
  <si>
    <t>[811.0, 845.0, 872.0, nan]</t>
  </si>
  <si>
    <t>[1125.0, 1706.0, 2163.0, nan]</t>
  </si>
  <si>
    <t>[5009.0, 4846.0, 4487.0, 4693.0]</t>
  </si>
  <si>
    <t>[550.0, 680.0, 717.0, nan]</t>
  </si>
  <si>
    <t>[993.0, 1086.0, 1234.0, nan]</t>
  </si>
  <si>
    <t>[2171.0, 2120.0, 2003.0, nan]</t>
  </si>
  <si>
    <t>[556.0, 743.0, 741.0, nan]</t>
  </si>
  <si>
    <t>[821.0, 801.0, 825.0, nan]</t>
  </si>
  <si>
    <t>[1079.0, 1095.0, 1105.0, nan]</t>
  </si>
  <si>
    <t>[1827.0, 2204.0, 2394.0, 2649.0]</t>
  </si>
  <si>
    <t>[519.0, 628.0, 767.0, nan]</t>
  </si>
  <si>
    <t>[356.0, 467.0, 504.0, nan]</t>
  </si>
  <si>
    <t>[1797.0, 2039.0, 2301.0, 2541.0]</t>
  </si>
  <si>
    <t>[1484.0, 1561.0, 1553.0, nan]</t>
  </si>
  <si>
    <t>[687.0, 727.0, 888.0, nan]</t>
  </si>
  <si>
    <t>[321.0, 331.0, 383.0, nan]</t>
  </si>
  <si>
    <t>[1818.0, 2338.0, 2148.0, nan]</t>
  </si>
  <si>
    <t>[2774.0, 2881.0, 2967.0, nan]</t>
  </si>
  <si>
    <t>[2431.0, 2596.0, 2738.0, 2950.0]</t>
  </si>
  <si>
    <t>[2174.0, 2313.0, 2601.0, nan]</t>
  </si>
  <si>
    <t>[36535.0, 24426.0, 24404.0, nan]</t>
  </si>
  <si>
    <t>[nan, 9045.0, 9082.0, 9140.0]</t>
  </si>
  <si>
    <t>[1096.0, 1086.0, 1158.0, nan]</t>
  </si>
  <si>
    <t>[4016.0, 4052.0, 3935.0, nan]</t>
  </si>
  <si>
    <t>[3769.0, 4060.0, 3966.0, nan]</t>
  </si>
  <si>
    <t>[6293.0, 6820.0, 7120.0, nan]</t>
  </si>
  <si>
    <t>[10283.0, 27632.0, 29465.0, 30993.0]</t>
  </si>
  <si>
    <t>[555.0, 570.0, 575.0, nan]</t>
  </si>
  <si>
    <t>[1024.0, 971.0, 1046.0, nan]</t>
  </si>
  <si>
    <t>[3425.0, 4721.0, 5281.0, nan]</t>
  </si>
  <si>
    <t>[10631.0, 10884.0, 11462.0, 12380.0]</t>
  </si>
  <si>
    <t>[1440.0, 2346.0, 2397.0, nan]</t>
  </si>
  <si>
    <t>[768.0, 799.0, 901.0, nan]</t>
  </si>
  <si>
    <t>[851.0, 947.0, 1025.0, nan]</t>
  </si>
  <si>
    <t>[3383.0, 3537.0, 3775.0, nan]</t>
  </si>
  <si>
    <t>[393.0, 220.0, 321.0, nan]</t>
  </si>
  <si>
    <t>[1471.0, 1501.0, 2424.0, nan]</t>
  </si>
  <si>
    <t>[6450.0, 7255.0, 8313.0, nan]</t>
  </si>
  <si>
    <t>[472.0, 541.0, 558.0, nan]</t>
  </si>
  <si>
    <t>[1212.0, 1301.0, 1459.0, nan]</t>
  </si>
  <si>
    <t>[868.0, 854.0, 861.0, nan]</t>
  </si>
  <si>
    <t>[943.0, 996.0, 1186.0, nan]</t>
  </si>
  <si>
    <t>[1023.0, 1131.0, 1179.0, nan]</t>
  </si>
  <si>
    <t>[2614.0, 2898.0, 3179.0, nan]</t>
  </si>
  <si>
    <t>[981.0, 1017.0, 1091.0, nan]</t>
  </si>
  <si>
    <t>[1139.0, 1052.0, 1118.0, nan]</t>
  </si>
  <si>
    <t>[852.0, 855.0, 439.0, nan]</t>
  </si>
  <si>
    <t>[1218.0, 2049.0, 2170.0, 2487.0]</t>
  </si>
  <si>
    <t>[2157.0, 2382.0, 2648.0, nan]</t>
  </si>
  <si>
    <t>[1578.0, 1724.0, 2123.0, nan]</t>
  </si>
  <si>
    <t>[4192.0, 4240.0, 4314.0, 4328.0]</t>
  </si>
  <si>
    <t>[1507.0, 1518.0, 1585.0, nan]</t>
  </si>
  <si>
    <t>[6287.0, 6030.0, 5682.0, nan]</t>
  </si>
  <si>
    <t>[250.0, 223.0, 270.0, nan]</t>
  </si>
  <si>
    <t>[1658.0, 1773.0, 1940.0, nan]</t>
  </si>
  <si>
    <t>[133.0, 324.0, 297.0, nan]</t>
  </si>
  <si>
    <t>[1043.0, 1066.0, 1107.0, nan]</t>
  </si>
  <si>
    <t>[902.0, 656.0, 713.0, nan]</t>
  </si>
  <si>
    <t>[2529.0, 2596.0, 2717.0, nan]</t>
  </si>
  <si>
    <t>[822.0, 838.0, 980.0, nan]</t>
  </si>
  <si>
    <t>[549.0, 592.0, 585.0, nan]</t>
  </si>
  <si>
    <t>[1438.0, 1453.0, 1487.0, nan]</t>
  </si>
  <si>
    <t>[1193.0, 1284.0, 1405.0, nan]</t>
  </si>
  <si>
    <t>[1162.0, 1149.0, 1195.0, nan]</t>
  </si>
  <si>
    <t>[331.0, 311.0, 302.0, nan]</t>
  </si>
  <si>
    <t>[1112.0, 1104.0, 474.0, nan]</t>
  </si>
  <si>
    <t>[1277.0, 1228.0, 1190.0, nan]</t>
  </si>
  <si>
    <t>[780.0, 894.0, 960.0, nan]</t>
  </si>
  <si>
    <t>[639.0, 716.0, 830.0, nan]</t>
  </si>
  <si>
    <t>[1291.0, 1298.0, 1300.0, nan]</t>
  </si>
  <si>
    <t>[720.0, 714.0, 453.0, nan]</t>
  </si>
  <si>
    <t>[438.0, 550.0, 553.0, nan]</t>
  </si>
  <si>
    <t>[705.0, 742.0, 761.0, nan]</t>
  </si>
  <si>
    <t>[298.0, 1112.0, 1326.0, nan]</t>
  </si>
  <si>
    <t>[785.0, 1071.0, 767.0, nan]</t>
  </si>
  <si>
    <t>[627.0, 664.0, 691.0, nan]</t>
  </si>
  <si>
    <t>[478.0, 492.0, 696.0, nan]</t>
  </si>
  <si>
    <t>[735.0, 832.0, 967.0, nan]</t>
  </si>
  <si>
    <t>[1092.0, 1059.0, 1244.0, nan]</t>
  </si>
  <si>
    <t>[1047.0, 946.0, 899.0, nan]</t>
  </si>
  <si>
    <t>[1071.0, 1259.0, 1217.0, nan]</t>
  </si>
  <si>
    <t>[1091.0, 1321.0, 1583.0, nan]</t>
  </si>
  <si>
    <t>[671.0, 723.0, 773.0, nan]</t>
  </si>
  <si>
    <t>[584.0, 591.0, 522.0, nan]</t>
  </si>
  <si>
    <t>[1385.0, 1484.0, 1618.0, nan]</t>
  </si>
  <si>
    <t>[205.0, 254.0, 360.0, nan]</t>
  </si>
  <si>
    <t>[1591.0, 1830.0, 2403.0, nan]</t>
  </si>
  <si>
    <t>[888.0, 932.0, 826.0, nan]</t>
  </si>
  <si>
    <t>[960.0, 964.0, 966.0, nan]</t>
  </si>
  <si>
    <t>[1544.0, 1487.0, 1620.0, nan]</t>
  </si>
  <si>
    <t>[947.0, 865.0, 940.0, nan]</t>
  </si>
  <si>
    <t>[385.0, 427.0, 378.0, nan]</t>
  </si>
  <si>
    <t>[735.0, 765.0, 809.0, nan]</t>
  </si>
  <si>
    <t>[2380.0, 3054.0, 3274.0, nan]</t>
  </si>
  <si>
    <t>[573.0, 624.0, 674.0, nan]</t>
  </si>
  <si>
    <t>[887.0, 1049.0, 1105.0, nan]</t>
  </si>
  <si>
    <t>[1040.0, 1304.0, 1013.0, nan]</t>
  </si>
  <si>
    <t>[904.0, 922.0, 934.0, nan]</t>
  </si>
  <si>
    <t>[518.0, 526.0, 525.0, nan]</t>
  </si>
  <si>
    <t>[532.0, 602.0, 1243.0, nan]</t>
  </si>
  <si>
    <t>[1132.0, 1253.0, 1118.0, nan]</t>
  </si>
  <si>
    <t>[2181.0, 2408.0, 2779.0, nan]</t>
  </si>
  <si>
    <t>[600.0, 752.0, 815.0, nan]</t>
  </si>
  <si>
    <t>[679.0, 713.0, 755.0, nan]</t>
  </si>
  <si>
    <t>[556.0, 628.0, 727.0, nan]</t>
  </si>
  <si>
    <t>[803.0, 767.0, 806.0, nan]</t>
  </si>
  <si>
    <t>[4323.0, 3799.0, 3984.0, nan]</t>
  </si>
  <si>
    <t>[1650.0, 1497.0, 1531.0, nan]</t>
  </si>
  <si>
    <t>[787.0, 839.0, 880.0, nan]</t>
  </si>
  <si>
    <t>[3411.0, 3622.0, 3785.0, nan]</t>
  </si>
  <si>
    <t>[553.0, 617.0, 675.0, nan]</t>
  </si>
  <si>
    <t>[2009.0, 2557.0, 2831.0, nan]</t>
  </si>
  <si>
    <t>[488.0, 388.0, 403.0, nan]</t>
  </si>
  <si>
    <t>[778.0, 575.0, 568.0, nan]</t>
  </si>
  <si>
    <t>[683.0, 672.0, 669.0, nan]</t>
  </si>
  <si>
    <t>[181.0, 316.0, 393.0, nan]</t>
  </si>
  <si>
    <t>[618.0, 821.0, 1444.0, nan]</t>
  </si>
  <si>
    <t>[5065.0, 5431.0, 5765.0, 5829.0]</t>
  </si>
  <si>
    <t>[304.0, 339.0, 367.0, nan]</t>
  </si>
  <si>
    <t>[439.0, 471.0, 768.0, nan]</t>
  </si>
  <si>
    <t>[2312.0, 2476.0, 2654.0, nan]</t>
  </si>
  <si>
    <t>[600.0, 609.0, 608.0, nan]</t>
  </si>
  <si>
    <t>[104.0, 6.0, 310.0, nan]</t>
  </si>
  <si>
    <t>[1457.0, 1655.0, 2068.0, nan]</t>
  </si>
  <si>
    <t>[552.0, 576.0, 596.0, nan]</t>
  </si>
  <si>
    <t>[2531.0, 2941.0, 3279.0, nan]</t>
  </si>
  <si>
    <t>[1443.0, 1432.0, 1432.0, nan]</t>
  </si>
  <si>
    <t>[1005.0, 1049.0, 1070.0, nan]</t>
  </si>
  <si>
    <t>[965.0, 852.0, 778.0, nan]</t>
  </si>
  <si>
    <t>[13472.0, 16839.0, 17437.0, nan]</t>
  </si>
  <si>
    <t>[3280.0, 3354.0, 3415.0, 3453.0]</t>
  </si>
  <si>
    <t>[930.0, 994.0, 1038.0, nan]</t>
  </si>
  <si>
    <t>[946.0, 1089.0, 1219.0, nan]</t>
  </si>
  <si>
    <t>[835.0, 878.0, 890.0, nan]</t>
  </si>
  <si>
    <t>[2631.0, 3138.0, 3672.0, nan]</t>
  </si>
  <si>
    <t>[1447.0, 1421.0, 1328.0, nan]</t>
  </si>
  <si>
    <t>[730.0, 786.0, 849.0, nan]</t>
  </si>
  <si>
    <t>[3161.0, 3038.0, 2926.0, nan]</t>
  </si>
  <si>
    <t>[739.0, 670.0, 464.0, nan]</t>
  </si>
  <si>
    <t>[1439.0, 1688.0, 2013.0, nan]</t>
  </si>
  <si>
    <t>[1071.0, 922.0, 1181.0, nan]</t>
  </si>
  <si>
    <t>[271.0, 630.0, 760.0, nan]</t>
  </si>
  <si>
    <t>[1067.0, 1403.0, 1506.0, nan]</t>
  </si>
  <si>
    <t>[668.0, 681.0, 1889.0, nan]</t>
  </si>
  <si>
    <t>[1835.0, 1919.0, 1899.0, nan]</t>
  </si>
  <si>
    <t>[140.0, 168.0, 92.0, nan]</t>
  </si>
  <si>
    <t>[973.0, 1025.0, 1007.0, nan]</t>
  </si>
  <si>
    <t>[524.0, 422.0, 390.0, nan]</t>
  </si>
  <si>
    <t>[4075.0, 4256.0, 4398.0, nan]</t>
  </si>
  <si>
    <t>[1925.0, 2141.0, 2383.0, nan]</t>
  </si>
  <si>
    <t>[704.0, 768.0, 844.0, nan]</t>
  </si>
  <si>
    <t>[133.0, 131.0, 133.0, nan]</t>
  </si>
  <si>
    <t>[1245.0, 1390.0, 1540.0, 1637.0]</t>
  </si>
  <si>
    <t>[337.0, 330.0, 351.0, nan]</t>
  </si>
  <si>
    <t>[827.0, 825.0, 1054.0, nan]</t>
  </si>
  <si>
    <t>[3925.0, 4316.0, 4685.0, 5050.0]</t>
  </si>
  <si>
    <t>[175.0, 286.0, 505.0, nan]</t>
  </si>
  <si>
    <t>[463.0, 479.0, 489.0, nan]</t>
  </si>
  <si>
    <t>[757.0, 779.0, 452.0, nan]</t>
  </si>
  <si>
    <t>[1148.0, 2175.0, 2105.0, nan]</t>
  </si>
  <si>
    <t>[877.0, 907.0, 954.0, nan]</t>
  </si>
  <si>
    <t>[752.0, 904.0, 880.0, nan]</t>
  </si>
  <si>
    <t>[226.0, 22.0, 173.0, nan]</t>
  </si>
  <si>
    <t>[266.0, 441.0, 443.0, nan]</t>
  </si>
  <si>
    <t>[394.0, 319.0, 200.0, nan]</t>
  </si>
  <si>
    <t>[198.0, 200.0, 293.0, nan]</t>
  </si>
  <si>
    <t>[659.0, 712.0, 645.0, nan]</t>
  </si>
  <si>
    <t>[1346.0, 1421.0, 1405.0, nan]</t>
  </si>
  <si>
    <t>[955.0, 945.0, 1083.0, nan]</t>
  </si>
  <si>
    <t>[1677.0, 1473.0, 1395.0, nan]</t>
  </si>
  <si>
    <t>[637.0, 757.0, 871.0, nan]</t>
  </si>
  <si>
    <t>[674.0, 695.0, 711.0, nan]</t>
  </si>
  <si>
    <t>[526.0, 513.0, 489.0, nan]</t>
  </si>
  <si>
    <t>[679.0, 701.0, 725.0, nan]</t>
  </si>
  <si>
    <t>[1994.0, 2209.0, 2099.0, nan]</t>
  </si>
  <si>
    <t>[5234.0, 4475.0, 3534.0, nan]</t>
  </si>
  <si>
    <t>[1716.0, 1685.0, 1726.0, nan]</t>
  </si>
  <si>
    <t>[225.0, 250.0, 190.0, nan]</t>
  </si>
  <si>
    <t>[1049.0, 1192.0, 1304.0, nan]</t>
  </si>
  <si>
    <t>[1375.0, 1370.0, 1361.0, nan]</t>
  </si>
  <si>
    <t>[882.0, 1100.0, 1024.0, 991.0]</t>
  </si>
  <si>
    <t>[996.0, 984.0, 986.0, nan]</t>
  </si>
  <si>
    <t>[990.0, 1041.0, 1894.0, nan]</t>
  </si>
  <si>
    <t>[785.0, 1063.0, 1032.0, nan]</t>
  </si>
  <si>
    <t>[360.0, 652.0, 663.0, nan]</t>
  </si>
  <si>
    <t>[1226.0, 1106.0, 1097.0, nan]</t>
  </si>
  <si>
    <t>[1495.0, 1329.0, 1409.0, nan]</t>
  </si>
  <si>
    <t>[1636.0, 1325.0, 1199.0, nan]</t>
  </si>
  <si>
    <t>[449.0, 840.0, 1001.0, nan]</t>
  </si>
  <si>
    <t>[681.0, 678.0, 736.0, nan]</t>
  </si>
  <si>
    <t>[1615.0, 1717.0, 1938.0, nan]</t>
  </si>
  <si>
    <t>[907.0, 872.0, 814.0, nan]</t>
  </si>
  <si>
    <t>[1742.0, 1679.0, 1691.0, nan]</t>
  </si>
  <si>
    <t>[7284.0, 7566.0, 7676.0, nan]</t>
  </si>
  <si>
    <t>[287.0, 441.0, 369.0, nan]</t>
  </si>
  <si>
    <t>[986.0, 1382.0, 1498.0, nan]</t>
  </si>
  <si>
    <t>[414.0, 483.0, 483.0, nan]</t>
  </si>
  <si>
    <t>[1343.0, 1239.0, 1159.0, nan]</t>
  </si>
  <si>
    <t>[390.0, 390.0, 389.0, nan]</t>
  </si>
  <si>
    <t>[2046.0, 2102.0, 2050.0, nan]</t>
  </si>
  <si>
    <t>[3897.0, 4037.0, 5140.0, nan]</t>
  </si>
  <si>
    <t>[769.0, 849.0, 948.0, nan]</t>
  </si>
  <si>
    <t>[1898.0, 1918.0, 1984.0, nan]</t>
  </si>
  <si>
    <t>[133.0, 358.0, 351.0, nan]</t>
  </si>
  <si>
    <t>[536.0, 665.0, 699.0, nan]</t>
  </si>
  <si>
    <t>[3458.0, 3790.0, 4181.0, nan]</t>
  </si>
  <si>
    <t>[1042.0, 1894.0, 2096.0, nan]</t>
  </si>
  <si>
    <t>[1398.0, 1471.0, 1677.0, nan]</t>
  </si>
  <si>
    <t>[519.0, 572.0, 523.0, nan]</t>
  </si>
  <si>
    <t>[755.0, 745.0, 735.0, nan]</t>
  </si>
  <si>
    <t>[242.0, 307.0, 482.0, nan]</t>
  </si>
  <si>
    <t>[1283.0, 1234.0, 1097.0, nan]</t>
  </si>
  <si>
    <t>[1136.0, 1180.0, 1244.0, nan]</t>
  </si>
  <si>
    <t>[708.0, 806.0, 903.0, nan]</t>
  </si>
  <si>
    <t>[2996.0, 2987.0, 3051.0, nan]</t>
  </si>
  <si>
    <t>[3117.0, 2847.0, 2844.0, nan]</t>
  </si>
  <si>
    <t>[1084.0, 1835.0, 1682.0, nan]</t>
  </si>
  <si>
    <t>[2083.0, 2452.0, 2766.0, nan]</t>
  </si>
  <si>
    <t>[1141.0, 1179.0, 1175.0, nan]</t>
  </si>
  <si>
    <t>[976.0, 1022.0, 1062.0, nan]</t>
  </si>
  <si>
    <t>[727.0, 783.0, 829.0, nan]</t>
  </si>
  <si>
    <t>[723.0, 755.0, 946.0, nan]</t>
  </si>
  <si>
    <t>[1032.0, 1086.0, 1180.0, nan]</t>
  </si>
  <si>
    <t>[3168.0, 3308.0, 3264.0, nan]</t>
  </si>
  <si>
    <t>[722.0, 736.0, 753.0, nan]</t>
  </si>
  <si>
    <t>[1366.0, 1370.0, 1291.0, nan]</t>
  </si>
  <si>
    <t>[1598.0, 1801.0, 1831.0, nan]</t>
  </si>
  <si>
    <t>[806.0, 704.0, 697.0, nan]</t>
  </si>
  <si>
    <t>[849.0, 884.0, 868.0, nan]</t>
  </si>
  <si>
    <t>[1390.0, 670.0, 1145.0, nan]</t>
  </si>
  <si>
    <t>[779.0, 750.0, 806.0, nan]</t>
  </si>
  <si>
    <t>[6701.0, 7338.0, 7684.0, nan]</t>
  </si>
  <si>
    <t>[29846.0, 31493.0, 32807.0, 33734.0]</t>
  </si>
  <si>
    <t>[1781.0, 1676.0, 1793.0, 1940.0]</t>
  </si>
  <si>
    <t>[2938.0, 3814.0, 4485.0, nan]</t>
  </si>
  <si>
    <t>[654.0, 395.0, 637.0, nan]</t>
  </si>
  <si>
    <t>[3041.0, 3619.0, 4203.0, 4666.0]</t>
  </si>
  <si>
    <t>[2956.0, 2828.0, 2817.0, nan]</t>
  </si>
  <si>
    <t>[1017.0, 1058.0, 1172.0, nan]</t>
  </si>
  <si>
    <t>[1562.0, 1748.0, 1939.0, 2010.0]</t>
  </si>
  <si>
    <t>[3234.0, 3401.0, 3569.0, nan]</t>
  </si>
  <si>
    <t>[8523.0, 8349.0, 8218.0, nan]</t>
  </si>
  <si>
    <t>[1228.0, 1123.0, 1318.0, nan]</t>
  </si>
  <si>
    <t>[24163.0, 22666.0, 26012.0, nan]</t>
  </si>
  <si>
    <t>[847.0, 937.0, 1061.0, nan]</t>
  </si>
  <si>
    <t>[5931.0, 6325.0, 6812.0, 7416.0]</t>
  </si>
  <si>
    <t>[9061.0, 9750.0, 10398.0, 12140.0]</t>
  </si>
  <si>
    <t>[22540.0, 19257.0, 18497.0, 19258.0]</t>
  </si>
  <si>
    <t>[395.0, 446.0, 509.0, nan]</t>
  </si>
  <si>
    <t>[1768.0, 1871.0, 1935.0, nan]</t>
  </si>
  <si>
    <t>[3447.0, 3549.0, 3538.0, nan]</t>
  </si>
  <si>
    <t>[1313.0, 1309.0, 1305.0, nan]</t>
  </si>
  <si>
    <t>[24741.0, 20115.0, 15625.0, nan]</t>
  </si>
  <si>
    <t>[34275.0, 37396.0, 39791.0, 41504.0]</t>
  </si>
  <si>
    <t>[15937.0, 19169.0, 22226.0, 25479.0]</t>
  </si>
  <si>
    <t>[1502.0, 1596.0, 1727.0, nan]</t>
  </si>
  <si>
    <t>[1546.0, 1562.0, 1747.0, nan]</t>
  </si>
  <si>
    <t>[1293.0, 1355.0, 1341.0, nan]</t>
  </si>
  <si>
    <t>[1293.0, 1325.0, 1366.0, nan]</t>
  </si>
  <si>
    <t>[1730.0, 1856.0, 1992.0, nan]</t>
  </si>
  <si>
    <t>[3410.0, 3397.0, 3540.0, nan]</t>
  </si>
  <si>
    <t>[33934.0, 38402.0, 37549.0, 40610.0]</t>
  </si>
  <si>
    <t>[1220.0, 1303.0, 1391.0, nan]</t>
  </si>
  <si>
    <t>[1596.0, 1608.0, 1602.0, nan]</t>
  </si>
  <si>
    <t>[50643.0, 53900.0, 59373.0, 66728.0]</t>
  </si>
  <si>
    <t>[1106.0, 1064.0, 914.0, nan]</t>
  </si>
  <si>
    <t>[8710.0, 9151.0, 10048.0, 11229.0]</t>
  </si>
  <si>
    <t>[5088.0, 5227.0, 5830.0, nan]</t>
  </si>
  <si>
    <t>[4303.0, 4762.0, 4125.0, nan]</t>
  </si>
  <si>
    <t>[3002.0, 3020.0, 3065.0, nan]</t>
  </si>
  <si>
    <t>[18677.0, 19692.0, 19845.0, 20350.0]</t>
  </si>
  <si>
    <t>[22426.0, 22819.0, 24587.0, 27133.0]</t>
  </si>
  <si>
    <t>[4572.0, 4655.0, 4801.0, nan]</t>
  </si>
  <si>
    <t>[4688.0, 4985.0, 5334.0, nan]</t>
  </si>
  <si>
    <t>[724.0, 748.0, 794.0, nan]</t>
  </si>
  <si>
    <t>[1231.0, 969.0, 1106.0, nan]</t>
  </si>
  <si>
    <t>[761.0, 872.0, 1028.0, nan]</t>
  </si>
  <si>
    <t>[1610.0, 1835.0, 1844.0, nan]</t>
  </si>
  <si>
    <t>[1639.0, 1740.0, 1818.0, nan]</t>
  </si>
  <si>
    <t>[14732.0, 17011.0, 17786.0, 18945.0]</t>
  </si>
  <si>
    <t>[4602.0, 4351.0, 4600.0, 5460.0]</t>
  </si>
  <si>
    <t>[4513.0, 4515.0, 4642.0, nan]</t>
  </si>
  <si>
    <t>[7104.0, 7490.0, 7598.0, nan]</t>
  </si>
  <si>
    <t>[6488.0, 7496.0, 8291.0, 8615.0]</t>
  </si>
  <si>
    <t>[1624.0, 1522.0, 1543.0, nan]</t>
  </si>
  <si>
    <t>[1281.0, 1502.0, 1670.0, nan]</t>
  </si>
  <si>
    <t>[2145.0, 2112.0, 2243.0, nan]</t>
  </si>
  <si>
    <t>[2095.0, 2197.0, 2043.0, nan]</t>
  </si>
  <si>
    <t>[7183.0, 7173.0, 7249.0, nan]</t>
  </si>
  <si>
    <t>[2327.0, 2374.0, 2324.0, nan]</t>
  </si>
  <si>
    <t>[4780.0, 4617.0, 4853.0, nan]</t>
  </si>
  <si>
    <t>[1125.0, 1123.0, 1125.0, nan]</t>
  </si>
  <si>
    <t>[5809.0, 6236.0, 6697.0, nan]</t>
  </si>
  <si>
    <t>[2092.0, 2070.0, 2144.0, nan]</t>
  </si>
  <si>
    <t>[5288.0, 5451.0, 5711.0, 6067.0]</t>
  </si>
  <si>
    <t>[2123.0, 2226.0, 3176.0, nan]</t>
  </si>
  <si>
    <t>[1627.0, 1781.0, 1967.0, nan]</t>
  </si>
  <si>
    <t>[3823.0, 4176.0, 3996.0, nan]</t>
  </si>
  <si>
    <t>[1487.0, 1557.0, 1676.0, nan]</t>
  </si>
  <si>
    <t>[1302.0, 1539.0, 1673.0, nan]</t>
  </si>
  <si>
    <t>[2069.0, 2125.0, 2171.0, nan]</t>
  </si>
  <si>
    <t>[293589.0, 289021.0, 356670.0, 369922.0]</t>
  </si>
  <si>
    <t>[44096.0, 46621.0, 49493.0, 52730.0]</t>
  </si>
  <si>
    <t>[69229.0, 67713.0, 68964.0, 55107.0]</t>
  </si>
  <si>
    <t>[119912.0, 123465.0, 142999.0, 148795.0]</t>
  </si>
  <si>
    <t>[10825.0, 10947.0, 11094.0, nan]</t>
  </si>
  <si>
    <t>[2716.0, 2928.0, 3287.0, nan]</t>
  </si>
  <si>
    <t>[13735.0, 14116.0, 14196.0, nan]</t>
  </si>
  <si>
    <t>[3090.0, 3338.0, 3607.0, nan]</t>
  </si>
  <si>
    <t>[4708.0, 4805.0, 4844.0, 4728.0]</t>
  </si>
  <si>
    <t>[1250.0, 1369.0, 1416.0, nan]</t>
  </si>
  <si>
    <t>[1857.0, 1894.0, 1912.0, nan]</t>
  </si>
  <si>
    <t>[4941.0, 5425.0, 6020.0, nan]</t>
  </si>
  <si>
    <t>[2301.0, 2304.0, 2323.0, nan]</t>
  </si>
  <si>
    <t>[6385.0, 6604.0, 6839.0, nan]</t>
  </si>
  <si>
    <t>[5473.0, 5633.0, 9658.0, nan]</t>
  </si>
  <si>
    <t>[126586.0, 117054.0, 106136.0, 101984.0]</t>
  </si>
  <si>
    <t>[11927.0, 13779.0, 14931.0, 16068.0]</t>
  </si>
  <si>
    <t>[8247.0, 11748.0, 12096.0, nan]</t>
  </si>
  <si>
    <t>[61148.0, 71130.0, 66998.0, 66310.0]</t>
  </si>
  <si>
    <t>[13128.0, 12273.0, 12121.0, 12027.0]</t>
  </si>
  <si>
    <t>[114896.0, 127347.0, 132044.0, 133104.0]</t>
  </si>
  <si>
    <t>[6654.0, 6825.0, 7075.0, 7634.0]</t>
  </si>
  <si>
    <t>[20258.0, 20619.0, 19219.0, nan]</t>
  </si>
  <si>
    <t>[20576.0, 24734.0, 27485.0, nan]</t>
  </si>
  <si>
    <t>[2479.0, 2501.0, 2579.0, nan]</t>
  </si>
  <si>
    <t>[32129.0, 33734.0, 39195.0, 44963.0]</t>
  </si>
  <si>
    <t>[17732.0, 22765.0, 24324.0, 26480.0]</t>
  </si>
  <si>
    <t>[3957.0, 4030.0, 4079.0, nan]</t>
  </si>
  <si>
    <t>[5631.0, 6168.0, 6138.0, 5950.0]</t>
  </si>
  <si>
    <t>[4105.0, 4491.0, 4381.0, nan]</t>
  </si>
  <si>
    <t>[5358.0, 5064.0, 5149.0, nan]</t>
  </si>
  <si>
    <t>[1018.0, 1100.0, 1113.0, nan]</t>
  </si>
  <si>
    <t>[656.0, 551.0, 695.0, nan]</t>
  </si>
  <si>
    <t>[73567.0, 83136.0, 91278.0, 96646.0]</t>
  </si>
  <si>
    <t>[20516.0, 20650.0, 23365.0, nan]</t>
  </si>
  <si>
    <t>[2133.0, 2119.0, 2140.0, nan]</t>
  </si>
  <si>
    <t>[5201.0, 9839.0, 10397.0, nan]</t>
  </si>
  <si>
    <t>[3389.0, 2990.0, 2747.0, nan]</t>
  </si>
  <si>
    <t>[160026.0, 179987.0, 188270.0, 203960.0]</t>
  </si>
  <si>
    <t>[2433.0, 2472.0, 3411.0, nan]</t>
  </si>
  <si>
    <t>[7601.0, 7789.0, 8175.0, nan]</t>
  </si>
  <si>
    <t>[4346.0, 4350.0, 4664.0, 5071.0]</t>
  </si>
  <si>
    <t>[6127.0, 6058.0, 6315.0, nan]</t>
  </si>
  <si>
    <t>[2274.0, 2494.0, 2788.0, nan]</t>
  </si>
  <si>
    <t>[118188.0, 132027.0, 136668.0, 141414.0]</t>
  </si>
  <si>
    <t>[4844.0, 5196.0, 5717.0, nan]</t>
  </si>
  <si>
    <t>[1541.0, 1563.0, 1586.0, nan]</t>
  </si>
  <si>
    <t>[1612.0, 1602.0, 1683.0, nan]</t>
  </si>
  <si>
    <t>[10925.0, 11733.0, 12213.0, 12459.0]</t>
  </si>
  <si>
    <t>[143735.0, 139792.0, 113405.0, 109858.0]</t>
  </si>
  <si>
    <t>[1827.0, 1883.0, 1923.0, nan]</t>
  </si>
  <si>
    <t>[11944.0, 11285.0, 11715.0, 14424.0]</t>
  </si>
  <si>
    <t>[52329.0, 68532.0, 70809.0, 76580.0]</t>
  </si>
  <si>
    <t>[9856.0, 9167.0, 9142.0, 9728.0]</t>
  </si>
  <si>
    <t>[9871.0, 10527.0, 9513.0, 9668.0]</t>
  </si>
  <si>
    <t>[27217.0, 31636.0, 31662.0, 32497.0]</t>
  </si>
  <si>
    <t>[6229.0, 6381.0, 5194.0, nan]</t>
  </si>
  <si>
    <t>[15066.0, 15823.0, 15788.0, 16612.0]</t>
  </si>
  <si>
    <t>[48306.0, 50476.0, 53851.0, 58246.0]</t>
  </si>
  <si>
    <t>[981.0, 1063.0, 1109.0, nan]</t>
  </si>
  <si>
    <t>[2506.0, 2610.0, 2833.0, nan]</t>
  </si>
  <si>
    <t>[1621.0, 1748.0, 1794.0, nan]</t>
  </si>
  <si>
    <t>[58552.0, 57300.0, 44519.0, 44381.0]</t>
  </si>
  <si>
    <t>[6706.0, 6127.0, 6090.0, 5473.0]</t>
  </si>
  <si>
    <t>[3383.0, 3444.0, 3542.0, nan]</t>
  </si>
  <si>
    <t>[7082.0, 14991.0, 15026.0, 15180.0]</t>
  </si>
  <si>
    <t>[70576.0, 76270.0, 82837.0, 87237.0]</t>
  </si>
  <si>
    <t>[3994.0, 4074.0, 4343.0, nan]</t>
  </si>
  <si>
    <t>[39298.0, 40587.0, 45096.0, 47420.0]</t>
  </si>
  <si>
    <t>[2162.0, 2187.0, 2258.0, nan]</t>
  </si>
  <si>
    <t>[1391.0, 1376.0, 2110.0, nan]</t>
  </si>
  <si>
    <t>[6096.0, 6577.0, 6997.0, nan]</t>
  </si>
  <si>
    <t>[46280.0, 50978.0, 59490.0, 64590.0]</t>
  </si>
  <si>
    <t>[39052.0, 43369.0, 46170.0, 49653.0]</t>
  </si>
  <si>
    <t>[4854.0, 4806.0, 4917.0, nan]</t>
  </si>
  <si>
    <t>[1395.0, 1460.0, 1538.0, nan]</t>
  </si>
  <si>
    <t>[340387.0, 357039.0, 385339.0, 414637.0]</t>
  </si>
  <si>
    <t>[1301.0, 1361.0, 1419.0, nan]</t>
  </si>
  <si>
    <t>[11743.0, 12381.0, 11407.0, nan]</t>
  </si>
  <si>
    <t>[77302.0, 84904.0, 88778.0, 86602.0]</t>
  </si>
  <si>
    <t>[31673.0, 35485.0, 39747.0, 42753.0]</t>
  </si>
  <si>
    <t>[3674.0, 3826.0, 3591.0, nan]</t>
  </si>
  <si>
    <t>[28034.0, 19217.0, 21585.0, nan]</t>
  </si>
  <si>
    <t>[1968.0, 2076.0, 1686.0, nan]</t>
  </si>
  <si>
    <t>[2798.0, 2823.0, 2835.0, nan]</t>
  </si>
  <si>
    <t>[nan, 18444.0, 22317.0, 26781.0]</t>
  </si>
  <si>
    <t>[24295.0, 31317.0, 34699.0, 37399.0]</t>
  </si>
  <si>
    <t>[33523.0, 34294.0, 26357.0, 25516.0]</t>
  </si>
  <si>
    <t>[437329.0, 433713.0, 444719.0, 451110.0]</t>
  </si>
  <si>
    <t>[2338.0, 2313.0, 2450.0, nan]</t>
  </si>
  <si>
    <t>[3927.0, 3563.0, 3765.0, 4310.0]</t>
  </si>
  <si>
    <t>[1824.0, 1874.0, 1845.0, nan]</t>
  </si>
  <si>
    <t>[13656.0, 13640.0, 13766.0, nan]</t>
  </si>
  <si>
    <t>[881.0, 901.0, 977.0, nan]</t>
  </si>
  <si>
    <t>[2061.0, 2225.0, 2205.0, nan]</t>
  </si>
  <si>
    <t>[5794.0, 6207.0, 6612.0, nan]</t>
  </si>
  <si>
    <t>[8158.0, 8814.0, 9609.0, nan]</t>
  </si>
  <si>
    <t>[4582.0, 4886.0, 5166.0, nan]</t>
  </si>
  <si>
    <t>[1484.0, 1599.0, 1682.0, nan]</t>
  </si>
  <si>
    <t>[2725.0, 2848.0, 2717.0, nan]</t>
  </si>
  <si>
    <t>[985.0, 1035.0, 996.0, nan]</t>
  </si>
  <si>
    <t>[2243.0, 2336.0, 2372.0, nan]</t>
  </si>
  <si>
    <t>[6045.0, 6075.0, 6171.0, nan]</t>
  </si>
  <si>
    <t>[268612.0, 272435.0, 289781.0, 299812.0]</t>
  </si>
  <si>
    <t>[196974.0, 209829.0, 226618.0, 245711.0]</t>
  </si>
  <si>
    <t>[8950.0, 8888.0, 9122.0, nan]</t>
  </si>
  <si>
    <t>[9171.0, 9592.0, 10302.0, nan]</t>
  </si>
  <si>
    <t>[13355.0, 14248.0, 15543.0, 15744.0]</t>
  </si>
  <si>
    <t>[2990.0, 3078.0, 3224.0, nan]</t>
  </si>
  <si>
    <t>[3812.0, 3653.0, 3653.0, nan]</t>
  </si>
  <si>
    <t>[8620.0, 8946.0, 9207.0, nan]</t>
  </si>
  <si>
    <t>[1208.0, 1267.0, 1233.0, nan]</t>
  </si>
  <si>
    <t>[10570.0, 11999.0, 13362.0, nan]</t>
  </si>
  <si>
    <t>[3380.0, 3914.0, 4534.0, nan]</t>
  </si>
  <si>
    <t>[561.0, 546.0, 545.0, nan]</t>
  </si>
  <si>
    <t>[6992.0, 7088.0, 7416.0, nan]</t>
  </si>
  <si>
    <t>[3529.0, 3994.0, 4067.0, nan]</t>
  </si>
  <si>
    <t>[5997.0, 6586.0, 7662.0, nan]</t>
  </si>
  <si>
    <t>[5554.0, 5600.0, 5804.0, 5185.0]</t>
  </si>
  <si>
    <t>[6932.0, 7065.0, 5823.0, nan]</t>
  </si>
  <si>
    <t>[1928.0, 1969.0, 2049.0, nan]</t>
  </si>
  <si>
    <t>[1241.0, 1271.0, 1301.0, nan]</t>
  </si>
  <si>
    <t>[2408.0, 4350.0, 4412.0, nan]</t>
  </si>
  <si>
    <t>[1604.0, 1577.0, 1657.0, nan]</t>
  </si>
  <si>
    <t>[1451.0, 1463.0, 1503.0, nan]</t>
  </si>
  <si>
    <t>[136601.0, 166275.0, 166858.0, 170111.0]</t>
  </si>
  <si>
    <t>[14973.0, 15662.0, 16608.0, 18902.0]</t>
  </si>
  <si>
    <t>[23702.0, 23366.0, 21634.0, 21689.0]</t>
  </si>
  <si>
    <t>[10936.0, 14495.0, 16827.0, nan]</t>
  </si>
  <si>
    <t>[180858.0, 181226.0, 174681.0, 150412.0]</t>
  </si>
  <si>
    <t>[4370.0, 5415.0, 5701.0, nan]</t>
  </si>
  <si>
    <t>[178421.0, 224708.0, 229568.0, 237811.0]</t>
  </si>
  <si>
    <t>[993.0, 2212.0, 2375.0, nan]</t>
  </si>
  <si>
    <t>[1477.0, 1834.0, 1077.0, nan]</t>
  </si>
  <si>
    <t>[1165.0, 1172.0, 1180.0, nan]</t>
  </si>
  <si>
    <t>[2589.0, 2592.0, 2567.0, nan]</t>
  </si>
  <si>
    <t>[4849.0, 5174.0, 5266.0, nan]</t>
  </si>
  <si>
    <t>[2938.0, 3201.0, 3392.0, nan]</t>
  </si>
  <si>
    <t>[1950.0, 2047.0, 2099.0, nan]</t>
  </si>
  <si>
    <t>[516.0, 517.0, 533.0, nan]</t>
  </si>
  <si>
    <t>[2855.0, 2765.0, 2788.0, nan]</t>
  </si>
  <si>
    <t>[1951.0, 1868.0, 1135.0, nan]</t>
  </si>
  <si>
    <t>[1219.0, 1304.0, 1429.0, nan]</t>
  </si>
  <si>
    <t>[18297.0, 15602.0, 15294.0, 15806.0]</t>
  </si>
  <si>
    <t>[10079.0, 10056.0, 13605.0, 13967.0]</t>
  </si>
  <si>
    <t>[3034.0, 3188.0, 2471.0, nan]</t>
  </si>
  <si>
    <t>[548.0, 667.0, 584.0, nan]</t>
  </si>
  <si>
    <t>[2291.0, 2227.0, 2262.0, nan]</t>
  </si>
  <si>
    <t>[1204.0, 1255.0, 1295.0, nan]</t>
  </si>
  <si>
    <t>[480.0, 427.0, 414.0, nan]</t>
  </si>
  <si>
    <t>[3053.0, 2999.0, 3078.0, nan]</t>
  </si>
  <si>
    <t>[1397.0, 1419.0, 1455.0, nan]</t>
  </si>
  <si>
    <t>[12295.0, 15446.0, 18435.0, 19987.0]</t>
  </si>
  <si>
    <t>[8878.0, 11452.0, 13758.0, nan]</t>
  </si>
  <si>
    <t>[29658.0, 30412.0, 32565.0, nan]</t>
  </si>
  <si>
    <t>[975.0, 1026.0, 1105.0, nan]</t>
  </si>
  <si>
    <t>[977.0, 1111.0, 1195.0, nan]</t>
  </si>
  <si>
    <t>[1669.0, 1663.0, 1662.0, nan]</t>
  </si>
  <si>
    <t>[1025.0, 1047.0, 1001.0, nan]</t>
  </si>
  <si>
    <t>[3042.0, 3450.0, 3632.0, nan]</t>
  </si>
  <si>
    <t>[18479.0, 18761.0, 19261.0, nan]</t>
  </si>
  <si>
    <t>[6925.0, 7792.0, 7982.0, nan]</t>
  </si>
  <si>
    <t>[1008.0, 1024.0, 938.0, nan]</t>
  </si>
  <si>
    <t>[328202.0, 357256.0, 391779.0, 440625.0]</t>
  </si>
  <si>
    <t>[21833.0, 20965.0, 20158.0, 21029.0]</t>
  </si>
  <si>
    <t>[321.0, 340.0, 342.0, nan]</t>
  </si>
  <si>
    <t>[3019.0, 2040.0, 1659.0, nan]</t>
  </si>
  <si>
    <t>[223.0, 231.0, 306.0, nan]</t>
  </si>
  <si>
    <t>[6800.0, 7364.0, 7771.0, nan]</t>
  </si>
  <si>
    <t>[4607.0, 5335.0, 5849.0, nan]</t>
  </si>
  <si>
    <t>[2636.0, 2697.0, 1845.0, nan]</t>
  </si>
  <si>
    <t>[3785.0, 3795.0, 3661.0, nan]</t>
  </si>
  <si>
    <t>[7547.0, 7078.0, 6007.0, nan]</t>
  </si>
  <si>
    <t>[2888.0, 2990.0, 3079.0, nan]</t>
  </si>
  <si>
    <t>[21630.0, 22376.0, 24560.0, nan]</t>
  </si>
  <si>
    <t>[2127.0, 3650.0, 4498.0, nan]</t>
  </si>
  <si>
    <t>[7032.0, 7524.0, 8140.0, 8520.0]</t>
  </si>
  <si>
    <t>[1758.0, 1741.0, 1760.0, nan]</t>
  </si>
  <si>
    <t>[6392.0, 5394.0, 5509.0, nan]</t>
  </si>
  <si>
    <t>[5573.0, 5873.0, 5918.0, nan]</t>
  </si>
  <si>
    <t>[3578.0, 6095.0, 6737.0, nan]</t>
  </si>
  <si>
    <t>[509.0, 429.0, 295.0, nan]</t>
  </si>
  <si>
    <t>[10994.0, 11895.0, 12638.0, nan]</t>
  </si>
  <si>
    <t>[3180.0, 3003.0, 3037.0, nan]</t>
  </si>
  <si>
    <t>[1263.0, 1075.0, 1155.0, nan]</t>
  </si>
  <si>
    <t>[7080.0, 7517.0, 7896.0, nan]</t>
  </si>
  <si>
    <t>[4594.0, 4560.0, 4585.0, nan]</t>
  </si>
  <si>
    <t>[1523.0, 1791.0, 1785.0, nan]</t>
  </si>
  <si>
    <t>[1104.0, 1047.0, 1012.0, nan]</t>
  </si>
  <si>
    <t>[82417.0, 81723.0, 88087.0, 91696.0]</t>
  </si>
  <si>
    <t>[2650.0, 2614.0, 2760.0, nan]</t>
  </si>
  <si>
    <t>[413.0, 369.0, 489.0, nan]</t>
  </si>
  <si>
    <t>[6870.0, 7045.0, 7037.0, nan]</t>
  </si>
  <si>
    <t>[3228.0, 3243.0, 3455.0, nan]</t>
  </si>
  <si>
    <t>[1317.0, 1640.0, 3870.0, nan]</t>
  </si>
  <si>
    <t>[843.0, 902.0, 912.0, nan]</t>
  </si>
  <si>
    <t>[1077.0, 1063.0, 1017.0, nan]</t>
  </si>
  <si>
    <t>[1710.0, 1801.0, 1850.0, nan]</t>
  </si>
  <si>
    <t>[1935.0, 2187.0, 2266.0, nan]</t>
  </si>
  <si>
    <t>[349.0, 586.0, 833.0, nan]</t>
  </si>
  <si>
    <t>[2257.0, 2373.0, 2750.0, nan]</t>
  </si>
  <si>
    <t>[1170.0, 1094.0, 1140.0, nan]</t>
  </si>
  <si>
    <t>[4082.0, 4142.0, 3958.0, nan]</t>
  </si>
  <si>
    <t>[nan, nan, 215104.0, 226141.0]</t>
  </si>
  <si>
    <t>[1818.0, 1740.0, 1727.0, nan]</t>
  </si>
  <si>
    <t>[4048.0, 4730.0, 4977.0, nan]</t>
  </si>
  <si>
    <t>[2030.0, 4903.0, 3935.0, nan]</t>
  </si>
  <si>
    <t>[726.0, 793.0, 840.0, nan]</t>
  </si>
  <si>
    <t>[1656.0, 1594.0, 1734.0, nan]</t>
  </si>
  <si>
    <t>[1834.0, 1803.0, 1846.0, nan]</t>
  </si>
  <si>
    <t>[6515.0, 6576.0, 7110.0, nan]</t>
  </si>
  <si>
    <t>[1563.0, 1551.0, 1568.0, nan]</t>
  </si>
  <si>
    <t>[1158.0, 1110.0, 1152.0, nan]</t>
  </si>
  <si>
    <t>[1489.0, 1250.0, 845.0, nan]</t>
  </si>
  <si>
    <t>[770.0, 1091.0, 1070.0, nan]</t>
  </si>
  <si>
    <t>[3003.0, 3162.0, 4781.0, 3870.0]</t>
  </si>
  <si>
    <t>[892.0, 877.0, 905.0, nan]</t>
  </si>
  <si>
    <t>[1339.0, 1342.0, 1039.0, nan]</t>
  </si>
  <si>
    <t>[1693.0, 1836.0, 2020.0, nan]</t>
  </si>
  <si>
    <t>[1943.0, 1972.0, 1976.0, 1910.0]</t>
  </si>
  <si>
    <t>[1208.0, 1282.0, 1420.0, nan]</t>
  </si>
  <si>
    <t>[3737.0, 3868.0, 4003.0, nan]</t>
  </si>
  <si>
    <t>[2631.0, 2544.0, 2188.0, nan]</t>
  </si>
  <si>
    <t>[1469.0, 1479.0, 1390.0, nan]</t>
  </si>
  <si>
    <t>[6756.0, 6909.0, 7101.0, nan]</t>
  </si>
  <si>
    <t>[1232.0, 1294.0, 1405.0, nan]</t>
  </si>
  <si>
    <t>[1614.0, 1537.0, 1466.0, nan]</t>
  </si>
  <si>
    <t>[38561.0, 43166.0, 50037.0, 54088.0]</t>
  </si>
  <si>
    <t>[3158.0, 3191.0, 3230.0, nan]</t>
  </si>
  <si>
    <t>[78133.0, 81928.0, 78533.0, 77095.0]</t>
  </si>
  <si>
    <t>[3227.0, 3165.0, 3196.0, nan]</t>
  </si>
  <si>
    <t>[856.0, 755.0, 643.0, nan]</t>
  </si>
  <si>
    <t>[4973.0, 4842.0, 4356.0, nan]</t>
  </si>
  <si>
    <t>[1361.0, 1284.0, 1277.0, nan]</t>
  </si>
  <si>
    <t>[238737.0, 264292.0, 281245.0, 304861.0]</t>
  </si>
  <si>
    <t>[5017.0, 4892.0, 5252.0, nan]</t>
  </si>
  <si>
    <t>[6724.0, 7033.0, 7125.0, nan]</t>
  </si>
  <si>
    <t>[7746.0, 8136.0, 8164.0, nan]</t>
  </si>
  <si>
    <t>[2169.0, 2320.0, 2478.0, nan]</t>
  </si>
  <si>
    <t>[5120.0, 5931.0, 6620.0, 7759.0]</t>
  </si>
  <si>
    <t>[28098.0, 28873.0, 30477.0, 32328.0]</t>
  </si>
  <si>
    <t>[1663.0, 1678.0, 1701.0, nan]</t>
  </si>
  <si>
    <t>[12396.0, 12577.0, 12843.0, 12908.0]</t>
  </si>
  <si>
    <t>[1645.0, 1797.0, 1906.0, nan]</t>
  </si>
  <si>
    <t>[1342.0, 1389.0, 1451.0, nan]</t>
  </si>
  <si>
    <t>[2552.0, 2618.0, 2695.0, nan]</t>
  </si>
  <si>
    <t>[563.0, 452.0, 322.0, nan]</t>
  </si>
  <si>
    <t>[1144.0, 1016.0, 955.0, nan]</t>
  </si>
  <si>
    <t>[1387.0, 986.0, 1525.0, nan]</t>
  </si>
  <si>
    <t>[2196.0, 2224.0, 2130.0, nan]</t>
  </si>
  <si>
    <t>[900.0, 837.0, 863.0, nan]</t>
  </si>
  <si>
    <t>[111214.0, 118822.0, 115669.0, 116040.0]</t>
  </si>
  <si>
    <t>[1415.0, 1500.0, 1615.0, nan]</t>
  </si>
  <si>
    <t>[1194.0, 1182.0, 1072.0, nan]</t>
  </si>
  <si>
    <t>[5070.0, 4789.0, 4224.0, nan]</t>
  </si>
  <si>
    <t>[6669.0, 6545.0, 6111.0, nan]</t>
  </si>
  <si>
    <t>[716814.0, 697439.0, 674963.0, 689298.0]</t>
  </si>
  <si>
    <t>[9124.0, 9436.0, 9640.0, nan]</t>
  </si>
  <si>
    <t>[2875.0, 2895.0, 2640.0, nan]</t>
  </si>
  <si>
    <t>[13071.0, 13772.0, 13818.0, 14503.0]</t>
  </si>
  <si>
    <t>[8897.0, 9820.0, 10542.0, nan]</t>
  </si>
  <si>
    <t>[378.0, 401.0, 630.0, nan]</t>
  </si>
  <si>
    <t>[3809.0, 4119.0, 4316.0, nan]</t>
  </si>
  <si>
    <t>[5778.0, 6613.0, 6991.0, 7440.0]</t>
  </si>
  <si>
    <t>[1345.0, 1483.0, 1726.0, nan]</t>
  </si>
  <si>
    <t>[2753.0, 3644.0, 4184.0, nan]</t>
  </si>
  <si>
    <t>[8558.0, 8716.0, 8706.0, nan]</t>
  </si>
  <si>
    <t>[4796.0, 5098.0, 5180.0, nan]</t>
  </si>
  <si>
    <t>[34218.0, 34691.0, 39265.0, 35735.0]</t>
  </si>
  <si>
    <t>[9569.0, 10144.0, 11552.0, nan]</t>
  </si>
  <si>
    <t>[1597.0, 1956.0, 1976.0, nan]</t>
  </si>
  <si>
    <t>[3151.0, 3169.0, 3151.0, 3107.0]</t>
  </si>
  <si>
    <t>[1032.0, 971.0, 709.0, nan]</t>
  </si>
  <si>
    <t>[1391.0, 1244.0, 900.0, nan]</t>
  </si>
  <si>
    <t>[27063.0, 30863.0, 31790.0, nan]</t>
  </si>
  <si>
    <t>[1861.0, 2271.0, 2364.0, nan]</t>
  </si>
  <si>
    <t>[3048.0, 3083.0, 3094.0, nan]</t>
  </si>
  <si>
    <t>[1148.0, 1306.0, 1337.0, nan]</t>
  </si>
  <si>
    <t>[11189.0, 11524.0, 11390.0, nan]</t>
  </si>
  <si>
    <t>[18363.0, 18596.0, 18473.0, 18580.0]</t>
  </si>
  <si>
    <t>[1078.0, 1107.0, 1111.0, 1115.0]</t>
  </si>
  <si>
    <t>[365.0, 2257.0, 1889.0, 1174.0]</t>
  </si>
  <si>
    <t>[18678.0, 19386.0, 19656.0, nan]</t>
  </si>
  <si>
    <t>[2139.0, 2191.0, 2175.0, nan]</t>
  </si>
  <si>
    <t>[1650.0, 1317.0, 1166.0, nan]</t>
  </si>
  <si>
    <t>[nan, 5535.0, 5712.0, nan]</t>
  </si>
  <si>
    <t>[3844.0, 4206.0, 4439.0, nan]</t>
  </si>
  <si>
    <t>[12370.0, 9413.0, 9649.0, nan]</t>
  </si>
  <si>
    <t>[3116.0, 3154.0, 3172.0, nan]</t>
  </si>
  <si>
    <t>[2210.0, 2024.0, 1755.0, nan]</t>
  </si>
  <si>
    <t>[23890.0, 26438.0, 28864.0, 30997.0]</t>
  </si>
  <si>
    <t>[4228.0, 4073.0, 4154.0, nan]</t>
  </si>
  <si>
    <t>[3898.0, 4346.0, 4479.0, nan]</t>
  </si>
  <si>
    <t>[3159.0, 3058.0, 2930.0, nan]</t>
  </si>
  <si>
    <t>[3779.0, 3584.0, 3734.0, nan]</t>
  </si>
  <si>
    <t>[835.0, 1852.0, 1612.0, nan]</t>
  </si>
  <si>
    <t>[182.0, 190.0, 266.0, nan]</t>
  </si>
  <si>
    <t>[740.0, 810.0, 993.0, nan]</t>
  </si>
  <si>
    <t>[nan, 3672.0, 4547.0, 4568.0]</t>
  </si>
  <si>
    <t>[108.0, 211.0, 1034.0, nan]</t>
  </si>
  <si>
    <t>[15246.0, 20415.0, 22340.0, 27467.0]</t>
  </si>
  <si>
    <t>[9051.0, 9841.0, 10634.0, 11076.0]</t>
  </si>
  <si>
    <t>[3226.0, 3676.0, 4578.0, nan]</t>
  </si>
  <si>
    <t>[2214.0, 2613.0, 2945.0, 3561.0]</t>
  </si>
  <si>
    <t>[126.0, 385.0, 458.0, nan]</t>
  </si>
  <si>
    <t>[866.0, 949.0, 1077.0, nan]</t>
  </si>
  <si>
    <t>[1663.0, 1923.0, 1992.0, nan]</t>
  </si>
  <si>
    <t>[2875.0, 3470.0, 4036.0, 4551.0]</t>
  </si>
  <si>
    <t>[443.0, 525.0, 693.0, nan]</t>
  </si>
  <si>
    <t>[89.0, 183.0, 303.0, nan]</t>
  </si>
  <si>
    <t>[337.0, 489.0, 745.0, nan]</t>
  </si>
  <si>
    <t>[211.0, 367.0, 419.0, nan]</t>
  </si>
  <si>
    <t>[428.0, 614.0, 1452.0, 1582.0]</t>
  </si>
  <si>
    <t>[573.0, 735.0, 796.0, nan]</t>
  </si>
  <si>
    <t>[260.0, 565.0, 674.0, nan]</t>
  </si>
  <si>
    <t>[2196.0, 2597.0, 3409.0, 3551.0]</t>
  </si>
  <si>
    <t>[243.0, 413.0, 467.0, nan]</t>
  </si>
  <si>
    <t>[1960.0, 2191.0, 2485.0, 2696.0]</t>
  </si>
  <si>
    <t>[7773.0, 7849.0, 8754.0, 9505.0]</t>
  </si>
  <si>
    <t>[18427.0, 23473.0, 26286.0, 30884.0]</t>
  </si>
  <si>
    <t>[1399.0, 2423.0, 2491.0, nan]</t>
  </si>
  <si>
    <t>[2458.0, 2654.0, 2862.0, nan]</t>
  </si>
  <si>
    <t>[432.0, 501.0, 700.0, nan]</t>
  </si>
  <si>
    <t>[39893.0, 42602.0, 46703.0, 50829.0]</t>
  </si>
  <si>
    <t>[1786.0, 2132.0, 2468.0, 2629.0]</t>
  </si>
  <si>
    <t>[497.0, 880.0, 1382.0, 1390.0]</t>
  </si>
  <si>
    <t>[1151.0, 1317.0, 1570.0, nan]</t>
  </si>
  <si>
    <t>[841.0, 952.0, 1097.0, nan]</t>
  </si>
  <si>
    <t>[26.0, 96.0, 159.0, nan]</t>
  </si>
  <si>
    <t>[33749.0, 47828.0, 48809.0, 57061.0]</t>
  </si>
  <si>
    <t>[971.0, 1170.0, 1240.0, 1370.0]</t>
  </si>
  <si>
    <t>[77721.0, 80793.0, 86506.0, 90805.0]</t>
  </si>
  <si>
    <t>[87.0, 42.0, 181.0, nan]</t>
  </si>
  <si>
    <t>[357.0, 361.0, 393.0, nan]</t>
  </si>
  <si>
    <t>[186.0, 268.0, 379.0, nan]</t>
  </si>
  <si>
    <t>[599.0, 623.0, 748.0, nan]</t>
  </si>
  <si>
    <t>[681.0, 1264.0, 1528.0, 1740.0]</t>
  </si>
  <si>
    <t>[143.0, 284.0, 583.0, nan]</t>
  </si>
  <si>
    <t>[1528.0, 1879.0, 2795.0, 3497.0]</t>
  </si>
  <si>
    <t>[140.0, 377.0, 383.0, nan]</t>
  </si>
  <si>
    <t>[92.0, 248.0, 340.0, nan]</t>
  </si>
  <si>
    <t>[648.0, 805.0, 1055.0, nan]</t>
  </si>
  <si>
    <t>[2960.0, 3941.0, 4830.0, 5444.0]</t>
  </si>
  <si>
    <t>[972.0, 1086.0, 1364.0, nan]</t>
  </si>
  <si>
    <t>[713.0, 754.0, 858.0, nan]</t>
  </si>
  <si>
    <t>[1262.0, 1408.0, 1614.0, 1780.0]</t>
  </si>
  <si>
    <t>[120.0, 159.0, 312.0, nan]</t>
  </si>
  <si>
    <t>[833.0, 898.0, 1021.0, nan]</t>
  </si>
  <si>
    <t>[809.0, 2054.0, 2203.0, nan]</t>
  </si>
  <si>
    <t>[1674.0, 1845.0, 2022.0, nan]</t>
  </si>
  <si>
    <t>[470.0, 502.0, 541.0, nan]</t>
  </si>
  <si>
    <t>[246.0, 308.0, 474.0, nan]</t>
  </si>
  <si>
    <t>[91.0, 232.0, 247.0, nan]</t>
  </si>
  <si>
    <t>[613.0, 770.0, 817.0, nan]</t>
  </si>
  <si>
    <t>[1210.0, 1575.0, 1564.0, 1650.0]</t>
  </si>
  <si>
    <t>[403.0, 551.0, 1106.0, nan]</t>
  </si>
  <si>
    <t>[12.0, 295.0, 441.0, 690.0]</t>
  </si>
  <si>
    <t>[902.0, 1056.0, 1036.0, nan]</t>
  </si>
  <si>
    <t>[936.0, 1017.0, 1265.0, nan]</t>
  </si>
  <si>
    <t>[1795.0, 2049.0, 2923.0, 4419.0]</t>
  </si>
  <si>
    <t>[535.0, 489.0, 686.0, nan]</t>
  </si>
  <si>
    <t>[50.0, 71.0, 268.0, nan]</t>
  </si>
  <si>
    <t>[1352.0, 1515.0, 1660.0, 1907.0]</t>
  </si>
  <si>
    <t>[1665.0, 2085.0, 2439.0, 2829.0]</t>
  </si>
  <si>
    <t>[144.0, 210.0, 271.0, nan]</t>
  </si>
  <si>
    <t>[338153.0, 468457.0, 479284.0, 509384.0]</t>
  </si>
  <si>
    <t>[891.0, 1084.0, 1287.0, nan]</t>
  </si>
  <si>
    <t>[927.0, 1403.0, 1594.0, 1643.0]</t>
  </si>
  <si>
    <t>[492.0, 609.0, 683.0, nan]</t>
  </si>
  <si>
    <t>[2848.0, 3152.0, 3673.0, nan]</t>
  </si>
  <si>
    <t>[476.0, 593.0, 1057.0, 1179.0]</t>
  </si>
  <si>
    <t>[-11.0, 20.0, 99.0, nan]</t>
  </si>
  <si>
    <t>[70.0, 106.0, 694.0, 834.0]</t>
  </si>
  <si>
    <t>[1196.0, 1321.0, 1415.0, 1597.0]</t>
  </si>
  <si>
    <t>[253.0, 232.0, 512.0, nan]</t>
  </si>
  <si>
    <t>[490.0, 556.0, 651.0, nan]</t>
  </si>
  <si>
    <t>[1065.0, 1244.0, 1397.0, 1480.0]</t>
  </si>
  <si>
    <t>[1869.0, 2133.0, 2494.0, nan]</t>
  </si>
  <si>
    <t>[59603.0, 62500.0, 67154.0, 70929.0]</t>
  </si>
  <si>
    <t>[1030.0, 1206.0, 1397.0, 1521.0]</t>
  </si>
  <si>
    <t>[243.0, 450.0, 596.0, nan]</t>
  </si>
  <si>
    <t>[1812.0, 2100.0, 2239.0, nan]</t>
  </si>
  <si>
    <t>[332.0, 372.0, 470.0, nan]</t>
  </si>
  <si>
    <t>[975.0, 1187.0, 1527.0, nan]</t>
  </si>
  <si>
    <t>[260.0, 317.0, 667.0, nan]</t>
  </si>
  <si>
    <t>[2359.0, 2810.0, 3075.0, 3356.0]</t>
  </si>
  <si>
    <t>[859.0, 1513.0, 1670.0, 1792.0]</t>
  </si>
  <si>
    <t>[1884.0, 2051.0, 2428.0, 2155.0]</t>
  </si>
  <si>
    <t>[191.0, 269.0, 554.0, nan]</t>
  </si>
  <si>
    <t>[128.0, 215.0, 727.0, nan]</t>
  </si>
  <si>
    <t>[10647.0, 10667.0, 10983.0, 11911.0]</t>
  </si>
  <si>
    <t>[221.0, 284.0, 377.0, nan]</t>
  </si>
  <si>
    <t>[980.0, 1297.0, 2246.0, 2709.0]</t>
  </si>
  <si>
    <t>[1178.0, 3091.0, 3385.0, 3393.0]</t>
  </si>
  <si>
    <t>[1619.0, 1941.0, 2069.0, 2298.0]</t>
  </si>
  <si>
    <t>[3280.0, 3347.0, 3341.0, nan]</t>
  </si>
  <si>
    <t>[4046.0, 5183.0, 6472.0, 7618.0]</t>
  </si>
  <si>
    <t>[869.0, 809.0, 1359.0, nan]</t>
  </si>
  <si>
    <t>[155.0, 214.0, 412.0, 517.0]</t>
  </si>
  <si>
    <t>[26.0, 161.0, 754.0, 1117.0]</t>
  </si>
  <si>
    <t>[401.0, 512.0, 646.0, nan]</t>
  </si>
  <si>
    <t>[7990.0, 9917.0, 12497.0, 14365.0]</t>
  </si>
  <si>
    <t>[1315.0, 1762.0, 3741.0, 4524.0]</t>
  </si>
  <si>
    <t>[5809.0, 6474.0, 6528.0, 6849.0]</t>
  </si>
  <si>
    <t>[561.0, 705.0, 519.0, nan]</t>
  </si>
  <si>
    <t>[792.0, 1057.0, 1126.0, nan]</t>
  </si>
  <si>
    <t>[5.27, 0.39, 15.18, nan]</t>
  </si>
  <si>
    <t>[5.55, 5.63, 0.66, nan]</t>
  </si>
  <si>
    <t>[3.7, 8.93, 13.31, nan]</t>
  </si>
  <si>
    <t>[11.87, -0.4, 5.3, nan]</t>
  </si>
  <si>
    <t>[3.22, 2.01, 3.61, nan]</t>
  </si>
  <si>
    <t>[9.49, 5.29, 7.85, nan]</t>
  </si>
  <si>
    <t>[5.71, 7.58, 0.98, nan]</t>
  </si>
  <si>
    <t>[-42.35, -22.45, 10.08, nan]</t>
  </si>
  <si>
    <t>[1.11, -1.23, -7.24, nan]</t>
  </si>
  <si>
    <t>[4.55, 4.52, 3.66, nan]</t>
  </si>
  <si>
    <t>[-51.29, -53.67, -62.7, nan]</t>
  </si>
  <si>
    <t>[6.21, 9.76, 14.22, nan]</t>
  </si>
  <si>
    <t>[8.55, 8.77, 7.81, 4.08]</t>
  </si>
  <si>
    <t>[15.57, 6.23, 1.19, nan]</t>
  </si>
  <si>
    <t>[6.89, 3.2, -0.59, nan]</t>
  </si>
  <si>
    <t>[12.03, 9.83, 11.57, nan]</t>
  </si>
  <si>
    <t>[0.18, 9.68, 8.01, nan]</t>
  </si>
  <si>
    <t>[-13.16, -7.78, -23.47, nan]</t>
  </si>
  <si>
    <t>[20.63, 18.7, 9.11, nan]</t>
  </si>
  <si>
    <t>[-0.68, 9.12, 4.83, nan]</t>
  </si>
  <si>
    <t>[13.48, 6.55, 50.67, nan]</t>
  </si>
  <si>
    <t>[42.16, 22.5, 5.89, nan]</t>
  </si>
  <si>
    <t>[14.03, 7.8, 1.5, nan]</t>
  </si>
  <si>
    <t>[18.31, 18.79, 11.49, nan]</t>
  </si>
  <si>
    <t>[11.1, 10.07, 1.39, nan]</t>
  </si>
  <si>
    <t>[5.67, -4.48, -11.74, nan]</t>
  </si>
  <si>
    <t>[9.93, 11.72, 3.38, 0.89]</t>
  </si>
  <si>
    <t>[3.1, 2.83, 0.0, nan]</t>
  </si>
  <si>
    <t>[0.12, 0.35, -0.96, nan]</t>
  </si>
  <si>
    <t>[9.97, 0.07, 0.51, nan]</t>
  </si>
  <si>
    <t>[9.95, 3.56, 5.1, nan]</t>
  </si>
  <si>
    <t>[2.85, 9.12, 1.64, nan]</t>
  </si>
  <si>
    <t>[10.98, -4.07, 47.51, nan]</t>
  </si>
  <si>
    <t>[0, 9.54, 4.49, nan, 22.12]</t>
  </si>
  <si>
    <t>[6.66, 6.69, 6.19, nan]</t>
  </si>
  <si>
    <t>[-0.25, 30.75, 19.02, nan]</t>
  </si>
  <si>
    <t>[14.33, 10.66, 13.32, nan]</t>
  </si>
  <si>
    <t>[2.75, 2.54, 11.69, nan]</t>
  </si>
  <si>
    <t>[1.65, -11.14, -0.74, nan]</t>
  </si>
  <si>
    <t>[23.78, 22.26, 18.34, nan]</t>
  </si>
  <si>
    <t>[7.3, 3.01, 0.96, nan]</t>
  </si>
  <si>
    <t>[14.93, 12.75, 2.05, nan]</t>
  </si>
  <si>
    <t>[3.48, 20.58, 26.2, 9.49]</t>
  </si>
  <si>
    <t>[5.41, 2.82, 3.58, nan]</t>
  </si>
  <si>
    <t>[3.49, 3.96, 2.99, nan]</t>
  </si>
  <si>
    <t>[8.88, 11.19, 7.4, nan]</t>
  </si>
  <si>
    <t>[6.16, -0.47, 3.81, nan]</t>
  </si>
  <si>
    <t>[7.73, 9.79, 18.68, nan]</t>
  </si>
  <si>
    <t>[-36.99, -102.28, -102.2, nan]</t>
  </si>
  <si>
    <t>[5.45, 14.28, 3.05, nan]</t>
  </si>
  <si>
    <t>[7.07, 4.19, 0.56, nan]</t>
  </si>
  <si>
    <t>[-4.23, -11.67, 6.35, nan]</t>
  </si>
  <si>
    <t>[1.92, 3.15, 7.97, nan]</t>
  </si>
  <si>
    <t>[8.58, 9.55, 3.58, nan]</t>
  </si>
  <si>
    <t>[-9.16, -15.79, -16.33, nan]</t>
  </si>
  <si>
    <t>[24.19, 17.46, 1.28, nan]</t>
  </si>
  <si>
    <t>[31.06, 14.41, 3.28, nan]</t>
  </si>
  <si>
    <t>[13.36, 13.22, 18.62, 31.99]</t>
  </si>
  <si>
    <t>[1.97, 3.42, 1.65, nan]</t>
  </si>
  <si>
    <t>[14.45, 5.9, 8.19, nan]</t>
  </si>
  <si>
    <t>[-3.55, -1.88, 1.41, 0.39]</t>
  </si>
  <si>
    <t>[12.4, 9.04, -37.95, nan]</t>
  </si>
  <si>
    <t>[7.1, 7.97, -5.59, nan]</t>
  </si>
  <si>
    <t>[14.84, 12.14, 9.37, nan]</t>
  </si>
  <si>
    <t>[3.34, 2.42, 3.69, nan]</t>
  </si>
  <si>
    <t>[-38.8, -19.65, -11.04, nan]</t>
  </si>
  <si>
    <t>[5.68, 5.34, 4.87, nan]</t>
  </si>
  <si>
    <t>[18.52, 14.53, -5.21, nan]</t>
  </si>
  <si>
    <t>[3.49, 3.21, 7.2, nan]</t>
  </si>
  <si>
    <t>[-2.05, -1.58, 2.73, nan]</t>
  </si>
  <si>
    <t>[-1.77, -1.51, -14.76, -21.82]</t>
  </si>
  <si>
    <t>[-21.69, -31.36, -44.62, nan]</t>
  </si>
  <si>
    <t>[-3.69, -9.07, -14.44, nan]</t>
  </si>
  <si>
    <t>[5.43, -1.05, -1.67, nan]</t>
  </si>
  <si>
    <t>[-1.52, -1.58, 0.01, -5.77]</t>
  </si>
  <si>
    <t>[6.76, 3.16, 3.46, nan]</t>
  </si>
  <si>
    <t>[9.5, -0.24, 5.74, nan]</t>
  </si>
  <si>
    <t>[-82.89, 153.19, -22.31, nan]</t>
  </si>
  <si>
    <t>[8.77, 13.28, 11.98, nan]</t>
  </si>
  <si>
    <t>[-0.86, 1.02, 1.41, nan]</t>
  </si>
  <si>
    <t>[1.29, 1.1, -4.69, nan]</t>
  </si>
  <si>
    <t>[6.86, 4.26, 4.83, nan]</t>
  </si>
  <si>
    <t>[1.86, 1.16, 1.09, nan]</t>
  </si>
  <si>
    <t>[11.73, 20.6, 3.66, nan]</t>
  </si>
  <si>
    <t>[16.24, 10.29, 6.57, nan]</t>
  </si>
  <si>
    <t>[11.49, 12.12, 4.07, nan]</t>
  </si>
  <si>
    <t>[40.99, 37.93, 26.51, nan]</t>
  </si>
  <si>
    <t>[3.39, 2.08, -7.4, nan]</t>
  </si>
  <si>
    <t>[2.65, 19.45, 8.37, nan]</t>
  </si>
  <si>
    <t>[3.8, 5.55, 6.2, nan]</t>
  </si>
  <si>
    <t>[2.36, 1.87, 4.57, nan]</t>
  </si>
  <si>
    <t>[3.29, 4.18, 5.18, nan]</t>
  </si>
  <si>
    <t>[17.28, 7.62, 7.12, nan]</t>
  </si>
  <si>
    <t>[4.38, 2.49, 17.15, nan]</t>
  </si>
  <si>
    <t>[5.9, -0.69, 2.96, 3.74]</t>
  </si>
  <si>
    <t>[4.54, 5.07, 4.45, nan]</t>
  </si>
  <si>
    <t>[7.9, 7.28, 13.08, nan]</t>
  </si>
  <si>
    <t>[-1.78, 6.6, 6.57, nan]</t>
  </si>
  <si>
    <t>[9.73, 7.96, 6.03, 5.23]</t>
  </si>
  <si>
    <t>[-8.13, -17.68, 2.24, nan]</t>
  </si>
  <si>
    <t>[nan, 7.47, 0.26, 1.72]</t>
  </si>
  <si>
    <t>[7.12, 6.1, 3.2, 4.94]</t>
  </si>
  <si>
    <t>[10.69, 9.03, 4.3, 6.66]</t>
  </si>
  <si>
    <t>[5.43, 6.3, 7.28, 5.24]</t>
  </si>
  <si>
    <t>[20.05, 3.77, 2.31, 2.84]</t>
  </si>
  <si>
    <t>[6.63, 5.91, 4.64, 2.67]</t>
  </si>
  <si>
    <t>[5.55, 5.2, 5.55, nan]</t>
  </si>
  <si>
    <t>[6.29, -2.64, 5.07, 9.58]</t>
  </si>
  <si>
    <t>[-1.97, -1.8, 1.8, 3.98]</t>
  </si>
  <si>
    <t>[4.35, 2.39, 0.1, -0.89]</t>
  </si>
  <si>
    <t>[nan, 3.53, 2.2, -2.54]</t>
  </si>
  <si>
    <t>[5.92, 2.2, 4.32, 2.57]</t>
  </si>
  <si>
    <t>[6.04, 6.06, 7.93, nan]</t>
  </si>
  <si>
    <t>[15.08, 13.82, 3.38, nan]</t>
  </si>
  <si>
    <t>[6.71, 5.77, 5.19, nan]</t>
  </si>
  <si>
    <t>[15.61, 10.33, 6.23, 9.16]</t>
  </si>
  <si>
    <t>[8.16, 10.32, 5.03, 8.19]</t>
  </si>
  <si>
    <t>[1.99, -0.3, 4.55, nan]</t>
  </si>
  <si>
    <t>[4.29, 3.88, 2.26, -4.68]</t>
  </si>
  <si>
    <t>[13.5, 13.61, 2.06, nan]</t>
  </si>
  <si>
    <t>[-14.23, -13.82, 9.62, nan]</t>
  </si>
  <si>
    <t>[3.15, 5.99, 6.3, 4.56]</t>
  </si>
  <si>
    <t>[7.45, 1.31, 2.13, nan]</t>
  </si>
  <si>
    <t>[6.57, 7.95, 9.36, nan]</t>
  </si>
  <si>
    <t>[-11.11, -8.9, 6.0, 7.74]</t>
  </si>
  <si>
    <t>[25.66, 21.75, 12.72, 9.89]</t>
  </si>
  <si>
    <t>[-9.81, 0.72, 5.35, nan]</t>
  </si>
  <si>
    <t>[12.8, -3.82, 0.97, 25.33]</t>
  </si>
  <si>
    <t>[4.64, 1.46, 4.69, 3.95]</t>
  </si>
  <si>
    <t>[9.08, 7.06, 20.64, 11.26]</t>
  </si>
  <si>
    <t>[5.96, 7.56, 8.37, 7.64]</t>
  </si>
  <si>
    <t>[4.75, 2.61, -35.15, nan]</t>
  </si>
  <si>
    <t>[7.11, 9.62, 7.94, nan]</t>
  </si>
  <si>
    <t>[8.81, 7.49, 6.92, nan]</t>
  </si>
  <si>
    <t>[23.63, 41.29, 15.21, nan]</t>
  </si>
  <si>
    <t>[-2.14, 1.42, 5.45, 4.07]</t>
  </si>
  <si>
    <t>[6.03, 4.24, 2.01, nan]</t>
  </si>
  <si>
    <t>[1.83, 1.73, 7.85, nan]</t>
  </si>
  <si>
    <t>[6.16, -4.66, -6.98, nan]</t>
  </si>
  <si>
    <t>[3.79, 40.39, 1.38, nan]</t>
  </si>
  <si>
    <t>[-6.1, 5.6, -0.34, 1.43]</t>
  </si>
  <si>
    <t>[-33.57, 2.69, 8.98, nan]</t>
  </si>
  <si>
    <t>[9.06, 10.73, 2.09, 9.16]</t>
  </si>
  <si>
    <t>[6.54, 4.22, 0.87, 3.56]</t>
  </si>
  <si>
    <t>[14.27, 6.29, -4.67, nan]</t>
  </si>
  <si>
    <t>[15.42, 7.94, 19.66, nan]</t>
  </si>
  <si>
    <t>[1.09, 1.97, -7.77, nan]</t>
  </si>
  <si>
    <t>[5.84, 7.73, 3.18, nan]</t>
  </si>
  <si>
    <t>[0.47, -0.55, -4.93, nan]</t>
  </si>
  <si>
    <t>[38.96, 21.35, 15.65, nan]</t>
  </si>
  <si>
    <t>[-0.33, -1.31, 0.56, nan]</t>
  </si>
  <si>
    <t>[11.73, 13.14, 6.68, nan]</t>
  </si>
  <si>
    <t>[32.95, 15.59, 6.86, 8.73]</t>
  </si>
  <si>
    <t>[2.07, -2.0, 1.15, nan]</t>
  </si>
  <si>
    <t>[2.43, 0.36, -0.78, nan]</t>
  </si>
  <si>
    <t>[4.09, 3.07, 2.79, nan]</t>
  </si>
  <si>
    <t>[5.67, 3.89, 12.08, nan]</t>
  </si>
  <si>
    <t>[5.38, 6.49, 5.4, nan]</t>
  </si>
  <si>
    <t>[17.97, 14.99, 11.22, nan]</t>
  </si>
  <si>
    <t>[-4.2, -1.45, -6.89, 5.51]</t>
  </si>
  <si>
    <t>[2.61, 9.65, 4.8, nan]</t>
  </si>
  <si>
    <t>[14.33, 13.35, 13.75, nan]</t>
  </si>
  <si>
    <t>[4.76, -1.26, -2.47, nan]</t>
  </si>
  <si>
    <t>[15.18, 7.9, 2.43, nan]</t>
  </si>
  <si>
    <t>[-0.39, -0.55, 2.07, nan]</t>
  </si>
  <si>
    <t>[2.79, 4.86, 4.0, nan]</t>
  </si>
  <si>
    <t>[11.76, 19.69, 12.04, 13.13]</t>
  </si>
  <si>
    <t>[13.04, 19.56, 9.85, 7.96]</t>
  </si>
  <si>
    <t>[-0.15, -1.8, 0.95, nan]</t>
  </si>
  <si>
    <t>[22.14, 15.94, 13.88, 11.53]</t>
  </si>
  <si>
    <t>[-3.99, 5.42, 0.36, nan]</t>
  </si>
  <si>
    <t>[5.92, 11.94, 19.0, nan]</t>
  </si>
  <si>
    <t>[4.55, 3.67, 15.19, nan]</t>
  </si>
  <si>
    <t>[348.19, 0.59, -1.22, nan]</t>
  </si>
  <si>
    <t>[3.18, 4.48, 2.55, nan]</t>
  </si>
  <si>
    <t>[11.73, 8.56, 7.01, 8.79]</t>
  </si>
  <si>
    <t>[9.66, 6.48, 10.23, nan]</t>
  </si>
  <si>
    <t>[8.95, 110.16, 4.25, -1.98]</t>
  </si>
  <si>
    <t>[nan, nan, 1.45, 0.66]</t>
  </si>
  <si>
    <t>[17.42, 24.28, 7.1, nan]</t>
  </si>
  <si>
    <t>[5.64, 4.58, -0.07, 8.39]</t>
  </si>
  <si>
    <t>[0.97, 4.39, -3.13, nan]</t>
  </si>
  <si>
    <t>[14.44, 7.69, 5.51, nan]</t>
  </si>
  <si>
    <t>[13.45, 8.58, 3.65, 4.33]</t>
  </si>
  <si>
    <t>[1.3, -7.76, 1.26, nan]</t>
  </si>
  <si>
    <t>[2.9, 0.74, 15.27, nan]</t>
  </si>
  <si>
    <t>[16.67, 15.94, 10.32, nan]</t>
  </si>
  <si>
    <t>[10.1, 12.46, 9.81, 10.03]</t>
  </si>
  <si>
    <t>[18.52, 5.47, -4.44, nan]</t>
  </si>
  <si>
    <t>[9.9, 5.43, 7.57, nan]</t>
  </si>
  <si>
    <t>[15.18, 14.18, 10.84, nan]</t>
  </si>
  <si>
    <t>[6.93, 6.97, 7.72, nan]</t>
  </si>
  <si>
    <t>[-42.05, -53.58, 35.12, nan]</t>
  </si>
  <si>
    <t>[8.21, 7.58, 49.82, nan]</t>
  </si>
  <si>
    <t>[6.85, 14.53, 15.06, nan]</t>
  </si>
  <si>
    <t>[-42.36, -26.68, -45.34, nan]</t>
  </si>
  <si>
    <t>[3.95, 5.57, 5.79, nan]</t>
  </si>
  <si>
    <t>[-5.12, 2.16, -0.14, nan]</t>
  </si>
  <si>
    <t>[7.13, 6.39, 18.91, nan]</t>
  </si>
  <si>
    <t>[10.92, 12.88, 7.12, nan]</t>
  </si>
  <si>
    <t>[8.61, 12.72, 10.12, nan]</t>
  </si>
  <si>
    <t>[6.01, 4.85, 8.5, nan]</t>
  </si>
  <si>
    <t>[10.98, -12.7, 4.69, nan]</t>
  </si>
  <si>
    <t>[-66.94, -62.85, -70.96, nan]</t>
  </si>
  <si>
    <t>[32.15, 20.69, 11.77, 15.59]</t>
  </si>
  <si>
    <t>[13.58, 11.08, 9.0, nan]</t>
  </si>
  <si>
    <t>[8.72, 10.15, 18.76, nan]</t>
  </si>
  <si>
    <t>[-3.8, 2.39, 2.53, 0.49]</t>
  </si>
  <si>
    <t>[4.69, 1.22, 4.75, nan]</t>
  </si>
  <si>
    <t>[-0.94, -5.31, -5.77, nan]</t>
  </si>
  <si>
    <t>[2.11, -52.2, 19.28, nan]</t>
  </si>
  <si>
    <t>[8.06, 11.45, 11.88, nan]</t>
  </si>
  <si>
    <t>[668.93, 22.72, -10.37, 4.71]</t>
  </si>
  <si>
    <t>[2.97, 3.21, 5.13, nan]</t>
  </si>
  <si>
    <t>[-3.84, -26.55, 2.0, nan]</t>
  </si>
  <si>
    <t>[8.08, 11.04, 3.57, nan]</t>
  </si>
  <si>
    <t>[3.62, 2.54, 2.44, nan]</t>
  </si>
  <si>
    <t>[2.8, 4.63, -3.81, nan]</t>
  </si>
  <si>
    <t>[2.05, 1.7, 2.76, nan]</t>
  </si>
  <si>
    <t>[8.19, 9.88, 10.64, nan]</t>
  </si>
  <si>
    <t>[1.71, 3.47, 4.89, nan]</t>
  </si>
  <si>
    <t>[12.23, -5.38, -2.17, nan]</t>
  </si>
  <si>
    <t>[14.07, -12.36, -102.75, nan]</t>
  </si>
  <si>
    <t>[6.48, -2.75, -3.54, nan]</t>
  </si>
  <si>
    <t>[20.38, 18.93, 12.7, nan]</t>
  </si>
  <si>
    <t>[16.04, 11.08, 14.9, nan]</t>
  </si>
  <si>
    <t>[79.98, 6.22, 1.21, nan]</t>
  </si>
  <si>
    <t>[-4.79, 0.34, -57.29, nan]</t>
  </si>
  <si>
    <t>[19.27, 21.73, 1.74, nan]</t>
  </si>
  <si>
    <t>[5.19, 7.34, 5.58, nan]</t>
  </si>
  <si>
    <t>[-1.45, -33.13, 2.76, nan]</t>
  </si>
  <si>
    <t>[-17.42, -14.25, -77.64, nan]</t>
  </si>
  <si>
    <t>[8.4, 8.99, 6.34, nan]</t>
  </si>
  <si>
    <t>[12.36, 11.68, 10.89, nan]</t>
  </si>
  <si>
    <t>[18.13, 13.06, 25.44, nan]</t>
  </si>
  <si>
    <t>[4.55, 3.46, 18.58, nan]</t>
  </si>
  <si>
    <t>[24.63, -8.83, -21.23, nan]</t>
  </si>
  <si>
    <t>[2.67, 0.92, -4.63, nan]</t>
  </si>
  <si>
    <t>[31.54, 21.94, 16.67, nan]</t>
  </si>
  <si>
    <t>[10.14, 9.75, 10.02, nan]</t>
  </si>
  <si>
    <t>[12.24, 1.7, -11.61, nan]</t>
  </si>
  <si>
    <t>[9.48, 6.51, 4.91, nan]</t>
  </si>
  <si>
    <t>[-266.81, -26.38, -162.33, nan]</t>
  </si>
  <si>
    <t>[6.91, 13.95, 26.19, nan]</t>
  </si>
  <si>
    <t>[-2.97, 4.99, -4.06, nan]</t>
  </si>
  <si>
    <t>[0.36, -1.74, -17.61, nan]</t>
  </si>
  <si>
    <t>[9.46, -3.93, -3.3, nan]</t>
  </si>
  <si>
    <t>[-0.03, -6.67, 8.4, nan]</t>
  </si>
  <si>
    <t>[1.64, -46.25, -25.48, nan]</t>
  </si>
  <si>
    <t>[2.68, 3.32, 5.54, nan]</t>
  </si>
  <si>
    <t>[15.21, 28.01, 9.33, nan]</t>
  </si>
  <si>
    <t>[32.45, 8.53, 10.85, nan]</t>
  </si>
  <si>
    <t>[-3.13, -1.15, 2.94, nan]</t>
  </si>
  <si>
    <t>[26.05, -11.33, -25.39, nan]</t>
  </si>
  <si>
    <t>[3.74, 3.11, 1.8, nan]</t>
  </si>
  <si>
    <t>[2.33, 2.72, 2.24, nan]</t>
  </si>
  <si>
    <t>[2.66, 0.5, 36.53, nan]</t>
  </si>
  <si>
    <t>[-1.55, -6.3, -11.32, nan]</t>
  </si>
  <si>
    <t>[15.32, 10.82, 12.56, nan]</t>
  </si>
  <si>
    <t>[28.9, 25.22, 13.6, nan]</t>
  </si>
  <si>
    <t>[6.68, 8.88, 3.05, nan]</t>
  </si>
  <si>
    <t>[3.04, 5.02, 4.33, nan]</t>
  </si>
  <si>
    <t>[3.81, 1.35, 4.39, nan]</t>
  </si>
  <si>
    <t>[-7.02, -11.59, 5.04, nan]</t>
  </si>
  <si>
    <t>[-16.25, -8.73, 3.85, nan]</t>
  </si>
  <si>
    <t>[3.99, 8.72, 9.16, -3.92]</t>
  </si>
  <si>
    <t>[7.8, 8.22, 7.2, nan]</t>
  </si>
  <si>
    <t>[13.25, 14.23, 10.84, nan]</t>
  </si>
  <si>
    <t>[3.11, 7.37, 7.81, nan]</t>
  </si>
  <si>
    <t>[-2.71, -19.77, 4.53, nan]</t>
  </si>
  <si>
    <t>[-29.48, -27.39, -2.15, nan]</t>
  </si>
  <si>
    <t>[-1.37, 1.96, 3.53, nan]</t>
  </si>
  <si>
    <t>[26.69, 4.87, 11.69, nan]</t>
  </si>
  <si>
    <t>[30.19, 28.89, 18.07, nan]</t>
  </si>
  <si>
    <t>[15.06, 8.54, 5.65, 1.76]</t>
  </si>
  <si>
    <t>[13.42, -39.0, -96.01, nan]</t>
  </si>
  <si>
    <t>[5.95, 9.89, 50.19, nan]</t>
  </si>
  <si>
    <t>[9.35, 10.18, 9.59, nan]</t>
  </si>
  <si>
    <t>[1.35, 1.81, 0.26, nan]</t>
  </si>
  <si>
    <t>[-59.19, -213.8, -62.5, nan]</t>
  </si>
  <si>
    <t>[19.78, 16.67, 19.94, nan]</t>
  </si>
  <si>
    <t>[7.14, 4.13, 4.74, nan]</t>
  </si>
  <si>
    <t>[8.18, 10.48, 10.23, nan]</t>
  </si>
  <si>
    <t>[8.23, -0.22, 1.77, nan]</t>
  </si>
  <si>
    <t>[5.98, 6.9, 4.61, nan]</t>
  </si>
  <si>
    <t>[-2.23, -10.46, -7.54, nan]</t>
  </si>
  <si>
    <t>[14.34, 6.36, 3.24, nan]</t>
  </si>
  <si>
    <t>[7.42, 3.48, 3.81, 3.03]</t>
  </si>
  <si>
    <t>[6.27, 7.69, 5.97, nan]</t>
  </si>
  <si>
    <t>[13.77, 14.16, 13.01, nan]</t>
  </si>
  <si>
    <t>[4.7, 7.74, 2.95, nan]</t>
  </si>
  <si>
    <t>[17.6, 17.32, 15.6, 15.8]</t>
  </si>
  <si>
    <t>[7.31, -1.24, -6.16, nan]</t>
  </si>
  <si>
    <t>[14.62, 12.72, 11.0, nan]</t>
  </si>
  <si>
    <t>[-20.37, -2.8, -1.6, nan]</t>
  </si>
  <si>
    <t>[-7.32, -10.51, -32.68, nan]</t>
  </si>
  <si>
    <t>[7.79, -7.17, 7.47, nan]</t>
  </si>
  <si>
    <t>[-6.72, -14.94, 19.76, nan]</t>
  </si>
  <si>
    <t>[43.0, 30.38, 21.0, nan]</t>
  </si>
  <si>
    <t>[20.84, 29.17, 11.22, nan]</t>
  </si>
  <si>
    <t>[3.95, 3.44, 93.94, nan]</t>
  </si>
  <si>
    <t>[10.03, 5.4, 0.61, nan]</t>
  </si>
  <si>
    <t>[-49.34, -36.69, -81.49, nan]</t>
  </si>
  <si>
    <t>[3.62, 7.83, -0.98, nan]</t>
  </si>
  <si>
    <t>[-7.71, -21.59, -6.79, nan]</t>
  </si>
  <si>
    <t>[4.96, 4.27, 1.28, nan]</t>
  </si>
  <si>
    <t>[16.27, 15.67, 16.62, nan]</t>
  </si>
  <si>
    <t>[9.89, 8.53, 11.5, nan]</t>
  </si>
  <si>
    <t>[-52.88, -82.41, -82.93, nan]</t>
  </si>
  <si>
    <t>[7.97, 15.15, 11.74, 5.85]</t>
  </si>
  <si>
    <t>[-0.4, -0.89, 9.61, nan]</t>
  </si>
  <si>
    <t>[-9.35, -8.76, 2.49, nan]</t>
  </si>
  <si>
    <t>[6.94, 7.36, 9.82, 9.04]</t>
  </si>
  <si>
    <t>[-33.45, -40.21, -28.25, nan]</t>
  </si>
  <si>
    <t>[0.72, 3.03, 1.71, nan]</t>
  </si>
  <si>
    <t>[12.71, -0.43, -92.9, nan]</t>
  </si>
  <si>
    <t>[-5.35, 5.26, -3.16, nan]</t>
  </si>
  <si>
    <t>[-0.42, 4.4, 5.12, nan]</t>
  </si>
  <si>
    <t>[7.75, 13.22, -1.11, nan]</t>
  </si>
  <si>
    <t>[-67.84, -204.95, -28.32, nan]</t>
  </si>
  <si>
    <t>[-18.59, 50.09, 2.96, nan]</t>
  </si>
  <si>
    <t>[-15.21, -20.71, -47.47, nan]</t>
  </si>
  <si>
    <t>[-26.71, -51.66, -34.08, nan]</t>
  </si>
  <si>
    <t>[-9.45, 7.84, -9.26, nan]</t>
  </si>
  <si>
    <t>[2.05, 5.73, -0.41, nan]</t>
  </si>
  <si>
    <t>[21.5, 1.51, 15.13, nan]</t>
  </si>
  <si>
    <t>[0.98, -3.96, -13.91, nan]</t>
  </si>
  <si>
    <t>[24.51, 16.89, 16.55, nan]</t>
  </si>
  <si>
    <t>[7.74, 4.66, 3.46, nan]</t>
  </si>
  <si>
    <t>[13.54, -1.46, -3.96, nan]</t>
  </si>
  <si>
    <t>[9.5, 4.37, 2.95, nan]</t>
  </si>
  <si>
    <t>[6.13, 10.72, -5.18, nan]</t>
  </si>
  <si>
    <t>[-13.29, -14.55, -24.58, nan]</t>
  </si>
  <si>
    <t>[14.74, 4.69, 4.54, nan]</t>
  </si>
  <si>
    <t>[-73.83, -47.35, -34.27, nan]</t>
  </si>
  <si>
    <t>[-0.82, 22.73, 15.7, nan]</t>
  </si>
  <si>
    <t>[11.2, 5.63, 5.3, nan]</t>
  </si>
  <si>
    <t>[8.93, 26.39, -4.76, -0.4]</t>
  </si>
  <si>
    <t>[3.05, 0.5, 1.0, nan]</t>
  </si>
  <si>
    <t>[1.65, 3.94, -0.5, nan]</t>
  </si>
  <si>
    <t>[13.14, 31.09, 3.55, nan]</t>
  </si>
  <si>
    <t>[8.04, 3.59, 1.6, nan]</t>
  </si>
  <si>
    <t>[-7.18, -10.52, -0.73, nan]</t>
  </si>
  <si>
    <t>[3.34, -12.11, 7.06, nan]</t>
  </si>
  <si>
    <t>[115.54, -19.97, -9.23, nan]</t>
  </si>
  <si>
    <t>[44.77, 31.07, 11.11, 10.78]</t>
  </si>
  <si>
    <t>[-8.11, 5.27, 8.11, nan]</t>
  </si>
  <si>
    <t>[7.48, 7.08, 11.61, nan]</t>
  </si>
  <si>
    <t>[1.73, -8.33, -7.3, nan]</t>
  </si>
  <si>
    <t>[8.79, 5.49, 4.92, nan]</t>
  </si>
  <si>
    <t>[12.44, 3.15, 2.61, nan]</t>
  </si>
  <si>
    <t>[59.74, 0.64, -19.27, nan]</t>
  </si>
  <si>
    <t>[2.92, 12.51, 2.8, nan]</t>
  </si>
  <si>
    <t>[10.8, 19.4, 4.26, nan]</t>
  </si>
  <si>
    <t>[7.85, -8.11, -7.31, nan]</t>
  </si>
  <si>
    <t>[-1.96, -0.06, -0.58, nan]</t>
  </si>
  <si>
    <t>[-7.24, 3.97, -0.28, nan]</t>
  </si>
  <si>
    <t>[10.19, 8.58, 11.23, nan]</t>
  </si>
  <si>
    <t>[10.83, 8.45, 10.04, nan]</t>
  </si>
  <si>
    <t>[1.46, 1.81, 1.61, nan]</t>
  </si>
  <si>
    <t>[-159.19, -64.65, -69.15, nan]</t>
  </si>
  <si>
    <t>[40.41, 24.7, 5.98, nan]</t>
  </si>
  <si>
    <t>[9.03, 8.75, 1.45, nan]</t>
  </si>
  <si>
    <t>[6.62, -1.34, 0.04, nan]</t>
  </si>
  <si>
    <t>[1.42, 6.61, 2.7, nan]</t>
  </si>
  <si>
    <t>[7.73, 11.74, -12.11, nan]</t>
  </si>
  <si>
    <t>[3.02, 2.73, 2.69, nan]</t>
  </si>
  <si>
    <t>[41.0, 31.2, 40.8, nan]</t>
  </si>
  <si>
    <t>[0.41, -3.19, -11.97, nan]</t>
  </si>
  <si>
    <t>[8.46, 5.74, 9.17, nan]</t>
  </si>
  <si>
    <t>[17.21, 14.13, 13.76, nan]</t>
  </si>
  <si>
    <t>[16.27, 8.47, 2.34, nan]</t>
  </si>
  <si>
    <t>[2.99, 3.8, 4.42, nan]</t>
  </si>
  <si>
    <t>[19.68, 11.59, -9.28, nan]</t>
  </si>
  <si>
    <t>[22.32, 19.43, 12.19, nan]</t>
  </si>
  <si>
    <t>[3.45, 2.98, 1.82, nan]</t>
  </si>
  <si>
    <t>[13.73, 5.96, 3.62, 7.53]</t>
  </si>
  <si>
    <t>[5.74, 11.83, 7.36, nan]</t>
  </si>
  <si>
    <t>[9.07, 4.31, 22.13, nan]</t>
  </si>
  <si>
    <t>[7.22, 6.34, 8.77, nan]</t>
  </si>
  <si>
    <t>[12.03, 6.8, 0.42, nan]</t>
  </si>
  <si>
    <t>[5.13, 3.98, 4.23, nan]</t>
  </si>
  <si>
    <t>[2.1, 1.41, 0.14, nan]</t>
  </si>
  <si>
    <t>[17.99, 15.93, 2.32, nan]</t>
  </si>
  <si>
    <t>[-6.67, -18.99, 1.69, nan]</t>
  </si>
  <si>
    <t>[-2.34, 4.88, -0.76, nan]</t>
  </si>
  <si>
    <t>[10.76, -81.71, 50.98, nan]</t>
  </si>
  <si>
    <t>[2.25, -4.87, 4.94, nan]</t>
  </si>
  <si>
    <t>[11.35, 10.83, 4.42, nan]</t>
  </si>
  <si>
    <t>[8.05, 6.75, 4.71, 3.64]</t>
  </si>
  <si>
    <t>[6.62, 2.58, 5.93, 9.64]</t>
  </si>
  <si>
    <t>[10.26, 18.57, 10.51, nan]</t>
  </si>
  <si>
    <t>[-19.25, -43.38, 31.69, nan]</t>
  </si>
  <si>
    <t>[34.56, 22.21, 15.29, 13.25]</t>
  </si>
  <si>
    <t>[3.32, -1.11, 2.0, nan]</t>
  </si>
  <si>
    <t>[5.14, 5.62, 11.92, 14.67]</t>
  </si>
  <si>
    <t>[11.19, 11.32, 10.33, 3.04]</t>
  </si>
  <si>
    <t>[nan, 4.88, 7.09, nan]</t>
  </si>
  <si>
    <t>[1.9, 0.39, -0.05, nan]</t>
  </si>
  <si>
    <t>[-1.41, 1.17, 26.85, nan]</t>
  </si>
  <si>
    <t>[8.99, 2.15, 4.73, nan]</t>
  </si>
  <si>
    <t>[12.68, 12.88, 9.72, nan]</t>
  </si>
  <si>
    <t>[8.98, 9.26, 10.0, 10.22]</t>
  </si>
  <si>
    <t>[19.65, 7.35, 4.45, 15.13]</t>
  </si>
  <si>
    <t>[0.2, -14.25, -3.63, -0.16]</t>
  </si>
  <si>
    <t>[14.66, 4.08, 12.71, nan]</t>
  </si>
  <si>
    <t>[0.62, 5.65, 4.35, nan]</t>
  </si>
  <si>
    <t>[6.96, 4.48, 1.06, nan]</t>
  </si>
  <si>
    <t>[1.05, 0.1, 0.85, nan]</t>
  </si>
  <si>
    <t>[1.67, -5.21, 23.52, -16.49]</t>
  </si>
  <si>
    <t>[8.08, 7.38, 7.05, 4.94]</t>
  </si>
  <si>
    <t>[8.13, 14.04, 11.59, 7.55]</t>
  </si>
  <si>
    <t>[9.89, 9.1, 7.28, nan]</t>
  </si>
  <si>
    <t>[8.6, 4.29, 14.18, nan]</t>
  </si>
  <si>
    <t>[15.19, 7.86, 0.48, nan]</t>
  </si>
  <si>
    <t>[4.63, 4.69, 4.79, nan]</t>
  </si>
  <si>
    <t>[7.44, 8.34, 8.65, nan]</t>
  </si>
  <si>
    <t>[6.19, 1.75, 4.73, nan]</t>
  </si>
  <si>
    <t>[28.12, 9.53, -1.22, 7.82]</t>
  </si>
  <si>
    <t>[0.44, 2.58, 3.26, nan]</t>
  </si>
  <si>
    <t>[4.48, 2.62, 1.37, nan]</t>
  </si>
  <si>
    <t>[10.14, 12.37, 11.74, 13.21]</t>
  </si>
  <si>
    <t>[-3.82, -1.04, -11.77, nan]</t>
  </si>
  <si>
    <t>[6.13, 7.27, 11.17, 12.72]</t>
  </si>
  <si>
    <t>[5.16, 4.55, 13.07, nan]</t>
  </si>
  <si>
    <t>[73.02, -1.98, -14.15, nan]</t>
  </si>
  <si>
    <t>[5.01, 4.28, 4.28, nan]</t>
  </si>
  <si>
    <t>[6.36, 7.34, 4.79, 6.07]</t>
  </si>
  <si>
    <t>[12.12, 13.2, 8.8, 9.5]</t>
  </si>
  <si>
    <t>[4.8, 3.77, 3.39, nan]</t>
  </si>
  <si>
    <t>[4.7, 9.15, 4.36, nan]</t>
  </si>
  <si>
    <t>[2.21, 3.62, 5.56, nan]</t>
  </si>
  <si>
    <t>[2.2, -27.72, 9.75, nan]</t>
  </si>
  <si>
    <t>[-15.9, 3.09, 11.93, nan]</t>
  </si>
  <si>
    <t>[8.26, 5.7, 2.75, nan]</t>
  </si>
  <si>
    <t>[7.69, 7.11, 8.12, nan]</t>
  </si>
  <si>
    <t>[15.53, 16.22, 6.11, 7.42]</t>
  </si>
  <si>
    <t>[6.86, -3.83, 6.73, 18.5]</t>
  </si>
  <si>
    <t>[2.35, 2.16, 3.22, nan]</t>
  </si>
  <si>
    <t>[7.44, 7.05, 2.25, nan]</t>
  </si>
  <si>
    <t>[19.23, 10.94, 11.47, 2.29]</t>
  </si>
  <si>
    <t>[-1.32, -4.89, -33.7, nan]</t>
  </si>
  <si>
    <t>[26.71, 18.33, 12.03, nan]</t>
  </si>
  <si>
    <t>[-2.42, 6.49, 6.27, nan]</t>
  </si>
  <si>
    <t>[9.85, 5.88, -2.66, nan]</t>
  </si>
  <si>
    <t>[-5.83, 1.7, 2.65, nan]</t>
  </si>
  <si>
    <t>[4.74, 3.37, -1.18, nan]</t>
  </si>
  <si>
    <t>[8.0, 6.18, 5.8, nan]</t>
  </si>
  <si>
    <t>[2.08, 1.85, 1.64, nan]</t>
  </si>
  <si>
    <t>[8.0, 8.17, 7.57, nan]</t>
  </si>
  <si>
    <t>[8.95, 1.17, 5.36, nan]</t>
  </si>
  <si>
    <t>[5.64, 6.37, 7.36, 8.55]</t>
  </si>
  <si>
    <t>[14.53, 4.56, 30.57, nan]</t>
  </si>
  <si>
    <t>[26.41, 9.32, 0.49, nan]</t>
  </si>
  <si>
    <t>[12.18, 8.9, -3.13, nan]</t>
  </si>
  <si>
    <t>[17.32, 5.23, 8.18, nan]</t>
  </si>
  <si>
    <t>[5.06, 15.71, 9.98, nan]</t>
  </si>
  <si>
    <t>[5.55, 2.99, 2.21, nan]</t>
  </si>
  <si>
    <t>[4.16, 5.71, 3.03, 3.13]</t>
  </si>
  <si>
    <t>[6.6, 7.37, 8.15, 9.88]</t>
  </si>
  <si>
    <t>[5.71, 5.04, 5.04, 6.44]</t>
  </si>
  <si>
    <t>[9.16, 8.78, 4.83, 5.32]</t>
  </si>
  <si>
    <t>[3.31, 4.13, 3.07, nan]</t>
  </si>
  <si>
    <t>[9.56, 8.96, 14.22, nan]</t>
  </si>
  <si>
    <t>[2.76, 5.02, 2.18, nan]</t>
  </si>
  <si>
    <t>[9.58, 8.99, 10.32, nan]</t>
  </si>
  <si>
    <t>[2.25, 3.18, 1.77, 2.42]</t>
  </si>
  <si>
    <t>[7.27, 11.66, 4.9, nan]</t>
  </si>
  <si>
    <t>[1.61, 3.01, 2.62, nan]</t>
  </si>
  <si>
    <t>[7.77, 10.76, 11.5, nan]</t>
  </si>
  <si>
    <t>[1.17, 0.46, 0.55, nan]</t>
  </si>
  <si>
    <t>[5.33, 4.68, 2.44, nan]</t>
  </si>
  <si>
    <t>[14.24, 16.44, -6.69, nan]</t>
  </si>
  <si>
    <t>[-0.94, -4.47, -8.03, -2.59]</t>
  </si>
  <si>
    <t>[7.74, 16.72, 11.73, 10.62]</t>
  </si>
  <si>
    <t>[nan, 0.94, 3.19, nan]</t>
  </si>
  <si>
    <t>[10.96, 2.8, -5.21, -0.85]</t>
  </si>
  <si>
    <t>[7.36, -3.78, -11.68, 2.66]</t>
  </si>
  <si>
    <t>[21.52, 13.04, 5.51, 1.92]</t>
  </si>
  <si>
    <t>[11.82, 6.31, 5.4, 10.16]</t>
  </si>
  <si>
    <t>[7.57, 4.18, -5.02, nan]</t>
  </si>
  <si>
    <t>[19.4, 13.87, 15.26, nan]</t>
  </si>
  <si>
    <t>[5.07, 4.31, 6.98, nan]</t>
  </si>
  <si>
    <t>[13.79, 13.0, 15.06, 12.38]</t>
  </si>
  <si>
    <t>[22.54, 11.55, 12.76, 15.18]</t>
  </si>
  <si>
    <t>[3.22, 2.17, 2.8, nan]</t>
  </si>
  <si>
    <t>[6.65, 11.83, 1.64, -1.32]</t>
  </si>
  <si>
    <t>[6.7, 8.06, -2.17, nan]</t>
  </si>
  <si>
    <t>[10.03, -3.89, 4.64, nan]</t>
  </si>
  <si>
    <t>[10.48, 4.7, 2.14, nan]</t>
  </si>
  <si>
    <t>[-4.64, -17.96, 22.51, nan]</t>
  </si>
  <si>
    <t>[7.19, 5.83, 7.56, 8.47]</t>
  </si>
  <si>
    <t>[11.25, 5.18, 4.98, nan]</t>
  </si>
  <si>
    <t>[4.54, 0.58, 1.46, nan]</t>
  </si>
  <si>
    <t>[7.22, 35.2, 6.38, nan]</t>
  </si>
  <si>
    <t>[-4.72, -9.36, -6.93, nan]</t>
  </si>
  <si>
    <t>[16.04, 10.96, 5.87, 8.4]</t>
  </si>
  <si>
    <t>[1.88, 1.37, 32.69, nan]</t>
  </si>
  <si>
    <t>[1.71, 3.29, 5.58, nan]</t>
  </si>
  <si>
    <t>[6.19, 2.54, 9.04, 10.75]</t>
  </si>
  <si>
    <t>[6.78, 0.6, 5.55, nan]</t>
  </si>
  <si>
    <t>[11.09, 8.73, 8.79, nan]</t>
  </si>
  <si>
    <t>[4.1, 5.5, 4.61, 5.01]</t>
  </si>
  <si>
    <t>[7.66, 6.73, 9.18, nan]</t>
  </si>
  <si>
    <t>[4.67, 7.3, 4.72, nan]</t>
  </si>
  <si>
    <t>[5.23, 4.92, 5.6, nan]</t>
  </si>
  <si>
    <t>[6.87, 7.35, 5.65, 3.85]</t>
  </si>
  <si>
    <t>[13.19, -1.46, -22.35, -5.02]</t>
  </si>
  <si>
    <t>[4.96, 3.88, 3.75, nan]</t>
  </si>
  <si>
    <t>[4.93, -6.06, 2.48, 22.21]</t>
  </si>
  <si>
    <t>[10.88, 7.97, 6.3, 10.25]</t>
  </si>
  <si>
    <t>[7.06, -5.59, 1.26, 6.19]</t>
  </si>
  <si>
    <t>[2.96, 3.83, -9.4, 2.26]</t>
  </si>
  <si>
    <t>[11.48, 13.73, 0.8, 3.66]</t>
  </si>
  <si>
    <t>[3.36, 2.59, -11.94, nan]</t>
  </si>
  <si>
    <t>[1.12, 5.79, 0.78, 4.68]</t>
  </si>
  <si>
    <t>[7.39, 7.31, 9.12, 10.89]</t>
  </si>
  <si>
    <t>[11.87, 9.98, 5.91, nan]</t>
  </si>
  <si>
    <t>[4.74, 4.63, 5.29, nan]</t>
  </si>
  <si>
    <t>[3.21, 7.6, 4.61, nan]</t>
  </si>
  <si>
    <t>[0.71, -0.41, -4.37, 0.9]</t>
  </si>
  <si>
    <t>[6.3, 2.94, 2.76, -2.94]</t>
  </si>
  <si>
    <t>[5.36, 1.83, 2.54, nan]</t>
  </si>
  <si>
    <t>[428.57, 4.37, 1.79, 1.72]</t>
  </si>
  <si>
    <t>[5.83, 6.84, 7.07, 5.97]</t>
  </si>
  <si>
    <t>[1.56, 2.26, 6.6, nan]</t>
  </si>
  <si>
    <t>[12.1, 6.91, 6.24, 5.84]</t>
  </si>
  <si>
    <t>[2.74, 2.89, 4.35, nan]</t>
  </si>
  <si>
    <t>[-0.66, -2.87, 2.53, nan]</t>
  </si>
  <si>
    <t>[0.73, 8.58, 7.15, nan]</t>
  </si>
  <si>
    <t>[15.03, 10.95, 6.84, 8.22]</t>
  </si>
  <si>
    <t>[7.97, 9.25, 7.31, 6.61]</t>
  </si>
  <si>
    <t>[-1.29, 0.0, 2.55, nan]</t>
  </si>
  <si>
    <t>[8.15, 5.54, 5.83, nan]</t>
  </si>
  <si>
    <t>[10.18, 8.78, 8.92, 8.6]</t>
  </si>
  <si>
    <t>[3.91, 5.55, 4.86, nan]</t>
  </si>
  <si>
    <t>[7.39, 6.47, -3.63, nan]</t>
  </si>
  <si>
    <t>[13.42, 11.14, 6.26, -0.38]</t>
  </si>
  <si>
    <t>[-5.22, 17.34, 11.79, 10.27]</t>
  </si>
  <si>
    <t>[6.22, 5.48, -4.61, nan]</t>
  </si>
  <si>
    <t>[14.36, 38.82, 12.58, nan]</t>
  </si>
  <si>
    <t>[12.75, 11.99, -3.13, nan]</t>
  </si>
  <si>
    <t>[11.39, 3.02, 4.66, nan]</t>
  </si>
  <si>
    <t>[nan, nan, 20.3, 9.24]</t>
  </si>
  <si>
    <t>[7.86, 8.69, 10.36, 9.63]</t>
  </si>
  <si>
    <t>[7.17, 3.06, -26.19, -2.7]</t>
  </si>
  <si>
    <t>[6.48, 3.88, 4.18, 3.18]</t>
  </si>
  <si>
    <t>[1.98, 0.78, 6.49, nan]</t>
  </si>
  <si>
    <t>[27.07, -0.13, 3.2, 12.14]</t>
  </si>
  <si>
    <t>[4.84, 5.16, 0.07, nan]</t>
  </si>
  <si>
    <t>[1.72, 0.25, 0.73, nan]</t>
  </si>
  <si>
    <t>[-2.2, 2.93, 8.53, nan]</t>
  </si>
  <si>
    <t>[1.41, 3.07, 1.56, nan]</t>
  </si>
  <si>
    <t>[8.59, 7.52, 7.44, nan]</t>
  </si>
  <si>
    <t>[9.39, 9.11, 9.06, nan]</t>
  </si>
  <si>
    <t>[9.18, 9.5, 6.89, nan]</t>
  </si>
  <si>
    <t>[10.48, 10.57, 8.75, nan]</t>
  </si>
  <si>
    <t>[9.03, 5.18, -3.23, nan]</t>
  </si>
  <si>
    <t>[7.15, 6.48, -3.4, nan]</t>
  </si>
  <si>
    <t>[3.94, 6.58, 3.69, nan]</t>
  </si>
  <si>
    <t>[-4.92, 3.27, 2.72, nan]</t>
  </si>
  <si>
    <t>[3.62, 4.27, 6.5, 4.83]</t>
  </si>
  <si>
    <t>[7.98, 8.62, 7.36, 6.09]</t>
  </si>
  <si>
    <t>[0.56, 0.23, 3.25, nan]</t>
  </si>
  <si>
    <t>[9.42, 6.63, 5.96, nan]</t>
  </si>
  <si>
    <t>[9.88, 7.5, 7.94, 1.77]</t>
  </si>
  <si>
    <t>[10.23, 4.2, 6.0, nan]</t>
  </si>
  <si>
    <t>[11.67, -2.19, 1.25, nan]</t>
  </si>
  <si>
    <t>[4.78, 5.32, 4.03, nan]</t>
  </si>
  <si>
    <t>[16.59, 14.67, 1.51, nan]</t>
  </si>
  <si>
    <t>[11.53, 9.78, 14.61, nan]</t>
  </si>
  <si>
    <t>[16.7, 24.46, 16.94, nan]</t>
  </si>
  <si>
    <t>[-5.15, -1.23, 0.45, nan]</t>
  </si>
  <si>
    <t>[3.67, 2.87, 6.01, nan]</t>
  </si>
  <si>
    <t>[10.99, 7.46, 2.26, nan]</t>
  </si>
  <si>
    <t>[1.14, 4.36, 8.78, nan]</t>
  </si>
  <si>
    <t>[2.74, 0.87, 3.45, -11.1]</t>
  </si>
  <si>
    <t>[0.7, 1.62, -16.34, nan]</t>
  </si>
  <si>
    <t>[-3.32, 3.43, 4.81, nan]</t>
  </si>
  <si>
    <t>[0.29, 2.59, 0.59, nan]</t>
  </si>
  <si>
    <t>[5.36, 20.48, 2.17, nan]</t>
  </si>
  <si>
    <t>[3.55, 2.62, 4.23, nan]</t>
  </si>
  <si>
    <t>[11.02, 2.11, 3.32, nan]</t>
  </si>
  <si>
    <t>[12.53, 14.88, 4.31, 1.11]</t>
  </si>
  <si>
    <t>[7.08, 3.9, 9.85, 15.3]</t>
  </si>
  <si>
    <t>[1.39, 0.31, -5.85, 4.89]</t>
  </si>
  <si>
    <t>[53.52, 5.56, 11.52, nan]</t>
  </si>
  <si>
    <t>[11.96, 9.12, -0.2, -12.68]</t>
  </si>
  <si>
    <t>[4.42, 2.85, 5.62, nan]</t>
  </si>
  <si>
    <t>[15.38, 15.52, 3.92, 5.93]</t>
  </si>
  <si>
    <t>[-6.48, 17.41, 8.89, nan]</t>
  </si>
  <si>
    <t>[-0.56, -34.82, -53.17, nan]</t>
  </si>
  <si>
    <t>[0.06, 0.9, 0.92, nan]</t>
  </si>
  <si>
    <t>[0.54, 0.04, 2.12, nan]</t>
  </si>
  <si>
    <t>[4.89, 7.71, 2.8, nan]</t>
  </si>
  <si>
    <t>[nan, 11.11, 7.45, nan]</t>
  </si>
  <si>
    <t>[5.73, 5.97, 5.03, nan]</t>
  </si>
  <si>
    <t>[7.37, 7.66, 7.01, nan]</t>
  </si>
  <si>
    <t>[1.53, -2.62, 0.97, nan]</t>
  </si>
  <si>
    <t>[-0.93, -5.45, -51.1, nan]</t>
  </si>
  <si>
    <t>[8.71, 12.11, 11.17, nan]</t>
  </si>
  <si>
    <t>[3.85, -13.36, -1.66, 3.33]</t>
  </si>
  <si>
    <t>[9.97, 2.5, 7.25, 4.7]</t>
  </si>
  <si>
    <t>[3.27, -3.83, -3.94, nan]</t>
  </si>
  <si>
    <t>[-20.12, -12.17, -9.67, nan]</t>
  </si>
  <si>
    <t>[5.08, 0.06, 1.22, nan]</t>
  </si>
  <si>
    <t>[9.67, 6.54, 6.15, nan]</t>
  </si>
  <si>
    <t>[-14.67, -31.09, -7.77, nan]</t>
  </si>
  <si>
    <t>[3.3, 0.36, 4.98, nan]</t>
  </si>
  <si>
    <t>[23.16, 4.07, 3.56, nan]</t>
  </si>
  <si>
    <t>[8.78, 8.15, 9.82, 9.31]</t>
  </si>
  <si>
    <t>[8.2, 8.49, 9.6, nan]</t>
  </si>
  <si>
    <t>[8.6, 3.69, 7.4, nan]</t>
  </si>
  <si>
    <t>[16.58, 11.75, 12.02, nan]</t>
  </si>
  <si>
    <t>[4.04, 13.72, 8.05, nan]</t>
  </si>
  <si>
    <t>[-2.47, -3.13, 0.64, nan]</t>
  </si>
  <si>
    <t>[9.59, 5.4, -2.67, nan]</t>
  </si>
  <si>
    <t>[23.22, 16.36, 8.62, 12.47]</t>
  </si>
  <si>
    <t>[85.88, 3.03, 2.54, nan]</t>
  </si>
  <si>
    <t>[8.16, 2.08, 3.53, nan]</t>
  </si>
  <si>
    <t>[-1.47, 1.63, -6.29, nan]</t>
  </si>
  <si>
    <t>[9.13, 9.21, 9.09, 8.27]</t>
  </si>
  <si>
    <t>[6.49, 3.04, 1.58, 7.77]</t>
  </si>
  <si>
    <t>[5.81, 6.73, 2.82, nan]</t>
  </si>
  <si>
    <t>[60.32, -37.66, -19.68, nan]</t>
  </si>
  <si>
    <t>[-39.07, -10.97, -15.96, nan]</t>
  </si>
  <si>
    <t>[6.58, 7.07, 6.37, nan]</t>
  </si>
  <si>
    <t>[1.09, 15.83, 10.99, nan]</t>
  </si>
  <si>
    <t>[4.79, 3.77, -36.47, nan]</t>
  </si>
  <si>
    <t>[2.0, 3.25, 4.31, nan]</t>
  </si>
  <si>
    <t>[12.73, -0.64, -2.61, nan]</t>
  </si>
  <si>
    <t>[1.33, 3.23, 0.13, nan]</t>
  </si>
  <si>
    <t>[6.22, 4.68, 8.04, nan]</t>
  </si>
  <si>
    <t>[27.73, 67.41, 12.38, nan]</t>
  </si>
  <si>
    <t>[7.23, 12.5, 12.97, 13.81]</t>
  </si>
  <si>
    <t>[-19.04, -5.48, -1.19, nan]</t>
  </si>
  <si>
    <t>[3.61, -6.66, 3.61, nan]</t>
  </si>
  <si>
    <t>[2.5, 9.22, 4.13, nan]</t>
  </si>
  <si>
    <t>[96.96, 17.49, 12.38, nan]</t>
  </si>
  <si>
    <t>[-10.39, -14.65, -37.57, nan]</t>
  </si>
  <si>
    <t>[6.63, 9.15, 6.6, nan]</t>
  </si>
  <si>
    <t>[-0.65, -4.67, 1.19, nan]</t>
  </si>
  <si>
    <t>[4.44, -25.65, -8.52, nan]</t>
  </si>
  <si>
    <t>[8.18, 6.37, 5.36, nan]</t>
  </si>
  <si>
    <t>[1.72, 1.31, 1.36, nan]</t>
  </si>
  <si>
    <t>[3.41, 3.73, 0.44, nan]</t>
  </si>
  <si>
    <t>[10.64, -2.45, -3.26, nan]</t>
  </si>
  <si>
    <t>[7.73, 5.49, 2.75, 6.02]</t>
  </si>
  <si>
    <t>[2.37, 1.4, 6.47, nan]</t>
  </si>
  <si>
    <t>[-4.42, -10.62, 25.52, nan]</t>
  </si>
  <si>
    <t>[2.34, 3.06, 1.0, nan]</t>
  </si>
  <si>
    <t>[0.82, 0.91, 2.01, nan]</t>
  </si>
  <si>
    <t>[2.89, 6.29, 4.67, nan]</t>
  </si>
  <si>
    <t>[-13.21, 2.79, 2.05, nan]</t>
  </si>
  <si>
    <t>[-1.97, -1.0, -4.35, nan]</t>
  </si>
  <si>
    <t>[8.22, 9.19, 5.87, nan]</t>
  </si>
  <si>
    <t>[-2.11, 4.37, 1.83, nan]</t>
  </si>
  <si>
    <t>[18.54, 23.1, 21.11, nan]</t>
  </si>
  <si>
    <t>[10.22, 5.9, 5.66, nan]</t>
  </si>
  <si>
    <t>[-0.66, -3.51, 5.18, nan]</t>
  </si>
  <si>
    <t>[4.21, 2.48, -3.41, nan]</t>
  </si>
  <si>
    <t>[nan, nan, nan, 6.53]</t>
  </si>
  <si>
    <t>[2.36, -2.19, -1.33, nan]</t>
  </si>
  <si>
    <t>[6.79, 6.25, 5.76, nan]</t>
  </si>
  <si>
    <t>[230.26, 2.04, -20.52, nan]</t>
  </si>
  <si>
    <t>[5.6, 6.87, 7.84, nan]</t>
  </si>
  <si>
    <t>[0.71, -2.54, 7.16, nan]</t>
  </si>
  <si>
    <t>[5.77, -0.1, 2.56, nan]</t>
  </si>
  <si>
    <t>[6.19, 5.52, 9.87, 11.83]</t>
  </si>
  <si>
    <t>[3.71, 3.76, 5.26, nan]</t>
  </si>
  <si>
    <t>[-14.17, -6.44, -10.49, nan]</t>
  </si>
  <si>
    <t>[-7.76, -16.98, -38.44, nan]</t>
  </si>
  <si>
    <t>[24.62, 15.52, 1.97, nan]</t>
  </si>
  <si>
    <t>[8.61, 7.2, -35.62, 3.01]</t>
  </si>
  <si>
    <t>[4.23, -1.01, 3.33, nan]</t>
  </si>
  <si>
    <t>[0.42, -4.97, -30.74, nan]</t>
  </si>
  <si>
    <t>[-5.44, -3.31, 0.74, nan]</t>
  </si>
  <si>
    <t>[9.48, 6.28, 2.75, -3.09]</t>
  </si>
  <si>
    <t>[nan, 10.99, 14.02, nan]</t>
  </si>
  <si>
    <t>[3.53, 4.38, 4.43, nan]</t>
  </si>
  <si>
    <t>[-2.62, -3.04, -15.84, nan]</t>
  </si>
  <si>
    <t>[6.8, 2.99, -5.29, nan]</t>
  </si>
  <si>
    <t>[7.72, 5.8, 4.55, nan]</t>
  </si>
  <si>
    <t>[10.07, 5.66, 3.18, nan]</t>
  </si>
  <si>
    <t>[5.76, 3.89, -1.91, nan]</t>
  </si>
  <si>
    <t>[14.11, 12.96, 18.14, 13.89]</t>
  </si>
  <si>
    <t>[7.49, 5.93, 5.07, nan]</t>
  </si>
  <si>
    <t>[-14.03, 6.36, 0.48, -1.0]</t>
  </si>
  <si>
    <t>[20.98, 5.61, 6.72, nan]</t>
  </si>
  <si>
    <t>[-11.56, -12.64, -16.49, nan]</t>
  </si>
  <si>
    <t>[-2.8, -0.55, -4.65, nan]</t>
  </si>
  <si>
    <t>[6.39, -5.41, 0.02, nan]</t>
  </si>
  <si>
    <t>[8.79, 8.88, 8.77, 8.49]</t>
  </si>
  <si>
    <t>[0.83, -1.6, -2.14, nan]</t>
  </si>
  <si>
    <t>[10.27, 5.09, 3.39, nan]</t>
  </si>
  <si>
    <t>[4.11, 5.47, 0.68, nan]</t>
  </si>
  <si>
    <t>[-2.39, 7.7, 7.51, nan]</t>
  </si>
  <si>
    <t>[27.12, 18.52, 14.28, 17.13]</t>
  </si>
  <si>
    <t>[6.61, 5.45, 7.06, 8.62]</t>
  </si>
  <si>
    <t>[14.5, 4.91, 2.4, nan]</t>
  </si>
  <si>
    <t>[1.07, 2.57, 2.98, 1.82]</t>
  </si>
  <si>
    <t>[13.77, 12.09, 11.65, nan]</t>
  </si>
  <si>
    <t>[6.37, 7.21, 5.88, nan]</t>
  </si>
  <si>
    <t>[4.71, 2.54, 4.73, nan]</t>
  </si>
  <si>
    <t>[-7.94, -19.94, -35.06, nan]</t>
  </si>
  <si>
    <t>[-6.6, -6.14, -3.61, nan]</t>
  </si>
  <si>
    <t>[-3.28, -8.32, -6.42, nan]</t>
  </si>
  <si>
    <t>[6.12, 3.35, -3.82, nan]</t>
  </si>
  <si>
    <t>[1.94, -0.93, -2.52, nan]</t>
  </si>
  <si>
    <t>[18.17, -4.25, 1.4, 0.75]</t>
  </si>
  <si>
    <t>[6.37, 8.82, 7.75, nan]</t>
  </si>
  <si>
    <t>[3.72, -0.2, -11.06, nan]</t>
  </si>
  <si>
    <t>[-2.78, -3.61, -13.31, nan]</t>
  </si>
  <si>
    <t>[5.12, -1.0, -7.35, nan]</t>
  </si>
  <si>
    <t>[1.81, -1.86, -3.42, 2.42]</t>
  </si>
  <si>
    <t>[4.04, 4.46, 3.06, nan]</t>
  </si>
  <si>
    <t>[58.11, 1.63, -7.49, nan]</t>
  </si>
  <si>
    <t>[11.86, 4.62, 1.28, 4.83]</t>
  </si>
  <si>
    <t>[7.76, 10.32, 7.7, nan]</t>
  </si>
  <si>
    <t>[8.6, 12.93, 33.47, nan]</t>
  </si>
  <si>
    <t>[9.6, 9.61, 8.24, 8.13]</t>
  </si>
  <si>
    <t>[10.25, 8.33, 8.02, 9.14]</t>
  </si>
  <si>
    <t>[7.86, 7.14, 6.99, -11.64]</t>
  </si>
  <si>
    <t>[10.37, 24.79, 14.26, nan]</t>
  </si>
  <si>
    <t>[3.73, 4.06, 1.66, nan]</t>
  </si>
  <si>
    <t>[5.65, 8.17, 2.01, nan]</t>
  </si>
  <si>
    <t>[5.48, 6.94, 14.24, -1.35]</t>
  </si>
  <si>
    <t>[10.12, 19.21, 8.38, nan]</t>
  </si>
  <si>
    <t>[20.18, 24.25, 8.91, nan]</t>
  </si>
  <si>
    <t>[6.73, 2.69, 1.38, -0.42]</t>
  </si>
  <si>
    <t>[-3.89, -5.35, -26.3, nan]</t>
  </si>
  <si>
    <t>[-5.77, -10.55, -32.05, nan]</t>
  </si>
  <si>
    <t>[5.29, 7.39, 4.34, nan]</t>
  </si>
  <si>
    <t>[4.56, 5.82, 8.91, nan]</t>
  </si>
  <si>
    <t>[3.02, 0.88, 1.23, nan]</t>
  </si>
  <si>
    <t>[5.02, 3.2, 3.08, nan]</t>
  </si>
  <si>
    <t>[6.73, 6.53, 1.8, nan]</t>
  </si>
  <si>
    <t>[7.09, 1.14, 0.93, 0.48]</t>
  </si>
  <si>
    <t>[4.97, 5.8, 3.86, 3.05]</t>
  </si>
  <si>
    <t>[227.62, 28.89, -20.84, -80.01]</t>
  </si>
  <si>
    <t>[7.5, 1.72, 1.58, nan]</t>
  </si>
  <si>
    <t>[8.6, 5.24, 1.23, nan]</t>
  </si>
  <si>
    <t>[-1.32, -26.68, -11.1, nan]</t>
  </si>
  <si>
    <t>[nan, nan, 4.42, nan]</t>
  </si>
  <si>
    <t>[5.86, 11.3, 7.86, nan]</t>
  </si>
  <si>
    <t>[2.04, 29.05, -0.32, nan]</t>
  </si>
  <si>
    <t>[7.81, 3.56, 3.47, nan]</t>
  </si>
  <si>
    <t>[2.88, -6.38, -14.2, nan]</t>
  </si>
  <si>
    <t>[5.8, 6.06, 5.49, 4.95]</t>
  </si>
  <si>
    <t>[-1.53, -2.02, 1.85, nan]</t>
  </si>
  <si>
    <t>[7.67, 6.17, 5.04, nan]</t>
  </si>
  <si>
    <t>[13.07, 1.2, -2.77, nan]</t>
  </si>
  <si>
    <t>[-1.92, -5.2, 1.52, nan]</t>
  </si>
  <si>
    <t>[45.49, 18.49, -17.06, nan]</t>
  </si>
  <si>
    <t>[2.99, 5.15, 33.12, nan]</t>
  </si>
  <si>
    <t>[23.25, 12.42, 19.83, nan]</t>
  </si>
  <si>
    <t>[nan, nan, 21.37, 2.55]</t>
  </si>
  <si>
    <t>[25.64, 64.78, 27.52, 5.9]</t>
  </si>
  <si>
    <t>[17.36, 10.84, 16.97, 24.55]</t>
  </si>
  <si>
    <t>[16.04, 17.08, 14.98, 10.87]</t>
  </si>
  <si>
    <t>[22.24, 18.7, 23.04, nan]</t>
  </si>
  <si>
    <t>[19.59, 17.7, 14.52, 21.1]</t>
  </si>
  <si>
    <t>[37.74, 17.2, 16.33, nan]</t>
  </si>
  <si>
    <t>[15.92, 11.03, 14.41, nan]</t>
  </si>
  <si>
    <t>[5.98, 16.32, 5.44, nan]</t>
  </si>
  <si>
    <t>[nan, 18.39, 17.14, 14.84]</t>
  </si>
  <si>
    <t>[2.16, 18.04, 32.25, nan]</t>
  </si>
  <si>
    <t>[36.5, 125.09, 30.35, nan]</t>
  </si>
  <si>
    <t>[23.23, 25.56, 8.07, nan]</t>
  </si>
  <si>
    <t>[-57.87, 8.92, 14.69, nan]</t>
  </si>
  <si>
    <t>[67.38, 36.08, 10.78, 8.57]</t>
  </si>
  <si>
    <t>[10.7, 9.59, 9.79, nan]</t>
  </si>
  <si>
    <t>[40.14, 24.08, 19.05, nan]</t>
  </si>
  <si>
    <t>[23.62, 18.89, 10.19, 5.55]</t>
  </si>
  <si>
    <t>[30.78, 24.53, 18.13, nan]</t>
  </si>
  <si>
    <t>[46.14, 13.13, 14.49, 7.78]</t>
  </si>
  <si>
    <t>[29.26, 20.22, 15.9, 12.01]</t>
  </si>
  <si>
    <t>[12.34, 23.45, 11.84, 18.36]</t>
  </si>
  <si>
    <t>[68.9, 33.48, -3.01, nan]</t>
  </si>
  <si>
    <t>[12.05, 8.38, 10.29, nan]</t>
  </si>
  <si>
    <t>[2.57, 11.62, 32.82, nan]</t>
  </si>
  <si>
    <t>[18.23, 10.6, 11.25, 11.69]</t>
  </si>
  <si>
    <t>[5.52, 20.86, 20.45, 10.24]</t>
  </si>
  <si>
    <t>[-5.35, 46.18, 18.64, 1.52]</t>
  </si>
  <si>
    <t>[10.51, 14.58, 18.57, nan]</t>
  </si>
  <si>
    <t>[15.29, 19.36, 18.19, nan]</t>
  </si>
  <si>
    <t>[53.56, 106.81, 51.13, 5.66]</t>
  </si>
  <si>
    <t>[10.91, 21.46, 3.16, 15.18]</t>
  </si>
  <si>
    <t>[23.24, 20.91, 6.97, 10.58]</t>
  </si>
  <si>
    <t>[15.71, 11.38, 12.39, 12.29]</t>
  </si>
  <si>
    <t>[-28.87, -117.02, 81.43, nan]</t>
  </si>
  <si>
    <t>[51.21, 34.73, 35.97, nan]</t>
  </si>
  <si>
    <t>[-15.84, 23.41, 34.66, nan]</t>
  </si>
  <si>
    <t>[10.47, 8.88, 22.33, nan]</t>
  </si>
  <si>
    <t>[25.71, 63.52, 21.24, 14.99]</t>
  </si>
  <si>
    <t>[114.7, -7.87, 18.32, nan]</t>
  </si>
  <si>
    <t>[35.84, 49.27, 24.22, 20.09]</t>
  </si>
  <si>
    <t>[59.74, 6.73, 1.33, nan]</t>
  </si>
  <si>
    <t>[45.07, 1.84, 17.13, nan]</t>
  </si>
  <si>
    <t>[7.79, 7.07, 23.82, nan]</t>
  </si>
  <si>
    <t>[28.66, 31.64, 25.13, 15.86]</t>
  </si>
  <si>
    <t>[9.8, 11.06, 21.18, nan]</t>
  </si>
  <si>
    <t>[20.41, 16.51, 21.46, nan]</t>
  </si>
  <si>
    <t>[16.6, 15.56, 16.03, 16.15]</t>
  </si>
  <si>
    <t>[23.47, 29.83, 20.38, nan]</t>
  </si>
  <si>
    <t>[15.82, 8.51, 14.07, nan]</t>
  </si>
  <si>
    <t>[35.63, 18.28, 13.3, nan]</t>
  </si>
  <si>
    <t>[15.85, 14.21, 12.7, nan]</t>
  </si>
  <si>
    <t>[8.43, 9.27, 11.4, nan]</t>
  </si>
  <si>
    <t>[94.76, 12.83, 37.44, nan]</t>
  </si>
  <si>
    <t>[43.0, 7.19, 4.69, nan]</t>
  </si>
  <si>
    <t>[25.67, 22.1, 8.37, nan]</t>
  </si>
  <si>
    <t>[13.54, 15.11, 2.9, 6.72]</t>
  </si>
  <si>
    <t>[26.66, 25.15, 15.54, nan]</t>
  </si>
  <si>
    <t>[nan, 178.68, 95.79, 72.52]</t>
  </si>
  <si>
    <t>[20.88, 19.8, 6.91, nan]</t>
  </si>
  <si>
    <t>[17.03, 14.79, 15.71, nan]</t>
  </si>
  <si>
    <t>[3.28, 14.63, 35.27, 23.58]</t>
  </si>
  <si>
    <t>[-4.73, 20.26, 36.0, nan]</t>
  </si>
  <si>
    <t>[46.48, 28.08, 26.22, nan]</t>
  </si>
  <si>
    <t>[2.91, 10.61, 10.87, 14.75]</t>
  </si>
  <si>
    <t>[29.71, 26.8, 22.72, 22.48]</t>
  </si>
  <si>
    <t>[112.67, 51.64, 25.95, nan]</t>
  </si>
  <si>
    <t>[36.8, 38.53, 4.25, 7.41]</t>
  </si>
  <si>
    <t>[29.81, 22.72, 18.57, nan]</t>
  </si>
  <si>
    <t>[29.34, 44.95, 17.03, 6.12]</t>
  </si>
  <si>
    <t>[-11.22, 21.34, 13.73, nan]</t>
  </si>
  <si>
    <t>[8.37, 11.12, 15.63, nan]</t>
  </si>
  <si>
    <t>[26.83, 28.76, 23.33, 15.42]</t>
  </si>
  <si>
    <t>[0, 436.59, 71.24, nan, nan]</t>
  </si>
  <si>
    <t>[0, 42.83, 33.03, 20.58, 18.35]</t>
  </si>
  <si>
    <t>[22.56, 15.03, 15.07, 13.66]</t>
  </si>
  <si>
    <t>[0, 25.53, 22.88, nan, nan]</t>
  </si>
  <si>
    <t>[8.29, 17.09, 18.92, nan]</t>
  </si>
  <si>
    <t>[19.44, 17.04, 15.47, 10.43]</t>
  </si>
  <si>
    <t>[-0.21, 17.61, 21.61, nan]</t>
  </si>
  <si>
    <t>[10.96, 8.64, 9.76, 8.87]</t>
  </si>
  <si>
    <t>[9.9, 19.4, 16.91, 10.62]</t>
  </si>
  <si>
    <t>[26.45, 27.35, 25.33, nan]</t>
  </si>
  <si>
    <t>[10.71, 15.7, 6.43, nan]</t>
  </si>
  <si>
    <t>[-24.87, 4.19, 22.07, nan]</t>
  </si>
  <si>
    <t>[11.97, 17.46, 29.85, nan]</t>
  </si>
  <si>
    <t>[46.46, 19.3, 7.06, nan]</t>
  </si>
  <si>
    <t>[9.06, 16.27, 9.55, 9.08]</t>
  </si>
  <si>
    <t>[33.49, 16.44, 14.59, 8.69]</t>
  </si>
  <si>
    <t>[25.0, 22.21, 11.5, -9.6]</t>
  </si>
  <si>
    <t>[0, 21.05, 17.63, nan, 13.26]</t>
  </si>
  <si>
    <t>[0, 50.71, 11.89, nan, nan]</t>
  </si>
  <si>
    <t>[19.87, 23.01, 6.1, 11.16]</t>
  </si>
  <si>
    <t>[-25.01, 8.48, 24.26, nan]</t>
  </si>
  <si>
    <t>[-1.1, 26.19, 47.71, 21.66]</t>
  </si>
  <si>
    <t>[37.21, 28.48, 12.86, 4.66]</t>
  </si>
  <si>
    <t>[26.05, 19.25, 7.37, 10.27]</t>
  </si>
  <si>
    <t>[57.85, 5.96, 1.09, nan]</t>
  </si>
  <si>
    <t>[9.04, 19.02, 18.93, 18.27]</t>
  </si>
  <si>
    <t>[1.6, -12.18, 40.27, nan]</t>
  </si>
  <si>
    <t>[0, 39.83, 30.62, 28.4, 42.72]</t>
  </si>
  <si>
    <t>[0, 91.73, 35.28, 41.72, 37.03]</t>
  </si>
  <si>
    <t>[25.01, 29.43, 17.69, nan]</t>
  </si>
  <si>
    <t>[7.53, 16.03, 23.81, 14.44]</t>
  </si>
  <si>
    <t>[40.13, 28.34, 26.32, 20.37]</t>
  </si>
  <si>
    <t>[21.3, 17.02, 10.82, 11.0]</t>
  </si>
  <si>
    <t>[24.87, 24.68, 22.86, nan]</t>
  </si>
  <si>
    <t>[-42.51, 21.27, 5.7, nan]</t>
  </si>
  <si>
    <t>[21.76, 186.12, 5.06, nan]</t>
  </si>
  <si>
    <t>[6.11, 5.35, 37.01, nan]</t>
  </si>
  <si>
    <t>[13.79, 7.79, 5.62, nan]</t>
  </si>
  <si>
    <t>[11.57, nan, 17.05, nan]</t>
  </si>
  <si>
    <t>[15.08, 24.27, 12.96, nan]</t>
  </si>
  <si>
    <t>[nan, 14.0, 12.14, nan]</t>
  </si>
  <si>
    <t>[12.65, 8.04, 81.74, nan]</t>
  </si>
  <si>
    <t>[nan, nan, 17.88, nan]</t>
  </si>
  <si>
    <t>[53.49, nan, nan, nan]</t>
  </si>
  <si>
    <t>[28.65, 22.14, 24.98, nan]</t>
  </si>
  <si>
    <t>[nan, nan, nan, nan]</t>
  </si>
  <si>
    <t>[15.56, 9.24, 6.05, nan]</t>
  </si>
  <si>
    <t>[20.99, 17.25, 14.97, 22.57]</t>
  </si>
  <si>
    <t>[5.59, 6.95, 19.75, nan]</t>
  </si>
  <si>
    <t>[17.63, 34.04, nan, nan]</t>
  </si>
  <si>
    <t>[4.42, 4.41, 4.64, nan]</t>
  </si>
  <si>
    <t>[267.82, 5.64, 6.44, nan]</t>
  </si>
  <si>
    <t>[7.3, 7.13, 12.7, nan]</t>
  </si>
  <si>
    <t>[nan, 5.18, 11.14, nan]</t>
  </si>
  <si>
    <t>[23.86, 34.87, 3.01, nan]</t>
  </si>
  <si>
    <t>[11.41, 4.89, 18.81, nan]</t>
  </si>
  <si>
    <t>[11.47, 13.31, 47.94, nan]</t>
  </si>
  <si>
    <t>[4.49, 2.98, 4.38, nan]</t>
  </si>
  <si>
    <t>[5.61, 5.34, 35.03, nan]</t>
  </si>
  <si>
    <t>[12.07, nan, nan, nan]</t>
  </si>
  <si>
    <t>[4.76, 4.22, 13.3, 45.33]</t>
  </si>
  <si>
    <t>[23.02, 27.48, 34191.36, nan]</t>
  </si>
  <si>
    <t>[273.9, 118.51, nan, nan]</t>
  </si>
  <si>
    <t>[7.17, 2156.74, 170.5, nan]</t>
  </si>
  <si>
    <t>[10.96, 21.58, 12.48, nan]</t>
  </si>
  <si>
    <t>[13.83, 5.05, 22.49, nan]</t>
  </si>
  <si>
    <t>[29.69, nan, 2.37, nan]</t>
  </si>
  <si>
    <t>[nan, nan, 27.52, nan]</t>
  </si>
  <si>
    <t>[9.9, 9.09, 10.64, nan]</t>
  </si>
  <si>
    <t>[nan, 2.76, 3.71, nan]</t>
  </si>
  <si>
    <t>[4.61, 3.82, 3.04, nan]</t>
  </si>
  <si>
    <t>[18.46, 14.88, 5.34, nan]</t>
  </si>
  <si>
    <t>[40.68, nan, nan, nan]</t>
  </si>
  <si>
    <t>[9.89, 8.07, 6.74, nan]</t>
  </si>
  <si>
    <t>[17.33, 35.63, 110.81, nan]</t>
  </si>
  <si>
    <t>[6.96, 7.08, 34.91, nan]</t>
  </si>
  <si>
    <t>[40.81, 4.02, 3.84, 9.16]</t>
  </si>
  <si>
    <t>[10.82, 12.6, 10.38, nan]</t>
  </si>
  <si>
    <t>[17.29, 14.76, 20.13, nan]</t>
  </si>
  <si>
    <t>[12.54, 5.44, 7.47, nan]</t>
  </si>
  <si>
    <t>[9.8, nan, 15.13, nan]</t>
  </si>
  <si>
    <t>[8.25, 3.93, 2.2, nan]</t>
  </si>
  <si>
    <t>[25.43, 6.0, 27.2, nan]</t>
  </si>
  <si>
    <t>[11.51, 12.35, 109.57, nan]</t>
  </si>
  <si>
    <t>[nan, nan, 17.35, nan]</t>
  </si>
  <si>
    <t>[49.96, 18.14, 10.92, nan]</t>
  </si>
  <si>
    <t>[11.81, 12.34, 27.44, nan]</t>
  </si>
  <si>
    <t>[6.92, 5.61, 55.93, nan]</t>
  </si>
  <si>
    <t>[2.96, 4.46, 12.19, nan]</t>
  </si>
  <si>
    <t>[7.07, 5.9, 3.81, 2.7]</t>
  </si>
  <si>
    <t>[20.8, 10.84, 21.9, nan]</t>
  </si>
  <si>
    <t>[13.63, 13.17, 9.91, nan]</t>
  </si>
  <si>
    <t>[nan, nan, 48.0, 123.49]</t>
  </si>
  <si>
    <t>[4.78, 4.38, nan, nan]</t>
  </si>
  <si>
    <t>[9.26, 5.21, nan, nan]</t>
  </si>
  <si>
    <t>[6.5, 6.97, 8.79, nan]</t>
  </si>
  <si>
    <t>[11.74, 10.58, 7.63, nan]</t>
  </si>
  <si>
    <t>[23.69, 29.74, 21.64, nan]</t>
  </si>
  <si>
    <t>[5.52, 4.45, nan, nan]</t>
  </si>
  <si>
    <t>[8.75, 7.41, 4.0, nan]</t>
  </si>
  <si>
    <t>[nan, nan, 25.58, nan]</t>
  </si>
  <si>
    <t>[20.52, nan, nan, nan]</t>
  </si>
  <si>
    <t>[nan, nan, 10740.77, nan]</t>
  </si>
  <si>
    <t>[10.01, 20.57, 17.1, nan]</t>
  </si>
  <si>
    <t>[11.58, nan, 15.54, nan]</t>
  </si>
  <si>
    <t>[nan, 1.0, nan, nan]</t>
  </si>
  <si>
    <t>[19.25, 8.59, 8.74, nan]</t>
  </si>
  <si>
    <t>[nan, 36.46, 22.67, nan]</t>
  </si>
  <si>
    <t>[71.66, 54.65, nan, nan]</t>
  </si>
  <si>
    <t>[9.34, 15.59, 13.11, nan]</t>
  </si>
  <si>
    <t>[41.37, 39.19, 33.82, nan]</t>
  </si>
  <si>
    <t>[20.6, 4.95, 27.38, nan]</t>
  </si>
  <si>
    <t>[6.11, 8.27, 11.2, nan]</t>
  </si>
  <si>
    <t>[5.04, 4.28, 8.97, nan]</t>
  </si>
  <si>
    <t>[5.84, 6.24, 3.85, nan]</t>
  </si>
  <si>
    <t>[13.58, 26.94, nan, nan]</t>
  </si>
  <si>
    <t>[13.74, 2.22, 4.62, nan]</t>
  </si>
  <si>
    <t>[17.73, 11.44, 9.96, nan]</t>
  </si>
  <si>
    <t>[29.54, 31.34, 13.73, nan]</t>
  </si>
  <si>
    <t>[16.67, 12.47, 9.82, nan]</t>
  </si>
  <si>
    <t>[4.92, 12.02, 11.59, nan]</t>
  </si>
  <si>
    <t>[20.79, 27.16, 5.67, nan]</t>
  </si>
  <si>
    <t>[9.13, nan, 21.9, 17.53]</t>
  </si>
  <si>
    <t>[10.56, 10.01, 9.5, nan]</t>
  </si>
  <si>
    <t>[11.02, 10.95, 4.66, nan]</t>
  </si>
  <si>
    <t>[nan, 5.09, 6.01, nan]</t>
  </si>
  <si>
    <t>[11.29, 9.52, 9.91, 12.83]</t>
  </si>
  <si>
    <t>[nan, nan, 17.19, nan]</t>
  </si>
  <si>
    <t>[27.16, 9.35, 182.52, 30.72]</t>
  </si>
  <si>
    <t>[12.88, 13.55, 21.13, 10.18]</t>
  </si>
  <si>
    <t>[15.16, 10.59, 14.08, 9.99]</t>
  </si>
  <si>
    <t>[16.33, 9.79, 10.73, 13.77]</t>
  </si>
  <si>
    <t>[3.61, 28.19, 34.54, 29.21]</t>
  </si>
  <si>
    <t>[9.64, 8.85, 10.02, 14.44]</t>
  </si>
  <si>
    <t>[8.99, 6.95, 6.28, nan]</t>
  </si>
  <si>
    <t>[10.33, nan, 14.48, 6.23]</t>
  </si>
  <si>
    <t>[nan, nan, 24.73, 10.36]</t>
  </si>
  <si>
    <t>[10.92, 15.15, 245.36, nan]</t>
  </si>
  <si>
    <t>[5.63, 20.98, 31.78, nan]</t>
  </si>
  <si>
    <t>[11.04, 22.14, 11.2, 28.58]</t>
  </si>
  <si>
    <t>[6.37, 5.01, 4.32, nan]</t>
  </si>
  <si>
    <t>[9.11, 6.69, 16.21, nan]</t>
  </si>
  <si>
    <t>[10.24, 11.48, 10.18, nan]</t>
  </si>
  <si>
    <t>[9.05, 9.83, 8.95, 5.13]</t>
  </si>
  <si>
    <t>[11.81, 7.13, 11.24, 6.86]</t>
  </si>
  <si>
    <t>[22.1, nan, 11.83, nan]</t>
  </si>
  <si>
    <t>[23.92, 16.67, 44.41, nan]</t>
  </si>
  <si>
    <t>[4.22, 3.67, 18.9, nan]</t>
  </si>
  <si>
    <t>[nan, nan, 5.93, nan]</t>
  </si>
  <si>
    <t>[20.06, 15.95, 11.57, 13.2]</t>
  </si>
  <si>
    <t>[8.46, 32.33, 21.78, nan]</t>
  </si>
  <si>
    <t>[8.62, 4.98, 4.09, nan]</t>
  </si>
  <si>
    <t>[nan, nan, 7.81, 4.64]</t>
  </si>
  <si>
    <t>[4.73, 4.08, 4.91, 5.74]</t>
  </si>
  <si>
    <t>[nan, 27.58, 5.9, nan]</t>
  </si>
  <si>
    <t>[4.1, nan, 58.86, 3.15]</t>
  </si>
  <si>
    <t>[15.75, 36.05, 11.72, 11.63]</t>
  </si>
  <si>
    <t>[10.88, 14.93, 4.71, 8.4]</t>
  </si>
  <si>
    <t>[14.38, 12.33, 9.11, 8.8]</t>
  </si>
  <si>
    <t>[20.56, 24.83, nan, nan]</t>
  </si>
  <si>
    <t>[11.97, 7.76, 11.26, nan]</t>
  </si>
  <si>
    <t>[7.72, 9.68, 8.59, nan]</t>
  </si>
  <si>
    <t>[3.44, 1.2, 2.38, nan]</t>
  </si>
  <si>
    <t>[nan, 52.55, 13.72, 13.79]</t>
  </si>
  <si>
    <t>[26.84, 20.71, 33.55, nan]</t>
  </si>
  <si>
    <t>[20.87, 19.45, 4.69, nan]</t>
  </si>
  <si>
    <t>[5.59, nan, nan, nan]</t>
  </si>
  <si>
    <t>[11.85, 0.6, 19.06, nan]</t>
  </si>
  <si>
    <t>[nan, 14.16, nan, 42.31]</t>
  </si>
  <si>
    <t>[nan, 9.57, 2.53, nan]</t>
  </si>
  <si>
    <t>[10.02, 6.55, 27.21, 6.44]</t>
  </si>
  <si>
    <t>[10.26, 8.83, 19.98, 5.77]</t>
  </si>
  <si>
    <t>[5.24, 8.44, nan, nan]</t>
  </si>
  <si>
    <t>[15.55, 18.63, 11.17, nan]</t>
  </si>
  <si>
    <t>[60.12, 40.35, nan, nan]</t>
  </si>
  <si>
    <t>[10.57, 5.75, 14.3, nan]</t>
  </si>
  <si>
    <t>[81.92, nan, nan, nan]</t>
  </si>
  <si>
    <t>[nan, 13.55, 8.06, nan]</t>
  </si>
  <si>
    <t>[nan, nan, 46.47, nan]</t>
  </si>
  <si>
    <t>[6.85, 3.5, 5.86, nan]</t>
  </si>
  <si>
    <t>[nan, 11.05, 12.95, 14.16]</t>
  </si>
  <si>
    <t>[38.31, nan, 51.51, nan]</t>
  </si>
  <si>
    <t>[19.39, 127.68, nan, nan]</t>
  </si>
  <si>
    <t>[15.59, 20.82, 21.63, nan]</t>
  </si>
  <si>
    <t>[23.76, 22.56, 6.87, nan]</t>
  </si>
  <si>
    <t>[11.7, 9.28, 9.62, nan]</t>
  </si>
  <si>
    <t>[4.49, 2.82, 1.46, nan]</t>
  </si>
  <si>
    <t>[nan, nan, nan, 9.41]</t>
  </si>
  <si>
    <t>[28.73, 5.92, 14.32, nan]</t>
  </si>
  <si>
    <t>[10.29, 7.24, 8.02, nan]</t>
  </si>
  <si>
    <t>[10.48, nan, nan, nan]</t>
  </si>
  <si>
    <t>[nan, 12.72, 31.23, nan]</t>
  </si>
  <si>
    <t>[nan, nan, 21.7, nan]</t>
  </si>
  <si>
    <t>[22.72, 13.52, 15.12, nan]</t>
  </si>
  <si>
    <t>[12.47, 4.48, 6.39, 5.43]</t>
  </si>
  <si>
    <t>[nan, nan, 8.68, 11.46]</t>
  </si>
  <si>
    <t>[nan, nan, 113.44, nan]</t>
  </si>
  <si>
    <t>[6.23, 6.43, 9.52, 10.04]</t>
  </si>
  <si>
    <t>[nan, 12.85, 208.92, nan]</t>
  </si>
  <si>
    <t>[14.98, 5.03, 6.46, nan]</t>
  </si>
  <si>
    <t>[18.75, 18.75, 4.11, nan]</t>
  </si>
  <si>
    <t>[0.18, 72.75, nan, nan]</t>
  </si>
  <si>
    <t>[14.04, 7.14, 11.81, nan]</t>
  </si>
  <si>
    <t>[15.23, 16.55, 15.37, 12.5]</t>
  </si>
  <si>
    <t>[6.28, 7.56, 3.9, nan]</t>
  </si>
  <si>
    <t>[8.9, 0.34, 16.08, nan]</t>
  </si>
  <si>
    <t>[nan, 203.06, 18.91, 91.54]</t>
  </si>
  <si>
    <t>[9.13, 4.26, 12.89, nan]</t>
  </si>
  <si>
    <t>[15.56, 14.02, nan, 8.76]</t>
  </si>
  <si>
    <t>[29.0, 5.06, nan, nan]</t>
  </si>
  <si>
    <t>[4.09, 6.08, 5.2, nan]</t>
  </si>
  <si>
    <t>[10.97, 17.48, 33.57, 23.06]</t>
  </si>
  <si>
    <t>[69.15, nan, 66.16, nan]</t>
  </si>
  <si>
    <t>[16.94, 70.47, 4.62, nan]</t>
  </si>
  <si>
    <t>[3.0, 2.15, 1.86, nan]</t>
  </si>
  <si>
    <t>[13.83, 8.8, 8.9, 7.88]</t>
  </si>
  <si>
    <t>[nan, 28.77, nan, nan]</t>
  </si>
  <si>
    <t>[12.18, 15.41, 8.62, nan]</t>
  </si>
  <si>
    <t>[6.58, 4.88, 6.65, nan]</t>
  </si>
  <si>
    <t>[7.74, 6.27, 4.93, nan]</t>
  </si>
  <si>
    <t>[nan, nan, 3.49, nan]</t>
  </si>
  <si>
    <t>[12.77, 10.26, 1.22, nan]</t>
  </si>
  <si>
    <t>[13.12, 3.99, 6.0, nan]</t>
  </si>
  <si>
    <t>[12.63, 9.43, 7.63, nan]</t>
  </si>
  <si>
    <t>[nan, 20.55, nan, nan]</t>
  </si>
  <si>
    <t>[12.26, 11.41, 4.2, nan]</t>
  </si>
  <si>
    <t>[12.98, 8.53, 13.97, nan]</t>
  </si>
  <si>
    <t>[11.73, 6.18, 6.51, nan]</t>
  </si>
  <si>
    <t>[17.25, 12.49, 8.78, nan]</t>
  </si>
  <si>
    <t>[10.93, nan, 19.22, nan]</t>
  </si>
  <si>
    <t>[nan, 7.78, 8.94, 7.44]</t>
  </si>
  <si>
    <t>[5.21, 2.79, 5.25, nan]</t>
  </si>
  <si>
    <t>[7.97, 6.74, 4.45, nan]</t>
  </si>
  <si>
    <t>[nan, 30.83, 25.0, 88.96]</t>
  </si>
  <si>
    <t>[14.68, 47.14, 9.22, nan]</t>
  </si>
  <si>
    <t>[39.43, nan, 6.53, nan]</t>
  </si>
  <si>
    <t>[10.17, 5.7, 7.14, nan]</t>
  </si>
  <si>
    <t>[nan, 8.38, nan, 54.52]</t>
  </si>
  <si>
    <t>[21.03, 17.0, 21.73, nan]</t>
  </si>
  <si>
    <t>[nan, nan, 35.97, nan]</t>
  </si>
  <si>
    <t>[8.79, 8.9, 21.21, nan]</t>
  </si>
  <si>
    <t>[13.86, 33.3, 25.7, nan]</t>
  </si>
  <si>
    <t>[16.89, 9.91, nan, nan]</t>
  </si>
  <si>
    <t>[36.59, 33.15, 18.36, nan]</t>
  </si>
  <si>
    <t>[9.29, 5.62, 5.41, nan]</t>
  </si>
  <si>
    <t>[50.15, 19.33, 14.29, nan]</t>
  </si>
  <si>
    <t>[8.04, nan, nan, nan]</t>
  </si>
  <si>
    <t>[18.49, nan, nan, nan]</t>
  </si>
  <si>
    <t>[8.2, nan, nan, nan]</t>
  </si>
  <si>
    <t>[5.36, 5.48, 6.94, nan]</t>
  </si>
  <si>
    <t>[14.65, 14.65, 9.46, nan]</t>
  </si>
  <si>
    <t>[3.52, 9.59, 129.11, nan]</t>
  </si>
  <si>
    <t>[nan, 351.03, nan, nan]</t>
  </si>
  <si>
    <t>[14.14, 4.37, 67.05, nan]</t>
  </si>
  <si>
    <t>[9.2, 6.49, 9.09, nan]</t>
  </si>
  <si>
    <t>[nan, nan, 32.56, nan]</t>
  </si>
  <si>
    <t>[9.91, 7.91, 10.16, nan]</t>
  </si>
  <si>
    <t>[nan, nan, 4.5, nan]</t>
  </si>
  <si>
    <t>[12.37, 10.78, 4.1, nan]</t>
  </si>
  <si>
    <t>[31.58, 33.01, 5.39, nan]</t>
  </si>
  <si>
    <t>[3.94, nan, nan, nan]</t>
  </si>
  <si>
    <t>[18.64, 45.52, nan, nan]</t>
  </si>
  <si>
    <t>[6.13, 3.45, 4.15, nan]</t>
  </si>
  <si>
    <t>[9.69, 7.3, 6.62, nan]</t>
  </si>
  <si>
    <t>[5.23, 37.47, nan, nan]</t>
  </si>
  <si>
    <t>[5.65, 7.03, 10.73, nan]</t>
  </si>
  <si>
    <t>[19.44, 9.1, 6.33, nan]</t>
  </si>
  <si>
    <t>[nan, 9.83, nan, nan]</t>
  </si>
  <si>
    <t>[295.57, nan, nan, nan]</t>
  </si>
  <si>
    <t>[8.48, nan, nan, nan]</t>
  </si>
  <si>
    <t>[nan, nan, 6.49, nan]</t>
  </si>
  <si>
    <t>[168.02, nan, nan, nan]</t>
  </si>
  <si>
    <t>[35.92, 31.95, 20.21, nan]</t>
  </si>
  <si>
    <t>[7.05, 2.94, 7.5, nan]</t>
  </si>
  <si>
    <t>[4.95, 12.07, 7.53, nan]</t>
  </si>
  <si>
    <t>[nan, nan, 15.68, nan]</t>
  </si>
  <si>
    <t>[4.26, nan, nan, nan]</t>
  </si>
  <si>
    <t>[12.61, 12.9, 24.19, nan]</t>
  </si>
  <si>
    <t>[26.6, 20.18, 24.19, nan]</t>
  </si>
  <si>
    <t>[31.08, 156.96, 1.46, nan]</t>
  </si>
  <si>
    <t>[5.37, 3.67, 2.62, nan]</t>
  </si>
  <si>
    <t>[5.33, 5.46, 6.49, nan]</t>
  </si>
  <si>
    <t>[9.64, 7.38, 23.34, nan]</t>
  </si>
  <si>
    <t>[23.7, 34.4, 20.77, nan]</t>
  </si>
  <si>
    <t>[14.8, 39.89, 13.48, nan]</t>
  </si>
  <si>
    <t>[nan, nan, 6.34, nan]</t>
  </si>
  <si>
    <t>[nan, nan, 6.77, nan]</t>
  </si>
  <si>
    <t>[51.01, 13.49, 12.57, nan]</t>
  </si>
  <si>
    <t>[22.49, 16.69, 15.12, nan]</t>
  </si>
  <si>
    <t>[6.26, 9.48, 7.79, nan]</t>
  </si>
  <si>
    <t>[15.48, 5.61, 4.98, nan]</t>
  </si>
  <si>
    <t>[nan, nan, 13.63, nan]</t>
  </si>
  <si>
    <t>[nan, 29.66, 17.25, nan]</t>
  </si>
  <si>
    <t>[nan, 28.95, 8.16, nan]</t>
  </si>
  <si>
    <t>[nan, nan, 11.08, nan]</t>
  </si>
  <si>
    <t>[2.96, 3.12, 5.73, 17.69]</t>
  </si>
  <si>
    <t>[24.33, nan, nan, nan]</t>
  </si>
  <si>
    <t>[14.98, 10.58, 1.96, nan]</t>
  </si>
  <si>
    <t>[5.19, 4.83, 4.8, nan]</t>
  </si>
  <si>
    <t>[40.5, 27.89, 173.62, nan]</t>
  </si>
  <si>
    <t>[7.29, 4.68, 4.6, nan]</t>
  </si>
  <si>
    <t>[14.23, 23.43, 12.95, nan]</t>
  </si>
  <si>
    <t>[7.57, 5.4, 5.11, nan]</t>
  </si>
  <si>
    <t>[8.68, nan, 31.29, nan]</t>
  </si>
  <si>
    <t>[13.15, 9.47, 15.81, nan]</t>
  </si>
  <si>
    <t>[6.66, 9.81, 14.43, nan]</t>
  </si>
  <si>
    <t>[13.02, 19.4, 20.28, 18.72]</t>
  </si>
  <si>
    <t>[9.74, 8.27, 10.33, nan]</t>
  </si>
  <si>
    <t>[7.14, 6.2, 7.22, nan]</t>
  </si>
  <si>
    <t>[17.62, 10.17, 28.64, nan]</t>
  </si>
  <si>
    <t>[10.56, 9.52, 8.8, 9.31]</t>
  </si>
  <si>
    <t>[4.05, nan, nan, nan]</t>
  </si>
  <si>
    <t>[8.37, 7.58, 7.61, nan]</t>
  </si>
  <si>
    <t>[6.25, nan, 6.87, nan]</t>
  </si>
  <si>
    <t>[nan, nan, 6.82, nan]</t>
  </si>
  <si>
    <t>[nan, 4.05, 9.99, nan]</t>
  </si>
  <si>
    <t>[19.6, 5.62, 15.72, nan]</t>
  </si>
  <si>
    <t>[64.15, 71.39, 1.28, nan]</t>
  </si>
  <si>
    <t>[9.49, 10.13, 68.41, nan]</t>
  </si>
  <si>
    <t>[23.86, 6.92, nan, nan]</t>
  </si>
  <si>
    <t>[5.41, 3.66, 9.56, nan]</t>
  </si>
  <si>
    <t>[6.67, 5.18, 5.84, nan]</t>
  </si>
  <si>
    <t>[7.16, 7.17, 6.27, nan]</t>
  </si>
  <si>
    <t>[12.66, 5.38, 7.39, 12.14]</t>
  </si>
  <si>
    <t>[nan, nan, 9.05, nan]</t>
  </si>
  <si>
    <t>[nan, nan, 24.69, nan]</t>
  </si>
  <si>
    <t>[16.38, 8.56, 8.77, 9.87]</t>
  </si>
  <si>
    <t>[88.64, 17.28, 32.18, nan]</t>
  </si>
  <si>
    <t>[5.4, nan, nan, nan]</t>
  </si>
  <si>
    <t>[nan, 12.17, nan, nan]</t>
  </si>
  <si>
    <t>[nan, 9.38, 8.22, nan]</t>
  </si>
  <si>
    <t>[8.07, 6.68, nan, nan]</t>
  </si>
  <si>
    <t>[nan, 3.13, 56.74, nan]</t>
  </si>
  <si>
    <t>[nan, 5.99, nan, nan]</t>
  </si>
  <si>
    <t>[22.04, 6.96, nan, nan]</t>
  </si>
  <si>
    <t>[7.23, 84.96, 6.26, nan]</t>
  </si>
  <si>
    <t>[69.77, nan, nan, nan]</t>
  </si>
  <si>
    <t>[4.2, 3.51, 3.14, nan]</t>
  </si>
  <si>
    <t>[12.53, 15.25, 19.99, nan]</t>
  </si>
  <si>
    <t>[7.78, nan, nan, nan]</t>
  </si>
  <si>
    <t>[8.76, 22.63, 30.42, nan]</t>
  </si>
  <si>
    <t>[13.64, 6.24, nan, nan]</t>
  </si>
  <si>
    <t>[20.67, 26.64, 17.46, nan]</t>
  </si>
  <si>
    <t>[nan, 3.67, 5.07, nan]</t>
  </si>
  <si>
    <t>[8.43, 10.79, 16.58, nan]</t>
  </si>
  <si>
    <t>[14.66, 2.85, nan, nan]</t>
  </si>
  <si>
    <t>[20.52, 152.31, 51.4, nan]</t>
  </si>
  <si>
    <t>[178.17, 36.54, nan, nan]</t>
  </si>
  <si>
    <t>[8.76, 2.06, 13.51, nan]</t>
  </si>
  <si>
    <t>[nan, 20.72, 40.12, nan]</t>
  </si>
  <si>
    <t>[18.31, nan, 8.35, nan]</t>
  </si>
  <si>
    <t>[0.64, nan, nan, nan]</t>
  </si>
  <si>
    <t>[nan, 2.16, 9.08, 6.15]</t>
  </si>
  <si>
    <t>[nan, 9.82, 8.11, nan]</t>
  </si>
  <si>
    <t>[7.83, 5.88, 3.62, nan]</t>
  </si>
  <si>
    <t>[23.43, nan, nan, nan]</t>
  </si>
  <si>
    <t>[9.5, 10.34, 13.65, nan]</t>
  </si>
  <si>
    <t>[4.39, 20.61, 19.56, nan]</t>
  </si>
  <si>
    <t>[3.5, 138.72, nan, nan]</t>
  </si>
  <si>
    <t>[16.27, 3.26, 14.74, nan]</t>
  </si>
  <si>
    <t>[11.71, 5.72, 23.41, nan]</t>
  </si>
  <si>
    <t>[13.71, nan, nan, nan]</t>
  </si>
  <si>
    <t>[nan, 7.96, nan, nan]</t>
  </si>
  <si>
    <t>[11.26, 10.53, 5.49, nan]</t>
  </si>
  <si>
    <t>[9.85, 9.82, 7.11, nan]</t>
  </si>
  <si>
    <t>[18.36, 7.36, 7.99, nan]</t>
  </si>
  <si>
    <t>[8.57, 4.22, 14.4, nan]</t>
  </si>
  <si>
    <t>[12.09, 11.04, 49.77, nan]</t>
  </si>
  <si>
    <t>[19.35, nan, 1816.46, nan]</t>
  </si>
  <si>
    <t>[31.17, 6.22, 18.88, nan]</t>
  </si>
  <si>
    <t>[10.35, 6.4, nan, nan]</t>
  </si>
  <si>
    <t>[21.05, 19.89, 23.63, nan]</t>
  </si>
  <si>
    <t>[295.07, nan, nan, nan]</t>
  </si>
  <si>
    <t>[8.83, 8.64, 14.01, nan]</t>
  </si>
  <si>
    <t>[7.87, 12.34, 7.09, nan]</t>
  </si>
  <si>
    <t>[5.48, 7.24, 23.77, nan]</t>
  </si>
  <si>
    <t>[15.04, 10.86, 10.64, nan]</t>
  </si>
  <si>
    <t>[10.87, 7.35, nan, nan]</t>
  </si>
  <si>
    <t>[3.99, 3.42, 2.6, nan]</t>
  </si>
  <si>
    <t>[25.04, 19.97, 26.75, nan]</t>
  </si>
  <si>
    <t>[9.0, 15.46, 38.96, 12.57]</t>
  </si>
  <si>
    <t>[14.24, 6.58, 9.69, nan]</t>
  </si>
  <si>
    <t>[14.97, 22.53, 4.24, nan]</t>
  </si>
  <si>
    <t>[6.04, 6.0, 3.97, nan]</t>
  </si>
  <si>
    <t>[12.77, 13.32, 171.77, nan]</t>
  </si>
  <si>
    <t>[12.77, 14.19, 12.67, nan]</t>
  </si>
  <si>
    <t>[47.83, 60.66, 314.95, nan]</t>
  </si>
  <si>
    <t>[6.15, 4.03, 33.25, nan]</t>
  </si>
  <si>
    <t>[nan, nan, 25.67, nan]</t>
  </si>
  <si>
    <t>[nan, 11.79, nan, nan]</t>
  </si>
  <si>
    <t>[5.4, nan, 1.64, nan]</t>
  </si>
  <si>
    <t>[34.77, nan, 20.05, nan]</t>
  </si>
  <si>
    <t>[8.48, 3.57, 12.71, nan]</t>
  </si>
  <si>
    <t>[7.54, 7.46, 8.85, 11.01]</t>
  </si>
  <si>
    <t>[10.98, 32.64, 10.58, 5.86]</t>
  </si>
  <si>
    <t>[24.38, 8.79, 10.09, nan]</t>
  </si>
  <si>
    <t>[nan, nan, 1.42, nan]</t>
  </si>
  <si>
    <t>[2.21, 2.06, 3.05, 5.21]</t>
  </si>
  <si>
    <t>[25.98, nan, 42.1, nan]</t>
  </si>
  <si>
    <t>[16.85, 12.57, 7.3, 5.12]</t>
  </si>
  <si>
    <t>[7.87, 10.52, 11.56, 30.19]</t>
  </si>
  <si>
    <t>[694.4, 10.78, 6.86, nan]</t>
  </si>
  <si>
    <t>[29.21, 149.52, nan, nan]</t>
  </si>
  <si>
    <t>[nan, 64.55, 2.41, nan]</t>
  </si>
  <si>
    <t>[5.95, 15.27, 5.6, nan]</t>
  </si>
  <si>
    <t>[4.52, 5.6, 6.53, nan]</t>
  </si>
  <si>
    <t>[17.58, 19.56, 13.28, 9.55]</t>
  </si>
  <si>
    <t>[6.77, 9.88, 16.74, 4.72]</t>
  </si>
  <si>
    <t>[231.73, nan, nan, nan]</t>
  </si>
  <si>
    <t>[7.38, 24.38, 7.78, nan]</t>
  </si>
  <si>
    <t>[98.59, 8.22, 9.09, nan]</t>
  </si>
  <si>
    <t>[7.0, 9.0, 37.44, nan]</t>
  </si>
  <si>
    <t>[35.72, 353.9, 33.37, nan]</t>
  </si>
  <si>
    <t>[55.84, nan, 3.86, nan]</t>
  </si>
  <si>
    <t>[13.11, 11.94, 12.65, 14.98]</t>
  </si>
  <si>
    <t>[12.14, 6.41, 4.82, 9.37]</t>
  </si>
  <si>
    <t>[8.9, 6.71, 8.59, nan]</t>
  </si>
  <si>
    <t>[11.1, 19.12, 6.06, nan]</t>
  </si>
  <si>
    <t>[8.82, 10.58, 169.79, nan]</t>
  </si>
  <si>
    <t>[16.1, 14.66, 14.53, nan]</t>
  </si>
  <si>
    <t>[9.85, 6.96, 6.64, nan]</t>
  </si>
  <si>
    <t>[8.14, 24.13, 9.03, nan]</t>
  </si>
  <si>
    <t>[1.86, 10.61, nan, 9.35]</t>
  </si>
  <si>
    <t>[79.31, 11.17, 7.36, nan]</t>
  </si>
  <si>
    <t>[15.11, 18.15, 31.62, nan]</t>
  </si>
  <si>
    <t>[6.48, 6.12, 5.25, 4.1]</t>
  </si>
  <si>
    <t>[18.82, 13.91, 7.79, 7.11]</t>
  </si>
  <si>
    <t>[14.23, 12.44, 3.46, nan]</t>
  </si>
  <si>
    <t>[1.02, nan, nan, nan]</t>
  </si>
  <si>
    <t>[11.17, 11.52, 11.06, nan]</t>
  </si>
  <si>
    <t>[10.78, 6.99, 10.95, 10.06]</t>
  </si>
  <si>
    <t>[9.5, 7.5, 9.44, 7.86]</t>
  </si>
  <si>
    <t>[10.66, 13.8, 13.13, nan]</t>
  </si>
  <si>
    <t>[7.45, 3.17, 5.28, nan]</t>
  </si>
  <si>
    <t>[66.98, 28.1, 13.67, nan]</t>
  </si>
  <si>
    <t>[42.75, nan, 9.67, nan]</t>
  </si>
  <si>
    <t>[nan, 31.98, 7.29, nan]</t>
  </si>
  <si>
    <t>[7.55, 8.58, 25.68, nan]</t>
  </si>
  <si>
    <t>[9.6, 7.12, 5.71, nan]</t>
  </si>
  <si>
    <t>[7.99, 3.88, 7.18, 10.49]</t>
  </si>
  <si>
    <t>[7.57, nan, 4.93, 2.68]</t>
  </si>
  <si>
    <t>[22.22, 18.78, 13.02, nan]</t>
  </si>
  <si>
    <t>[5.51, 5.78, 14.67, nan]</t>
  </si>
  <si>
    <t>[4.62, 6.95, 6.21, 37.27]</t>
  </si>
  <si>
    <t>[6.87, 6.15, 5.84, nan]</t>
  </si>
  <si>
    <t>[nan, 11.76, 12.3, nan]</t>
  </si>
  <si>
    <t>[5.5, 8.65, nan, nan]</t>
  </si>
  <si>
    <t>[nan, 20.88, 11.41, nan]</t>
  </si>
  <si>
    <t>[25.37, 21.23, nan, nan]</t>
  </si>
  <si>
    <t>[8.99, 10.34, 10.14, nan]</t>
  </si>
  <si>
    <t>[24.07, 28.62, 56.89, nan]</t>
  </si>
  <si>
    <t>[8.81, 8.33, 8.03, nan]</t>
  </si>
  <si>
    <t>[8.55, 33.05, 8.95, nan]</t>
  </si>
  <si>
    <t>[20.99, 20.88, 13.44, 10.96]</t>
  </si>
  <si>
    <t>[5.11, 14.55, 1.52, nan]</t>
  </si>
  <si>
    <t>[4.36, 10.53, 155.66, nan]</t>
  </si>
  <si>
    <t>[7.81, 7.0, nan, nan]</t>
  </si>
  <si>
    <t>[5.15, 11.52, 5.4, nan]</t>
  </si>
  <si>
    <t>[18.75, 5.01, 6.89, nan]</t>
  </si>
  <si>
    <t>[8.3, 11.81, 13.65, nan]</t>
  </si>
  <si>
    <t>[21.35, 9.81, 15.24, 14.44]</t>
  </si>
  <si>
    <t>[11.75, 8.42, 8.8, 7.6]</t>
  </si>
  <si>
    <t>[11.86, 11.59, 13.0, 10.23]</t>
  </si>
  <si>
    <t>[12.82, 12.74, 19.15, 12.74]</t>
  </si>
  <si>
    <t>[27.87, 13.04, 15.95, nan]</t>
  </si>
  <si>
    <t>[4.95, 5.06, 4.07, nan]</t>
  </si>
  <si>
    <t>[28.72, 9.95, 19.25, nan]</t>
  </si>
  <si>
    <t>[10.24, 8.58, 8.19, nan]</t>
  </si>
  <si>
    <t>[24.67, 15.66, 21.09, 16.17]</t>
  </si>
  <si>
    <t>[18.69, 10.04, 31.9, nan]</t>
  </si>
  <si>
    <t>[37.07, 14.96, 16.33, nan]</t>
  </si>
  <si>
    <t>[13.89, 5.73, 4.46, nan]</t>
  </si>
  <si>
    <t>[30.5, 75.47, 44.4, nan]</t>
  </si>
  <si>
    <t>[42.95, 37.39, 47.33, nan]</t>
  </si>
  <si>
    <t>[5.22, 3.88, nan, nan]</t>
  </si>
  <si>
    <t>[18.77, 4.93, 6.92, 8.59]</t>
  </si>
  <si>
    <t>[303.15, 68.96, 25.2, nan]</t>
  </si>
  <si>
    <t>[6.14, 30.18, nan, nan]</t>
  </si>
  <si>
    <t>[12.37, nan, nan, 31.08]</t>
  </si>
  <si>
    <t>[5.62, 6.01, 10.74, 35.6]</t>
  </si>
  <si>
    <t>[7.66, 18.86, 12.46, 5.19]</t>
  </si>
  <si>
    <t>[10.96, 12.89, nan, nan]</t>
  </si>
  <si>
    <t>[5.81, 5.18, 4.15, nan]</t>
  </si>
  <si>
    <t>[11.97, 12.41, 7.79, nan]</t>
  </si>
  <si>
    <t>[8.18, 7.11, 4.8, 5.39]</t>
  </si>
  <si>
    <t>[6.76, 10.46, 6.75, 4.89]</t>
  </si>
  <si>
    <t>[23.91, 37.98, 25.72, nan]</t>
  </si>
  <si>
    <t>[7.75, 5.42, 26.08, nan]</t>
  </si>
  <si>
    <t>[3.82, 3.39, nan, nan]</t>
  </si>
  <si>
    <t>[10.87, nan, 10.21, nan]</t>
  </si>
  <si>
    <t>[5.74, 11.9, 22.13, nan]</t>
  </si>
  <si>
    <t>[nan, nan, 3.0, nan]</t>
  </si>
  <si>
    <t>[12.15, 11.33, 9.31, 9.75]</t>
  </si>
  <si>
    <t>[3.95, 8.34, 7.48, nan]</t>
  </si>
  <si>
    <t>[23.68, 99.9, 43.33, nan]</t>
  </si>
  <si>
    <t>[13.58, 1.77, 13.23, nan]</t>
  </si>
  <si>
    <t>[6.68, 6.6, 12.02, 9.07]</t>
  </si>
  <si>
    <t>[67.63, 64.56, 1.59, nan]</t>
  </si>
  <si>
    <t>[21.35, 10.02, 5.31, nan]</t>
  </si>
  <si>
    <t>[12.77, 22.94, 6.6, 5.25]</t>
  </si>
  <si>
    <t>[6.86, 70.23, 6.69, nan]</t>
  </si>
  <si>
    <t>[8.19, 7.22, 7.72, nan]</t>
  </si>
  <si>
    <t>[16.57, 11.3, 11.39, 9.54]</t>
  </si>
  <si>
    <t>[7.65, 6.19, 3.3, nan]</t>
  </si>
  <si>
    <t>[13.61, 9.36, 12.98, nan]</t>
  </si>
  <si>
    <t>[12.61, 10.77, 8.7, nan]</t>
  </si>
  <si>
    <t>[12.43, 8.73, 8.0, 9.06]</t>
  </si>
  <si>
    <t>[5.93, nan, nan, nan]</t>
  </si>
  <si>
    <t>[8.61, 11.99, 11.56, nan]</t>
  </si>
  <si>
    <t>[17.48, nan, 20.41, 3.23]</t>
  </si>
  <si>
    <t>[11.17, 16.0, 14.13, 7.0]</t>
  </si>
  <si>
    <t>[14.31, nan, 47.3, 13.15]</t>
  </si>
  <si>
    <t>[19.04, 18.14, nan, 13.79]</t>
  </si>
  <si>
    <t>[7.86, 3.91, 60.76, 19.91]</t>
  </si>
  <si>
    <t>[11.08, 11.99, nan, nan]</t>
  </si>
  <si>
    <t>[80.61, 12.55, 105.91, 18.44]</t>
  </si>
  <si>
    <t>[11.92, 10.86, 8.02, 5.81]</t>
  </si>
  <si>
    <t>[7.59, 6.36, 9.85, nan]</t>
  </si>
  <si>
    <t>[18.63, 13.35, 10.92, nan]</t>
  </si>
  <si>
    <t>[22.73, 6.52, 13.23, nan]</t>
  </si>
  <si>
    <t>[84.51, nan, nan, 44.57]</t>
  </si>
  <si>
    <t>[20.46, 37.01, 37.64, nan]</t>
  </si>
  <si>
    <t>[8.52, 20.95, 11.81, nan]</t>
  </si>
  <si>
    <t>[0.2, 14.01, 19.91, 18.41]</t>
  </si>
  <si>
    <t>[7.62, 4.76, 4.44, 3.81]</t>
  </si>
  <si>
    <t>[41.47, 22.71, 7.15, nan]</t>
  </si>
  <si>
    <t>[11.68, 13.92, 11.44, 11.68]</t>
  </si>
  <si>
    <t>[15.71, 11.76, 6.98, nan]</t>
  </si>
  <si>
    <t>[nan, nan, 40.19, nan]</t>
  </si>
  <si>
    <t>[38.34, 3.47, 3.7, nan]</t>
  </si>
  <si>
    <t>[7.62, 9.36, 9.81, 6.25]</t>
  </si>
  <si>
    <t>[5.9, 3.69, 3.68, 3.89]</t>
  </si>
  <si>
    <t>[nan, 6007.43, 14.75, nan]</t>
  </si>
  <si>
    <t>[7.47, 8.07, 8.4, nan]</t>
  </si>
  <si>
    <t>[8.01, 6.35, 6.01, 5.49]</t>
  </si>
  <si>
    <t>[15.05, 8.38, 9.7, nan]</t>
  </si>
  <si>
    <t>[4.62, 4.9, nan, nan]</t>
  </si>
  <si>
    <t>[5.97, 5.41, 8.98, nan]</t>
  </si>
  <si>
    <t>[nan, 5.97, 5.61, 6.79]</t>
  </si>
  <si>
    <t>[10.9, 9.9, nan, nan]</t>
  </si>
  <si>
    <t>[5.55, 1.01, 2.57, nan]</t>
  </si>
  <si>
    <t>[10.11, 6.46, nan, nan]</t>
  </si>
  <si>
    <t>[6.99, 16.13, 12.13, nan]</t>
  </si>
  <si>
    <t>[nan, 8.54, 2.53, 6.79]</t>
  </si>
  <si>
    <t>[5.1, 3.89, 3.16, 3.33]</t>
  </si>
  <si>
    <t>[13.81, 24.59, nan, nan]</t>
  </si>
  <si>
    <t>[10.39, 12.53, 11.24, 16.6]</t>
  </si>
  <si>
    <t>[25.68, 45.44, 9.62, nan]</t>
  </si>
  <si>
    <t>[3.59, nan, 35.65, 7.03]</t>
  </si>
  <si>
    <t>[17.67, 11.94, 754.05, nan]</t>
  </si>
  <si>
    <t>[27.69, 137.43, 41.18, nan]</t>
  </si>
  <si>
    <t>[nan, 43.53, 12.33, nan]</t>
  </si>
  <si>
    <t>[55.46, 17.85, 36.08, nan]</t>
  </si>
  <si>
    <t>[7.67, 6.39, 5.5, nan]</t>
  </si>
  <si>
    <t>[4.45, 4.25, 3.98, nan]</t>
  </si>
  <si>
    <t>[8.92, 5.9, 7.9, nan]</t>
  </si>
  <si>
    <t>[7.85, 7.05, 8.37, nan]</t>
  </si>
  <si>
    <t>[5.98, 7.1, nan, nan]</t>
  </si>
  <si>
    <t>[9.72, 9.81, nan, nan]</t>
  </si>
  <si>
    <t>[15.34, 7.38, 9.66, nan]</t>
  </si>
  <si>
    <t>[nan, 12.08, 13.2, nan]</t>
  </si>
  <si>
    <t>[14.03, 11.82, 9.83, 17.58]</t>
  </si>
  <si>
    <t>[7.21, 5.27, 4.93, 5.03]</t>
  </si>
  <si>
    <t>[123.09, 274.54, 13.33, nan]</t>
  </si>
  <si>
    <t>[5.09, 5.05, 5.84, nan]</t>
  </si>
  <si>
    <t>[9.77, 9.22, 8.04, 23.14]</t>
  </si>
  <si>
    <t>[6.03, 13.22, 8.82, nan]</t>
  </si>
  <si>
    <t>[5.09, nan, 36.82, nan]</t>
  </si>
  <si>
    <t>[13.06, 6.94, 9.95, nan]</t>
  </si>
  <si>
    <t>[5.42, 6.95, 56.65, nan]</t>
  </si>
  <si>
    <t>[7.54, 7.66, 4.6, nan]</t>
  </si>
  <si>
    <t>[2.95, 2.18, 2.53, nan]</t>
  </si>
  <si>
    <t>[nan, nan, 133.14, nan]</t>
  </si>
  <si>
    <t>[15.05, 14.66, 5.83, nan]</t>
  </si>
  <si>
    <t>[2.16, 3.14, 9.52, nan]</t>
  </si>
  <si>
    <t>[37.78, 7.72, 4.03, nan]</t>
  </si>
  <si>
    <t>[31.38, 74.96, 19.27, nan]</t>
  </si>
  <si>
    <t>[88.85, 25.13, nan, nan]</t>
  </si>
  <si>
    <t>[nan, 22.3, 18.93, nan]</t>
  </si>
  <si>
    <t>[487.62, 40.05, 102.96, nan]</t>
  </si>
  <si>
    <t>[9.31, 1.67, 20.31, nan]</t>
  </si>
  <si>
    <t>[13.51, 11.31, 8.77, nan]</t>
  </si>
  <si>
    <t>[4.68, 16.64, 9.82, nan]</t>
  </si>
  <si>
    <t>[11.97, 8.18, 25.91, 91.77]</t>
  </si>
  <si>
    <t>[8.37, 10.82, 4.92, 3.58]</t>
  </si>
  <si>
    <t>[49.42, 178.04, nan, 11.22]</t>
  </si>
  <si>
    <t>[1.81, 6.62, 2.96, nan]</t>
  </si>
  <si>
    <t>[9.11, 10.19, nan, nan]</t>
  </si>
  <si>
    <t>[19.09, 16.38, 9.26, nan]</t>
  </si>
  <si>
    <t>[8.29, 6.96, 21.59, 14.4]</t>
  </si>
  <si>
    <t>[nan, 6.69, 9.2, nan]</t>
  </si>
  <si>
    <t>[934.72, 40.12, 37.89, nan]</t>
  </si>
  <si>
    <t>[68.28, 747.91, 17.74, nan]</t>
  </si>
  <si>
    <t>[10.5, 4.21, 9.05, nan]</t>
  </si>
  <si>
    <t>[9.63, 4.6, 5.1, nan]</t>
  </si>
  <si>
    <t>[12.13, 9.52, 11.58, nan]</t>
  </si>
  <si>
    <t>[17.47, 16.27, 16.2, nan]</t>
  </si>
  <si>
    <t>[36.75, nan, 36.16, nan]</t>
  </si>
  <si>
    <t>[14.62, 8.16, 7.11, nan]</t>
  </si>
  <si>
    <t>[12.1, nan, nan, 9.07]</t>
  </si>
  <si>
    <t>[6.8, 21.42, 7.53, 12.13]</t>
  </si>
  <si>
    <t>[36.45, nan, nan, nan]</t>
  </si>
  <si>
    <t>[13.86, 1213.79, 34.27, nan]</t>
  </si>
  <si>
    <t>[15.29, 13.63, 11.43, nan]</t>
  </si>
  <si>
    <t>[16.76, 138.65, 9.65, nan]</t>
  </si>
  <si>
    <t>[3.33, 13.01, 13.61, nan]</t>
  </si>
  <si>
    <t>[12.84, 15.03, 9.13, 7.86]</t>
  </si>
  <si>
    <t>[10.57, 9.88, 5.43, nan]</t>
  </si>
  <si>
    <t>[8.09, 12.39, 5.1, nan]</t>
  </si>
  <si>
    <t>[6.79, 8.45, 8.11, nan]</t>
  </si>
  <si>
    <t>[16.6, 5.27, 7.45, nan]</t>
  </si>
  <si>
    <t>[nan, nan, 92.09, nan]</t>
  </si>
  <si>
    <t>[7.02, 10.86, nan, nan]</t>
  </si>
  <si>
    <t>[8.64, 4.77, 8.61, 6.54]</t>
  </si>
  <si>
    <t>[0.76, 19.02, 23.05, nan]</t>
  </si>
  <si>
    <t>[6.57, 25.86, 10.62, nan]</t>
  </si>
  <si>
    <t>[nan, 18.77, nan, nan]</t>
  </si>
  <si>
    <t>[8.03, 5.95, 6.19, 4.9]</t>
  </si>
  <si>
    <t>[18.43, 25.47, 45.55, 7.44]</t>
  </si>
  <si>
    <t>[8.96, 9.88, 24.08, nan]</t>
  </si>
  <si>
    <t>[0.99, nan, nan, nan]</t>
  </si>
  <si>
    <t>[5.73, 4.95, 4.7, nan]</t>
  </si>
  <si>
    <t>[32.46, 3.57, 4.37, nan]</t>
  </si>
  <si>
    <t>[24.55, 17.27, nan, nan]</t>
  </si>
  <si>
    <t>[42.03, 20.2, 23.27, nan]</t>
  </si>
  <si>
    <t>[9.36, nan, nan, nan]</t>
  </si>
  <si>
    <t>[82.19, 19.76, 323.72, nan]</t>
  </si>
  <si>
    <t>[9.95, 10.13, 5.81, nan]</t>
  </si>
  <si>
    <t>[10.13, 0.82, 5.01, nan]</t>
  </si>
  <si>
    <t>[7.71, 5.4, 7.05, 6.43]</t>
  </si>
  <si>
    <t>[10.05, nan, 11.41, nan]</t>
  </si>
  <si>
    <t>[25.38, 6.33, 14.59, nan]</t>
  </si>
  <si>
    <t>[2.69, 9.04, 9.4, nan]</t>
  </si>
  <si>
    <t>[11.6, 6.37, 7.52, nan]</t>
  </si>
  <si>
    <t>[nan, nan, 31.12, nan]</t>
  </si>
  <si>
    <t>[57.22, nan, nan, nan]</t>
  </si>
  <si>
    <t>[6.03, 4.95, 5.37, nan]</t>
  </si>
  <si>
    <t>[29.93, 33.11, 29.45, nan]</t>
  </si>
  <si>
    <t>[16.72, 18.16, 104.16, nan]</t>
  </si>
  <si>
    <t>[6.36, nan, nan, nan]</t>
  </si>
  <si>
    <t>[12.26, 11.3, 15.2, 7.77]</t>
  </si>
  <si>
    <t>[14.81, 20.53, 3.97, nan]</t>
  </si>
  <si>
    <t>[nan, nan, 2.77, nan]</t>
  </si>
  <si>
    <t>[16.53, 10.83, 24.35, nan]</t>
  </si>
  <si>
    <t>[135.6, 86.33, 32.5, nan]</t>
  </si>
  <si>
    <t>[41.78, 24.25, 56.23, nan]</t>
  </si>
  <si>
    <t>[nan, 31.31, 36.96, nan]</t>
  </si>
  <si>
    <t>[9.48, 8.0, 11.73, nan]</t>
  </si>
  <si>
    <t>[nan, 18.63, 42.59, nan]</t>
  </si>
  <si>
    <t>[11.42, 8.32, 8.12, nan]</t>
  </si>
  <si>
    <t>[12.35, 16.78, 17.88, nan]</t>
  </si>
  <si>
    <t>[nan, nan, 15.8, nan]</t>
  </si>
  <si>
    <t>[29.67, 28.77, nan, nan]</t>
  </si>
  <si>
    <t>[nan, nan, 4.29, 5.09]</t>
  </si>
  <si>
    <t>[30.06, nan, nan, nan]</t>
  </si>
  <si>
    <t>[6.24, 3.98, 4.66, nan]</t>
  </si>
  <si>
    <t>[0.61, 21.09, nan, nan]</t>
  </si>
  <si>
    <t>[14.74, 11.9, 12.16, nan]</t>
  </si>
  <si>
    <t>[77.64, nan, 7.62, nan]</t>
  </si>
  <si>
    <t>[9.96, nan, 17.58, nan]</t>
  </si>
  <si>
    <t>[10.45, 10.34, 6.15, 5.13]</t>
  </si>
  <si>
    <t>[29.51, 25.05, 20.39, nan]</t>
  </si>
  <si>
    <t>[nan, 4.58, 30.13, nan]</t>
  </si>
  <si>
    <t>[9.11, 4.82, nan, 27.63]</t>
  </si>
  <si>
    <t>[13.74, nan, 13.46, nan]</t>
  </si>
  <si>
    <t>[159.6, nan, nan, nan]</t>
  </si>
  <si>
    <t>[nan, nan, 110.01, nan]</t>
  </si>
  <si>
    <t>[17.03, 17.34, 31.33, nan]</t>
  </si>
  <si>
    <t>[13.54, 9.04, 6.1, nan]</t>
  </si>
  <si>
    <t>[11.66, 18.03, 10.11, nan]</t>
  </si>
  <si>
    <t>[6.5, 20.02, nan, nan]</t>
  </si>
  <si>
    <t>[13.99, 10.68, 13.96, nan]</t>
  </si>
  <si>
    <t>[5.92, 17.65, 21.58, nan]</t>
  </si>
  <si>
    <t>[13.08, 18.67, nan, nan]</t>
  </si>
  <si>
    <t>[8.33, 6.92, 5.28, 6.81]</t>
  </si>
  <si>
    <t>[7.47, 7.18, 8.8, nan]</t>
  </si>
  <si>
    <t>[nan, 8.74, 90.14, nan]</t>
  </si>
  <si>
    <t>[5.19, 15.06, 10.45, nan]</t>
  </si>
  <si>
    <t>[5.35, nan, 1214.37, nan]</t>
  </si>
  <si>
    <t>[7.24, 4.86, 4.63, 4.32]</t>
  </si>
  <si>
    <t>[43.98, nan, nan, nan]</t>
  </si>
  <si>
    <t>[6.14, 8.22, 11.09, nan]</t>
  </si>
  <si>
    <t>[9.25, 6.35, 47.94, nan]</t>
  </si>
  <si>
    <t>[nan, 4.5, 4.39, nan]</t>
  </si>
  <si>
    <t>[6.05, 4.85, 4.66, 4.27]</t>
  </si>
  <si>
    <t>[12.57, 14.47, 10.99, 6.92]</t>
  </si>
  <si>
    <t>[7.08, 11.06, 18.58, nan]</t>
  </si>
  <si>
    <t>[34.67, 11.51, 9.06, 14.24]</t>
  </si>
  <si>
    <t>[5.32, 6.06, 5.16, nan]</t>
  </si>
  <si>
    <t>[13.31, 10.26, 11.75, nan]</t>
  </si>
  <si>
    <t>[19.43, 34.17, 12.67, nan]</t>
  </si>
  <si>
    <t>[10.85, 15.3, nan, nan]</t>
  </si>
  <si>
    <t>[34.24, nan, nan, nan]</t>
  </si>
  <si>
    <t>[2.55, nan, 54.56, 87.75]</t>
  </si>
  <si>
    <t>[10.83, 7.48, 9.71, nan]</t>
  </si>
  <si>
    <t>[8.55, nan, nan, nan]</t>
  </si>
  <si>
    <t>[7.95, nan, nan, nan]</t>
  </si>
  <si>
    <t>[18.86, nan, nan, 10.51]</t>
  </si>
  <si>
    <t>[12.98, 10.32, 12.1, nan]</t>
  </si>
  <si>
    <t>[1.09, 37.13, nan, nan]</t>
  </si>
  <si>
    <t>[8.84, 12.36, 37.86, 11.23]</t>
  </si>
  <si>
    <t>[7.52, 5.21, 6.66, nan]</t>
  </si>
  <si>
    <t>[9.72, 8.52, 3.82, nan]</t>
  </si>
  <si>
    <t>[18.31, 12.01, 10.74, 10.77]</t>
  </si>
  <si>
    <t>[11.21, 10.65, 7.64, 6.53]</t>
  </si>
  <si>
    <t>[17.6, 12.68, 11.77, nan]</t>
  </si>
  <si>
    <t>[4.96, 3.01, 4.3, nan]</t>
  </si>
  <si>
    <t>[20.17, 13.21, 25.67, nan]</t>
  </si>
  <si>
    <t>[9.93, 5.11, 18.46, nan]</t>
  </si>
  <si>
    <t>[16.2, 10.55, 5.4, nan]</t>
  </si>
  <si>
    <t>[4.51, 2.37, 5.19, nan]</t>
  </si>
  <si>
    <t>[3.62, 2.22, 6.01, nan]</t>
  </si>
  <si>
    <t>[24.89, 38.85, 62.54, nan]</t>
  </si>
  <si>
    <t>[10.56, 6.86, 8.67, nan]</t>
  </si>
  <si>
    <t>[18.37, 13.56, 8.08, nan]</t>
  </si>
  <si>
    <t>[14.79, 43.52, 23.6, nan]</t>
  </si>
  <si>
    <t>[13.44, 18.28, 29.43, nan]</t>
  </si>
  <si>
    <t>[12.72, 12.75, 36.69, nan]</t>
  </si>
  <si>
    <t>[8.22, 30.24, 31.78, 42.21]</t>
  </si>
  <si>
    <t>[22.06, 19.5, 30.13, 35.53]</t>
  </si>
  <si>
    <t>[nan, 7.31, nan, nan]</t>
  </si>
  <si>
    <t>[4.52, 11.88, 10.2, nan]</t>
  </si>
  <si>
    <t>[9.5, 10.94, 38.3, nan]</t>
  </si>
  <si>
    <t>[nan, 23.0, 6.95, nan]</t>
  </si>
  <si>
    <t>[17.2, 7.76, 9.99, nan]</t>
  </si>
  <si>
    <t>[19.31, 0.79, nan, nan]</t>
  </si>
  <si>
    <t>[7.27, 11.44, 10.51, nan]</t>
  </si>
  <si>
    <t>[14.93, nan, nan, nan]</t>
  </si>
  <si>
    <t>[19.69, 15.59, 16.0, 17.03]</t>
  </si>
  <si>
    <t>[nan, nan, 10.65, nan]</t>
  </si>
  <si>
    <t>[7.0, 5.55, 6.01, nan]</t>
  </si>
  <si>
    <t>[10.75, 76.5, nan, nan]</t>
  </si>
  <si>
    <t>[nan, nan, 18.79, nan]</t>
  </si>
  <si>
    <t>[8.34, 7.23, nan, nan]</t>
  </si>
  <si>
    <t>[30.6, 23.44, 5.16, nan]</t>
  </si>
  <si>
    <t>[7.52, 4.3, 5.32, nan]</t>
  </si>
  <si>
    <t>[nan, 22.21, 5.25, 42.9]</t>
  </si>
  <si>
    <t>[nan, nan, 11.87, 34.88]</t>
  </si>
  <si>
    <t>[8.06, 10.09, 5.56, 5.28]</t>
  </si>
  <si>
    <t>[13.44, 9.26, 11.49, 11.69]</t>
  </si>
  <si>
    <t>[3.52, 3.39, 3.17, nan]</t>
  </si>
  <si>
    <t>[6.94, 7.61, 7.86, 5.89]</t>
  </si>
  <si>
    <t>[nan, 17.36, 13.7, nan]</t>
  </si>
  <si>
    <t>[10.19, 14.34, 8.77, nan]</t>
  </si>
  <si>
    <t>[14.29, 6.64, 17.35, nan]</t>
  </si>
  <si>
    <t>[14.08, 10.46, 10.5, 8.57]</t>
  </si>
  <si>
    <t>[31.03, 5.22, 2.66, nan]</t>
  </si>
  <si>
    <t>[nan, nan, 19.32, nan]</t>
  </si>
  <si>
    <t>[nan, 7.82, 3.64, nan]</t>
  </si>
  <si>
    <t>[nan, nan, 28.44, 22.34]</t>
  </si>
  <si>
    <t>[9.78, 7.04, 7.63, nan]</t>
  </si>
  <si>
    <t>[nan, 4.87, 6.3, nan]</t>
  </si>
  <si>
    <t>[7.34, 8.23, 12.55, 23.14]</t>
  </si>
  <si>
    <t>[nan, 5.87, 9.73, nan]</t>
  </si>
  <si>
    <t>[6.4, 11.77, 12.8, 16.4]</t>
  </si>
  <si>
    <t>[7.07, 7.87, 12.58, 12.42]</t>
  </si>
  <si>
    <t>[15.6, 5.95, 8.81, 8.84]</t>
  </si>
  <si>
    <t>[7.5, 3.11, nan, nan]</t>
  </si>
  <si>
    <t>[10.3, 11.15, 7.88, nan]</t>
  </si>
  <si>
    <t>[38.91, 7.04, 4.12, nan]</t>
  </si>
  <si>
    <t>[7.49, 11.06, 10.68, 11.97]</t>
  </si>
  <si>
    <t>[13.72, 7.41, 10.42, 16.95]</t>
  </si>
  <si>
    <t>[nan, nan, 17.74, 121.69]</t>
  </si>
  <si>
    <t>[13.86, 7.07, 5.79, nan]</t>
  </si>
  <si>
    <t>[15.95, 15.06, 11.03, nan]</t>
  </si>
  <si>
    <t>[nan, nan, nan, 76.17]</t>
  </si>
  <si>
    <t>[14.33, 6.1, 27.12, 7.8]</t>
  </si>
  <si>
    <t>[9.46, 5.88, 22.26, 13.86]</t>
  </si>
  <si>
    <t>[13.63, 15.46, 12.42, 11.14]</t>
  </si>
  <si>
    <t>[nan, nan, 8.08, nan]</t>
  </si>
  <si>
    <t>[10.17, 10.35, 9.47, nan]</t>
  </si>
  <si>
    <t>[nan, 6.52, 5.57, nan]</t>
  </si>
  <si>
    <t>[11.95, 11.15, 7.87, nan]</t>
  </si>
  <si>
    <t>[28.84, 8.95, 18.34, 26.14]</t>
  </si>
  <si>
    <t>[nan, nan, 14.3, nan]</t>
  </si>
  <si>
    <t>[18.41, 6.28, 12.67, 11.23]</t>
  </si>
  <si>
    <t>[nan, 54.95, 214.72, nan]</t>
  </si>
  <si>
    <t>[nan, 186.13, 22.98, nan]</t>
  </si>
  <si>
    <t>[17.09, 14.61, 3.92, nan]</t>
  </si>
  <si>
    <t>[8.63, 5.65, 15.65, 15.76]</t>
  </si>
  <si>
    <t>[18.23, 16.17, 9.29, nan]</t>
  </si>
  <si>
    <t>[9.55, 9.57, 6.6, nan]</t>
  </si>
  <si>
    <t>[20.84, 15.89, 13.01, 11.1]</t>
  </si>
  <si>
    <t>[nan, nan, 11.47, nan]</t>
  </si>
  <si>
    <t>[9.48, 12.81, 7.23, nan]</t>
  </si>
  <si>
    <t>[nan, 11.4, 12.91, nan]</t>
  </si>
  <si>
    <t>[18.93, 14.5, 10.84, nan]</t>
  </si>
  <si>
    <t>[16.6, 11.96, 14.26, nan]</t>
  </si>
  <si>
    <t>[nan, 37.28, 31.45, nan]</t>
  </si>
  <si>
    <t>[28.51, 9.19, 20.91, nan]</t>
  </si>
  <si>
    <t>[20.81, 14.48, 58.94, 17.52]</t>
  </si>
  <si>
    <t>[nan, nan, 19.71, nan]</t>
  </si>
  <si>
    <t>[nan, nan, nan, 8.06]</t>
  </si>
  <si>
    <t>[20.66, 13.6, 24.63, nan]</t>
  </si>
  <si>
    <t>[23.34, 16.33, 11.25, nan]</t>
  </si>
  <si>
    <t>[nan, nan, nan, 6.97]</t>
  </si>
  <si>
    <t>[nan, 5.08, 5.98, nan]</t>
  </si>
  <si>
    <t>[nan, nan, 13.81, nan]</t>
  </si>
  <si>
    <t>[39.38, 6.94, 7.31, 7.77]</t>
  </si>
  <si>
    <t>[11.15, 8.57, 9.93, 8.51]</t>
  </si>
  <si>
    <t>[4.07, 9.49, 23.56, nan]</t>
  </si>
  <si>
    <t>[5.23, 2.83, 34.03, 23.45]</t>
  </si>
  <si>
    <t>[8.17, 4.42, 7.56, nan]</t>
  </si>
  <si>
    <t>[11.19, 4.24, 11.88, 53.16]</t>
  </si>
  <si>
    <t>[nan, 5.77, 7.46, nan]</t>
  </si>
  <si>
    <t>[12.77, 15.15, 8.01, nan]</t>
  </si>
  <si>
    <t>[30.43, 21.85, 19.83, 13.5]</t>
  </si>
  <si>
    <t>[nan, nan, 11.28, 9.94]</t>
  </si>
  <si>
    <t>[26.56, 13.14, 14.16, 14.17]</t>
  </si>
  <si>
    <t>[nan, nan, 12.85, nan]</t>
  </si>
  <si>
    <t>[24.35, 9.81, 10.71, nan]</t>
  </si>
  <si>
    <t>[28.4, 15.1, 15.84, 15.6]</t>
  </si>
  <si>
    <t>[nan, 12.19, 9.49, nan]</t>
  </si>
  <si>
    <t>[14.79, 15.47, 12.67, 12.72]</t>
  </si>
  <si>
    <t>[23.68, 7.77, 7.09, 17.84]</t>
  </si>
  <si>
    <t>[nan, 8.46, 7.88, nan]</t>
  </si>
  <si>
    <t>[9.33, 3.86, 10.13, nan]</t>
  </si>
  <si>
    <t>[nan, 31.21, 7.97, nan]</t>
  </si>
  <si>
    <t>[19.87, 13.78, 11.5, nan]</t>
  </si>
  <si>
    <t>[8.51, 17.08, 113.98, nan]</t>
  </si>
  <si>
    <t>[21.35, 6.52, 13.61, 14.94]</t>
  </si>
  <si>
    <t>[13.99, 7.08, 14.05, 18.2]</t>
  </si>
  <si>
    <t>[15.62, 7.12, 15.17, nan]</t>
  </si>
  <si>
    <t>[nan, nan, 10.71, nan]</t>
  </si>
  <si>
    <t>[nan, nan, 21.02, nan]</t>
  </si>
  <si>
    <t>[5.5, 3.86, 15.41, 12.11]</t>
  </si>
  <si>
    <t>[nan, 39.18, 10.46, nan]</t>
  </si>
  <si>
    <t>[nan, 7.48, 7.98, 13.08]</t>
  </si>
  <si>
    <t>[nan, 19.74, 17.97, 40.5]</t>
  </si>
  <si>
    <t>[22.94, 18.58, 40.28, 19.82]</t>
  </si>
  <si>
    <t>[7.01, 14.29, 100.45, nan]</t>
  </si>
  <si>
    <t>[25.5, 12.28, 8.25, 8.63]</t>
  </si>
  <si>
    <t>[260.15, nan, 5.95, nan]</t>
  </si>
  <si>
    <t>[nan, nan, 8.1, 7.46]</t>
  </si>
  <si>
    <t>[nan, nan, nan, 6.67]</t>
  </si>
  <si>
    <t>[10.38, 5.12, 10.06, nan]</t>
  </si>
  <si>
    <t>[15.85, 22.78, 12.14, 13.92]</t>
  </si>
  <si>
    <t>[25.59, 13.09, 16.37, 17.28]</t>
  </si>
  <si>
    <t>[8.77, 9.43, 12.29, 14.25]</t>
  </si>
  <si>
    <t>[nan, 6.8, 29.75, nan]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</si>
</sst>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center" vertical="top"/>
    </xf>
    <xf numFmtId="0" fontId="0" fillId="3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65"/>
  <sheetViews>
    <sheetView topLeftCell="A166" workbookViewId="0">
      <selection activeCell="A196" sqref="A196:XFD196"/>
    </sheetView>
  </sheetViews>
  <sheetFormatPr baseColWidth="10" defaultColWidth="8.83203125" defaultRowHeight="17"/>
  <cols>
    <col min="2" max="2" width="15.6640625" customWidth="1"/>
    <col min="4" max="4" width="22.1640625" customWidth="1"/>
    <col min="21" max="21" width="35" bestFit="1" customWidth="1"/>
    <col min="22" max="22" width="22.5" bestFit="1" customWidth="1"/>
    <col min="23" max="23" width="14" bestFit="1" customWidth="1"/>
    <col min="25" max="25" width="32.33203125" bestFit="1" customWidth="1"/>
    <col min="29" max="29" width="38" bestFit="1" customWidth="1"/>
  </cols>
  <sheetData>
    <row r="1" spans="1:36" ht="54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36</v>
      </c>
      <c r="B2" t="s">
        <v>900</v>
      </c>
      <c r="C2" t="str">
        <f>HYPERLINK("https://finance.naver.com/item/coinfo.nhn?code=095570", "A095570")</f>
        <v>A095570</v>
      </c>
      <c r="D2" t="str">
        <f>HYPERLINK("http://comp.fnguide.com/SVO2/ASP/SVD_Consensus.asp?pGB=1&amp;gicode=A095570&amp;cID=&amp;MenuYn=Y&amp;ReportGB=&amp;NewMenuID=108&amp;stkGb=701", "AJ네트웍스")</f>
        <v>AJ네트웍스</v>
      </c>
      <c r="E2">
        <v>3</v>
      </c>
      <c r="F2">
        <v>4550</v>
      </c>
      <c r="G2">
        <v>0</v>
      </c>
      <c r="H2">
        <v>5.0599999999999996</v>
      </c>
      <c r="I2">
        <v>7574</v>
      </c>
      <c r="J2">
        <v>7225</v>
      </c>
      <c r="K2">
        <v>7126</v>
      </c>
      <c r="L2">
        <v>-66.47</v>
      </c>
      <c r="M2">
        <v>-58.8</v>
      </c>
      <c r="N2">
        <v>-56.62</v>
      </c>
      <c r="O2">
        <v>8.6</v>
      </c>
      <c r="P2" t="b">
        <v>1</v>
      </c>
      <c r="Q2">
        <v>0</v>
      </c>
      <c r="R2">
        <v>982</v>
      </c>
      <c r="U2" t="s">
        <v>1764</v>
      </c>
      <c r="V2" t="s">
        <v>2628</v>
      </c>
      <c r="W2">
        <v>0</v>
      </c>
      <c r="X2">
        <v>0</v>
      </c>
      <c r="Y2" t="s">
        <v>3492</v>
      </c>
      <c r="Z2">
        <v>19.879178372567761</v>
      </c>
      <c r="AA2">
        <v>2130</v>
      </c>
      <c r="AB2">
        <v>88772</v>
      </c>
      <c r="AC2" t="s">
        <v>4283</v>
      </c>
      <c r="AD2">
        <v>72.180000000000007</v>
      </c>
      <c r="AE2" t="s">
        <v>5147</v>
      </c>
      <c r="AF2" t="s">
        <v>6011</v>
      </c>
      <c r="AG2">
        <v>12028</v>
      </c>
      <c r="AH2">
        <v>178</v>
      </c>
      <c r="AI2">
        <v>1284859</v>
      </c>
      <c r="AJ2">
        <v>6.04</v>
      </c>
    </row>
    <row r="3" spans="1:36">
      <c r="A3" s="1" t="s">
        <v>37</v>
      </c>
      <c r="B3" t="s">
        <v>901</v>
      </c>
      <c r="C3" t="str">
        <f>HYPERLINK("https://finance.naver.com/item/coinfo.nhn?code=001810", "A001810")</f>
        <v>A001810</v>
      </c>
      <c r="D3" t="str">
        <f>HYPERLINK("http://comp.fnguide.com/SVO2/ASP/SVD_Consensus.asp?pGB=1&amp;gicode=A001810&amp;cID=&amp;MenuYn=Y&amp;ReportGB=&amp;NewMenuID=108&amp;stkGb=701", "무림SP")</f>
        <v>무림SP</v>
      </c>
      <c r="E3">
        <v>3</v>
      </c>
      <c r="F3">
        <v>3035</v>
      </c>
      <c r="G3">
        <v>0</v>
      </c>
      <c r="H3">
        <v>37.01</v>
      </c>
      <c r="I3">
        <v>3629</v>
      </c>
      <c r="J3">
        <v>6982</v>
      </c>
      <c r="K3">
        <v>7935</v>
      </c>
      <c r="L3">
        <v>-19.579999999999998</v>
      </c>
      <c r="M3">
        <v>-130.05000000000001</v>
      </c>
      <c r="N3">
        <v>-161.44</v>
      </c>
      <c r="O3">
        <v>3.13</v>
      </c>
      <c r="P3" t="b">
        <v>1</v>
      </c>
      <c r="Q3">
        <v>0</v>
      </c>
      <c r="R3">
        <v>61</v>
      </c>
      <c r="U3" t="s">
        <v>1765</v>
      </c>
      <c r="V3" t="s">
        <v>2629</v>
      </c>
      <c r="W3">
        <v>0</v>
      </c>
      <c r="X3">
        <v>18.899999999999999</v>
      </c>
      <c r="Y3" t="s">
        <v>3493</v>
      </c>
      <c r="Z3">
        <v>-0.80138351643109784</v>
      </c>
      <c r="AA3">
        <v>672</v>
      </c>
      <c r="AB3">
        <v>3069891</v>
      </c>
      <c r="AC3" t="s">
        <v>4284</v>
      </c>
      <c r="AD3">
        <v>61.41</v>
      </c>
      <c r="AE3" t="s">
        <v>5148</v>
      </c>
      <c r="AF3" t="s">
        <v>6012</v>
      </c>
      <c r="AG3">
        <v>1379</v>
      </c>
      <c r="AH3">
        <v>12</v>
      </c>
      <c r="AJ3">
        <v>1.55</v>
      </c>
    </row>
    <row r="4" spans="1:36">
      <c r="A4" s="1" t="s">
        <v>38</v>
      </c>
      <c r="B4" t="s">
        <v>902</v>
      </c>
      <c r="C4" t="str">
        <f>HYPERLINK("https://finance.naver.com/item/coinfo.nhn?code=109860", "A109860")</f>
        <v>A109860</v>
      </c>
      <c r="D4" t="str">
        <f>HYPERLINK("http://comp.fnguide.com/SVO2/ASP/SVD_Consensus.asp?pGB=1&amp;gicode=A109860&amp;cID=&amp;MenuYn=Y&amp;ReportGB=&amp;NewMenuID=108&amp;stkGb=701", "동일금속")</f>
        <v>동일금속</v>
      </c>
      <c r="E4">
        <v>3</v>
      </c>
      <c r="F4">
        <v>11450</v>
      </c>
      <c r="G4">
        <v>0</v>
      </c>
      <c r="H4">
        <v>5.62</v>
      </c>
      <c r="I4">
        <v>24904</v>
      </c>
      <c r="J4">
        <v>21529</v>
      </c>
      <c r="K4">
        <v>20570</v>
      </c>
      <c r="L4">
        <v>-117.5</v>
      </c>
      <c r="M4">
        <v>-88.03</v>
      </c>
      <c r="N4">
        <v>-79.650000000000006</v>
      </c>
      <c r="O4">
        <v>10.25</v>
      </c>
      <c r="P4" t="b">
        <v>1</v>
      </c>
      <c r="Q4">
        <v>0</v>
      </c>
      <c r="R4">
        <v>2226</v>
      </c>
      <c r="U4" t="s">
        <v>1766</v>
      </c>
      <c r="V4" t="s">
        <v>2630</v>
      </c>
      <c r="W4">
        <v>0</v>
      </c>
      <c r="X4">
        <v>-57.9</v>
      </c>
      <c r="Y4" t="s">
        <v>3494</v>
      </c>
      <c r="Z4">
        <v>-3.5734247301938971</v>
      </c>
      <c r="AA4">
        <v>802</v>
      </c>
      <c r="AB4">
        <v>3546</v>
      </c>
      <c r="AC4" t="s">
        <v>4285</v>
      </c>
      <c r="AD4">
        <v>57.72</v>
      </c>
      <c r="AE4" t="s">
        <v>5149</v>
      </c>
      <c r="AF4" t="s">
        <v>6013</v>
      </c>
      <c r="AG4">
        <v>866</v>
      </c>
      <c r="AH4">
        <v>126</v>
      </c>
      <c r="AI4">
        <v>563000</v>
      </c>
      <c r="AJ4">
        <v>2.2400000000000002</v>
      </c>
    </row>
    <row r="5" spans="1:36">
      <c r="A5" s="1" t="s">
        <v>39</v>
      </c>
      <c r="B5" t="s">
        <v>903</v>
      </c>
      <c r="C5" t="str">
        <f>HYPERLINK("https://finance.naver.com/item/coinfo.nhn?code=032960", "A032960")</f>
        <v>A032960</v>
      </c>
      <c r="D5" t="str">
        <f>HYPERLINK("http://comp.fnguide.com/SVO2/ASP/SVD_Consensus.asp?pGB=1&amp;gicode=A032960&amp;cID=&amp;MenuYn=Y&amp;ReportGB=&amp;NewMenuID=108&amp;stkGb=701", "동일기연")</f>
        <v>동일기연</v>
      </c>
      <c r="E5">
        <v>3</v>
      </c>
      <c r="F5">
        <v>12400</v>
      </c>
      <c r="G5">
        <v>0</v>
      </c>
      <c r="H5">
        <v>17.05</v>
      </c>
      <c r="I5">
        <v>9492</v>
      </c>
      <c r="J5">
        <v>13578</v>
      </c>
      <c r="K5">
        <v>14739</v>
      </c>
      <c r="L5">
        <v>23.45</v>
      </c>
      <c r="M5">
        <v>-9.5</v>
      </c>
      <c r="N5">
        <v>-18.86</v>
      </c>
      <c r="O5">
        <v>4.63</v>
      </c>
      <c r="P5" t="b">
        <v>1</v>
      </c>
      <c r="Q5">
        <v>0</v>
      </c>
      <c r="R5">
        <v>727</v>
      </c>
      <c r="U5" t="s">
        <v>1767</v>
      </c>
      <c r="V5" t="s">
        <v>2631</v>
      </c>
      <c r="W5">
        <v>0</v>
      </c>
      <c r="X5">
        <v>-51.8</v>
      </c>
      <c r="Y5" t="s">
        <v>3495</v>
      </c>
      <c r="Z5">
        <v>-4.6659975324213949</v>
      </c>
      <c r="AA5">
        <v>423</v>
      </c>
      <c r="AB5">
        <v>12824</v>
      </c>
      <c r="AC5" t="s">
        <v>4286</v>
      </c>
      <c r="AD5">
        <v>67.650000000000006</v>
      </c>
      <c r="AE5" t="s">
        <v>5150</v>
      </c>
      <c r="AF5" t="s">
        <v>6014</v>
      </c>
      <c r="AG5">
        <v>290</v>
      </c>
      <c r="AH5">
        <v>9</v>
      </c>
      <c r="AI5">
        <v>207667</v>
      </c>
      <c r="AJ5">
        <v>0.31</v>
      </c>
    </row>
    <row r="6" spans="1:36">
      <c r="A6" s="1" t="s">
        <v>40</v>
      </c>
      <c r="B6" t="s">
        <v>904</v>
      </c>
      <c r="C6" t="str">
        <f>HYPERLINK("https://finance.naver.com/item/coinfo.nhn?code=066670", "A066670")</f>
        <v>A066670</v>
      </c>
      <c r="D6" t="str">
        <f>HYPERLINK("http://comp.fnguide.com/SVO2/ASP/SVD_Consensus.asp?pGB=1&amp;gicode=A066670&amp;cID=&amp;MenuYn=Y&amp;ReportGB=&amp;NewMenuID=108&amp;stkGb=701", "디스플레이텍")</f>
        <v>디스플레이텍</v>
      </c>
      <c r="E6">
        <v>3</v>
      </c>
      <c r="F6">
        <v>3680</v>
      </c>
      <c r="G6">
        <v>0</v>
      </c>
      <c r="H6">
        <v>12.96</v>
      </c>
      <c r="I6">
        <v>3389</v>
      </c>
      <c r="J6">
        <v>6726</v>
      </c>
      <c r="K6">
        <v>7674</v>
      </c>
      <c r="L6">
        <v>7.91</v>
      </c>
      <c r="M6">
        <v>-82.76</v>
      </c>
      <c r="N6">
        <v>-108.53</v>
      </c>
      <c r="O6">
        <v>3.01</v>
      </c>
      <c r="P6" t="b">
        <v>1</v>
      </c>
      <c r="Q6">
        <v>0</v>
      </c>
      <c r="R6">
        <v>289</v>
      </c>
      <c r="U6" t="s">
        <v>1768</v>
      </c>
      <c r="V6" t="s">
        <v>2632</v>
      </c>
      <c r="W6">
        <v>0</v>
      </c>
      <c r="X6">
        <v>-11.7</v>
      </c>
      <c r="Y6" t="s">
        <v>3496</v>
      </c>
      <c r="Z6">
        <v>-20.49321772311372</v>
      </c>
      <c r="AA6">
        <v>688</v>
      </c>
      <c r="AB6">
        <v>71315</v>
      </c>
      <c r="AC6" t="s">
        <v>4287</v>
      </c>
      <c r="AD6">
        <v>33.83</v>
      </c>
      <c r="AE6" t="s">
        <v>5151</v>
      </c>
      <c r="AF6" t="s">
        <v>6015</v>
      </c>
      <c r="AG6">
        <v>436</v>
      </c>
      <c r="AH6">
        <v>66</v>
      </c>
      <c r="AI6">
        <v>1948057</v>
      </c>
      <c r="AJ6">
        <v>2.67</v>
      </c>
    </row>
    <row r="7" spans="1:36">
      <c r="A7" s="1" t="s">
        <v>41</v>
      </c>
      <c r="B7" t="s">
        <v>905</v>
      </c>
      <c r="C7" t="str">
        <f>HYPERLINK("https://finance.naver.com/item/coinfo.nhn?code=110990", "A110990")</f>
        <v>A110990</v>
      </c>
      <c r="D7" t="str">
        <f>HYPERLINK("http://comp.fnguide.com/SVO2/ASP/SVD_Consensus.asp?pGB=1&amp;gicode=A110990&amp;cID=&amp;MenuYn=Y&amp;ReportGB=&amp;NewMenuID=108&amp;stkGb=701", "디아이티")</f>
        <v>디아이티</v>
      </c>
      <c r="E7">
        <v>3</v>
      </c>
      <c r="F7">
        <v>7260</v>
      </c>
      <c r="G7">
        <v>0</v>
      </c>
      <c r="H7">
        <v>12.14</v>
      </c>
      <c r="I7">
        <v>8659</v>
      </c>
      <c r="J7">
        <v>9139</v>
      </c>
      <c r="K7">
        <v>9276</v>
      </c>
      <c r="L7">
        <v>-19.27</v>
      </c>
      <c r="M7">
        <v>-25.88</v>
      </c>
      <c r="N7">
        <v>-27.76</v>
      </c>
      <c r="O7">
        <v>7.27</v>
      </c>
      <c r="P7" t="b">
        <v>1</v>
      </c>
      <c r="Q7">
        <v>0</v>
      </c>
      <c r="R7">
        <v>697</v>
      </c>
      <c r="U7" t="s">
        <v>1769</v>
      </c>
      <c r="V7" t="s">
        <v>2633</v>
      </c>
      <c r="W7">
        <v>0</v>
      </c>
      <c r="X7">
        <v>0</v>
      </c>
      <c r="Y7" t="s">
        <v>3497</v>
      </c>
      <c r="Z7">
        <v>1.863159316877816</v>
      </c>
      <c r="AA7">
        <v>1372</v>
      </c>
      <c r="AB7">
        <v>109558</v>
      </c>
      <c r="AC7" t="s">
        <v>4288</v>
      </c>
      <c r="AD7">
        <v>48.36</v>
      </c>
      <c r="AE7" t="s">
        <v>5152</v>
      </c>
      <c r="AF7" t="s">
        <v>6016</v>
      </c>
      <c r="AG7">
        <v>1188</v>
      </c>
      <c r="AH7">
        <v>132</v>
      </c>
      <c r="AI7">
        <v>670251</v>
      </c>
      <c r="AJ7">
        <v>2.36</v>
      </c>
    </row>
    <row r="8" spans="1:36">
      <c r="A8" s="1" t="s">
        <v>42</v>
      </c>
      <c r="B8" t="s">
        <v>906</v>
      </c>
      <c r="C8" t="str">
        <f>HYPERLINK("https://finance.naver.com/item/coinfo.nhn?code=066900", "A066900")</f>
        <v>A066900</v>
      </c>
      <c r="D8" t="str">
        <f>HYPERLINK("http://comp.fnguide.com/SVO2/ASP/SVD_Consensus.asp?pGB=1&amp;gicode=A066900&amp;cID=&amp;MenuYn=Y&amp;ReportGB=&amp;NewMenuID=108&amp;stkGb=701", "디에이피")</f>
        <v>디에이피</v>
      </c>
      <c r="E8">
        <v>3</v>
      </c>
      <c r="F8">
        <v>4040</v>
      </c>
      <c r="G8">
        <v>0</v>
      </c>
      <c r="H8">
        <v>81.739999999999995</v>
      </c>
      <c r="I8">
        <v>2857</v>
      </c>
      <c r="J8">
        <v>4577</v>
      </c>
      <c r="K8">
        <v>5066</v>
      </c>
      <c r="L8">
        <v>29.29</v>
      </c>
      <c r="M8">
        <v>-13.29</v>
      </c>
      <c r="N8">
        <v>-25.39</v>
      </c>
      <c r="O8">
        <v>3.97</v>
      </c>
      <c r="P8" t="b">
        <v>0</v>
      </c>
      <c r="Q8">
        <v>0</v>
      </c>
      <c r="R8">
        <v>44</v>
      </c>
      <c r="U8" t="s">
        <v>1770</v>
      </c>
      <c r="V8" t="s">
        <v>2634</v>
      </c>
      <c r="W8">
        <v>0</v>
      </c>
      <c r="X8">
        <v>135.5</v>
      </c>
      <c r="Y8" t="s">
        <v>3498</v>
      </c>
      <c r="Z8">
        <v>-20.9812352412949</v>
      </c>
      <c r="AA8">
        <v>919</v>
      </c>
      <c r="AB8">
        <v>23549</v>
      </c>
      <c r="AC8" t="s">
        <v>4289</v>
      </c>
      <c r="AD8">
        <v>47.32</v>
      </c>
      <c r="AE8" t="s">
        <v>5153</v>
      </c>
      <c r="AF8" t="s">
        <v>6017</v>
      </c>
      <c r="AG8">
        <v>2705</v>
      </c>
      <c r="AH8">
        <v>8</v>
      </c>
      <c r="AI8">
        <v>5144010</v>
      </c>
    </row>
    <row r="9" spans="1:36">
      <c r="A9" s="1" t="s">
        <v>43</v>
      </c>
      <c r="B9" t="s">
        <v>907</v>
      </c>
      <c r="C9" t="str">
        <f>HYPERLINK("https://finance.naver.com/item/coinfo.nhn?code=196450", "A196450")</f>
        <v>A196450</v>
      </c>
      <c r="D9" t="str">
        <f>HYPERLINK("http://comp.fnguide.com/SVO2/ASP/SVD_Consensus.asp?pGB=1&amp;gicode=A196450&amp;cID=&amp;MenuYn=Y&amp;ReportGB=&amp;NewMenuID=108&amp;stkGb=701", "디오스텍")</f>
        <v>디오스텍</v>
      </c>
      <c r="E9">
        <v>3</v>
      </c>
      <c r="F9">
        <v>411</v>
      </c>
      <c r="G9">
        <v>0</v>
      </c>
      <c r="H9">
        <v>17.88</v>
      </c>
      <c r="I9">
        <v>333</v>
      </c>
      <c r="J9">
        <v>448</v>
      </c>
      <c r="K9">
        <v>481</v>
      </c>
      <c r="L9">
        <v>19</v>
      </c>
      <c r="M9">
        <v>-9.0399999999999991</v>
      </c>
      <c r="N9">
        <v>-17.010000000000002</v>
      </c>
      <c r="O9">
        <v>5.04</v>
      </c>
      <c r="P9" t="b">
        <v>1</v>
      </c>
      <c r="Q9">
        <v>0</v>
      </c>
      <c r="R9">
        <v>44</v>
      </c>
      <c r="U9" t="s">
        <v>1771</v>
      </c>
      <c r="V9" t="s">
        <v>2635</v>
      </c>
      <c r="W9">
        <v>0</v>
      </c>
      <c r="X9">
        <v>0</v>
      </c>
      <c r="Y9" t="s">
        <v>3499</v>
      </c>
      <c r="Z9">
        <v>0</v>
      </c>
      <c r="AA9">
        <v>592</v>
      </c>
      <c r="AB9">
        <v>0</v>
      </c>
      <c r="AC9" t="s">
        <v>4290</v>
      </c>
      <c r="AD9">
        <v>9.9600000000000009</v>
      </c>
      <c r="AE9" t="s">
        <v>5154</v>
      </c>
      <c r="AF9" t="s">
        <v>6018</v>
      </c>
      <c r="AG9">
        <v>862</v>
      </c>
      <c r="AH9">
        <v>29</v>
      </c>
      <c r="AI9">
        <v>39912</v>
      </c>
    </row>
    <row r="10" spans="1:36">
      <c r="A10" s="1" t="s">
        <v>44</v>
      </c>
      <c r="B10" t="s">
        <v>908</v>
      </c>
      <c r="C10" t="str">
        <f>HYPERLINK("https://finance.naver.com/item/coinfo.nhn?code=043360", "A043360")</f>
        <v>A043360</v>
      </c>
      <c r="D10" t="str">
        <f>HYPERLINK("http://comp.fnguide.com/SVO2/ASP/SVD_Consensus.asp?pGB=1&amp;gicode=A043360&amp;cID=&amp;MenuYn=Y&amp;ReportGB=&amp;NewMenuID=108&amp;stkGb=701", "디지아이")</f>
        <v>디지아이</v>
      </c>
      <c r="E10">
        <v>3</v>
      </c>
      <c r="F10">
        <v>2400</v>
      </c>
      <c r="G10">
        <v>0</v>
      </c>
      <c r="I10">
        <v>119</v>
      </c>
      <c r="J10">
        <v>3131</v>
      </c>
      <c r="K10">
        <v>3987</v>
      </c>
      <c r="L10">
        <v>95.02</v>
      </c>
      <c r="M10">
        <v>-30.48</v>
      </c>
      <c r="N10">
        <v>-66.14</v>
      </c>
      <c r="O10">
        <v>0.19</v>
      </c>
      <c r="P10" t="b">
        <v>0</v>
      </c>
      <c r="Q10">
        <v>0</v>
      </c>
      <c r="R10">
        <v>-374</v>
      </c>
      <c r="U10" t="s">
        <v>1772</v>
      </c>
      <c r="V10" t="s">
        <v>2636</v>
      </c>
      <c r="W10">
        <v>0</v>
      </c>
      <c r="X10">
        <v>0</v>
      </c>
      <c r="Y10" t="s">
        <v>3499</v>
      </c>
      <c r="Z10">
        <v>0</v>
      </c>
      <c r="AA10">
        <v>216</v>
      </c>
      <c r="AB10">
        <v>21913</v>
      </c>
      <c r="AC10" t="s">
        <v>4291</v>
      </c>
      <c r="AD10">
        <v>45.42</v>
      </c>
      <c r="AE10" t="s">
        <v>5155</v>
      </c>
      <c r="AF10" t="s">
        <v>6019</v>
      </c>
      <c r="AG10">
        <v>154</v>
      </c>
      <c r="AH10">
        <v>-33</v>
      </c>
      <c r="AI10">
        <v>103331</v>
      </c>
    </row>
    <row r="11" spans="1:36">
      <c r="A11" s="1" t="s">
        <v>45</v>
      </c>
      <c r="B11" t="s">
        <v>909</v>
      </c>
      <c r="C11" t="str">
        <f>HYPERLINK("https://finance.naver.com/item/coinfo.nhn?code=131180", "A131180")</f>
        <v>A131180</v>
      </c>
      <c r="D11" t="str">
        <f>HYPERLINK("http://comp.fnguide.com/SVO2/ASP/SVD_Consensus.asp?pGB=1&amp;gicode=A131180&amp;cID=&amp;MenuYn=Y&amp;ReportGB=&amp;NewMenuID=108&amp;stkGb=701", "딜리")</f>
        <v>딜리</v>
      </c>
      <c r="E11">
        <v>3</v>
      </c>
      <c r="F11">
        <v>1545</v>
      </c>
      <c r="G11">
        <v>0</v>
      </c>
      <c r="H11">
        <v>24.98</v>
      </c>
      <c r="I11">
        <v>1069</v>
      </c>
      <c r="J11">
        <v>1673</v>
      </c>
      <c r="K11">
        <v>1845</v>
      </c>
      <c r="L11">
        <v>30.8</v>
      </c>
      <c r="M11">
        <v>-8.2899999999999991</v>
      </c>
      <c r="N11">
        <v>-19.399999999999999</v>
      </c>
      <c r="O11">
        <v>4.09</v>
      </c>
      <c r="P11" t="b">
        <v>1</v>
      </c>
      <c r="Q11">
        <v>0</v>
      </c>
      <c r="R11">
        <v>72</v>
      </c>
      <c r="U11" t="s">
        <v>1773</v>
      </c>
      <c r="V11" t="s">
        <v>2637</v>
      </c>
      <c r="W11">
        <v>0</v>
      </c>
      <c r="X11">
        <v>-86</v>
      </c>
      <c r="Y11" t="s">
        <v>3500</v>
      </c>
      <c r="Z11">
        <v>-44.562411979534637</v>
      </c>
      <c r="AA11">
        <v>453</v>
      </c>
      <c r="AB11">
        <v>70512</v>
      </c>
      <c r="AC11" t="s">
        <v>4292</v>
      </c>
      <c r="AD11">
        <v>38.99</v>
      </c>
      <c r="AE11" t="s">
        <v>5156</v>
      </c>
      <c r="AF11" t="s">
        <v>6020</v>
      </c>
      <c r="AG11">
        <v>405</v>
      </c>
      <c r="AH11">
        <v>8</v>
      </c>
      <c r="AI11">
        <v>1563139</v>
      </c>
      <c r="AJ11">
        <v>2.23</v>
      </c>
    </row>
    <row r="12" spans="1:36">
      <c r="A12" s="1" t="s">
        <v>46</v>
      </c>
      <c r="B12" t="s">
        <v>910</v>
      </c>
      <c r="C12" t="str">
        <f>HYPERLINK("https://finance.naver.com/item/coinfo.nhn?code=033600", "A033600")</f>
        <v>A033600</v>
      </c>
      <c r="D12" t="str">
        <f>HYPERLINK("http://comp.fnguide.com/SVO2/ASP/SVD_Consensus.asp?pGB=1&amp;gicode=A033600&amp;cID=&amp;MenuYn=Y&amp;ReportGB=&amp;NewMenuID=108&amp;stkGb=701", "럭슬")</f>
        <v>럭슬</v>
      </c>
      <c r="E12">
        <v>3</v>
      </c>
      <c r="F12">
        <v>179</v>
      </c>
      <c r="G12">
        <v>0</v>
      </c>
      <c r="I12">
        <v>0</v>
      </c>
      <c r="J12">
        <v>162</v>
      </c>
      <c r="K12">
        <v>208</v>
      </c>
      <c r="L12">
        <v>100</v>
      </c>
      <c r="M12">
        <v>9.52</v>
      </c>
      <c r="N12">
        <v>-16.190000000000001</v>
      </c>
      <c r="O12">
        <v>0</v>
      </c>
      <c r="P12" t="b">
        <v>0</v>
      </c>
      <c r="Q12">
        <v>0</v>
      </c>
      <c r="R12">
        <v>-773</v>
      </c>
      <c r="U12" t="s">
        <v>1774</v>
      </c>
      <c r="V12" t="s">
        <v>2638</v>
      </c>
      <c r="W12">
        <v>0</v>
      </c>
      <c r="X12">
        <v>0</v>
      </c>
      <c r="Y12" t="s">
        <v>3501</v>
      </c>
      <c r="Z12">
        <v>0</v>
      </c>
      <c r="AA12">
        <v>73</v>
      </c>
      <c r="AB12">
        <v>0</v>
      </c>
      <c r="AC12" t="s">
        <v>4293</v>
      </c>
      <c r="AD12">
        <v>29.39</v>
      </c>
      <c r="AE12" t="s">
        <v>5157</v>
      </c>
      <c r="AF12" t="s">
        <v>6021</v>
      </c>
      <c r="AG12">
        <v>199</v>
      </c>
      <c r="AH12">
        <v>-55</v>
      </c>
    </row>
    <row r="13" spans="1:36">
      <c r="A13" s="1" t="s">
        <v>47</v>
      </c>
      <c r="B13" t="s">
        <v>911</v>
      </c>
      <c r="C13" t="str">
        <f>HYPERLINK("https://finance.naver.com/item/coinfo.nhn?code=038390", "A038390")</f>
        <v>A038390</v>
      </c>
      <c r="D13" t="str">
        <f>HYPERLINK("http://comp.fnguide.com/SVO2/ASP/SVD_Consensus.asp?pGB=1&amp;gicode=A038390&amp;cID=&amp;MenuYn=Y&amp;ReportGB=&amp;NewMenuID=108&amp;stkGb=701", "레드캡투어")</f>
        <v>레드캡투어</v>
      </c>
      <c r="E13">
        <v>3</v>
      </c>
      <c r="F13">
        <v>18800</v>
      </c>
      <c r="G13">
        <v>0</v>
      </c>
      <c r="H13">
        <v>6.05</v>
      </c>
      <c r="I13">
        <v>29276</v>
      </c>
      <c r="J13">
        <v>23931</v>
      </c>
      <c r="K13">
        <v>22413</v>
      </c>
      <c r="L13">
        <v>-55.72</v>
      </c>
      <c r="M13">
        <v>-27.29</v>
      </c>
      <c r="N13">
        <v>-19.22</v>
      </c>
      <c r="O13">
        <v>11.4</v>
      </c>
      <c r="P13" t="b">
        <v>0</v>
      </c>
      <c r="Q13">
        <v>0</v>
      </c>
      <c r="R13">
        <v>2589</v>
      </c>
      <c r="U13" t="s">
        <v>1775</v>
      </c>
      <c r="V13" t="s">
        <v>2639</v>
      </c>
      <c r="W13">
        <v>0</v>
      </c>
      <c r="X13">
        <v>-33</v>
      </c>
      <c r="Y13" t="s">
        <v>3502</v>
      </c>
      <c r="Z13">
        <v>1.4664023405123849</v>
      </c>
      <c r="AA13">
        <v>1615</v>
      </c>
      <c r="AB13">
        <v>27618</v>
      </c>
      <c r="AC13" t="s">
        <v>4294</v>
      </c>
      <c r="AD13">
        <v>74.58</v>
      </c>
      <c r="AE13" t="s">
        <v>5158</v>
      </c>
      <c r="AF13" t="s">
        <v>6022</v>
      </c>
      <c r="AG13">
        <v>2588</v>
      </c>
      <c r="AH13">
        <v>350</v>
      </c>
      <c r="AI13">
        <v>552500</v>
      </c>
      <c r="AJ13">
        <v>5.1100000000000003</v>
      </c>
    </row>
    <row r="14" spans="1:36">
      <c r="A14" s="1" t="s">
        <v>48</v>
      </c>
      <c r="B14" t="s">
        <v>912</v>
      </c>
      <c r="C14" t="str">
        <f>HYPERLINK("https://finance.naver.com/item/coinfo.nhn?code=228850", "A228850")</f>
        <v>A228850</v>
      </c>
      <c r="D14" t="str">
        <f>HYPERLINK("http://comp.fnguide.com/SVO2/ASP/SVD_Consensus.asp?pGB=1&amp;gicode=A228850&amp;cID=&amp;MenuYn=Y&amp;ReportGB=&amp;NewMenuID=108&amp;stkGb=701", "레이언스")</f>
        <v>레이언스</v>
      </c>
      <c r="E14">
        <v>3</v>
      </c>
      <c r="F14">
        <v>10950</v>
      </c>
      <c r="G14">
        <v>-0.83</v>
      </c>
      <c r="H14">
        <v>14.97</v>
      </c>
      <c r="I14">
        <v>12834</v>
      </c>
      <c r="J14">
        <v>12541</v>
      </c>
      <c r="K14">
        <v>12458</v>
      </c>
      <c r="L14">
        <v>-17.21</v>
      </c>
      <c r="M14">
        <v>-14.53</v>
      </c>
      <c r="N14">
        <v>-13.77</v>
      </c>
      <c r="O14">
        <v>8.25</v>
      </c>
      <c r="P14" t="b">
        <v>1</v>
      </c>
      <c r="Q14">
        <v>0</v>
      </c>
      <c r="R14">
        <v>885</v>
      </c>
      <c r="S14">
        <v>485</v>
      </c>
      <c r="T14">
        <v>-45.2</v>
      </c>
      <c r="U14" t="s">
        <v>1776</v>
      </c>
      <c r="V14" t="s">
        <v>2640</v>
      </c>
      <c r="W14">
        <v>-18.031579084334499</v>
      </c>
      <c r="X14">
        <v>-68.400000000000006</v>
      </c>
      <c r="Y14" t="s">
        <v>3503</v>
      </c>
      <c r="Z14">
        <v>-24.620842676916961</v>
      </c>
      <c r="AA14">
        <v>1817</v>
      </c>
      <c r="AB14">
        <v>35651</v>
      </c>
      <c r="AC14" t="s">
        <v>4295</v>
      </c>
      <c r="AD14">
        <v>64.86</v>
      </c>
      <c r="AE14" t="s">
        <v>5159</v>
      </c>
      <c r="AF14" t="s">
        <v>6023</v>
      </c>
      <c r="AG14">
        <v>1262</v>
      </c>
      <c r="AH14">
        <v>228</v>
      </c>
      <c r="AI14">
        <v>854574</v>
      </c>
      <c r="AJ14">
        <v>2.2599999999999998</v>
      </c>
    </row>
    <row r="15" spans="1:36">
      <c r="A15" s="1" t="s">
        <v>49</v>
      </c>
      <c r="B15" t="s">
        <v>913</v>
      </c>
      <c r="C15" t="str">
        <f>HYPERLINK("https://finance.naver.com/item/coinfo.nhn?code=900260", "A900260")</f>
        <v>A900260</v>
      </c>
      <c r="D15" t="str">
        <f>HYPERLINK("http://comp.fnguide.com/SVO2/ASP/SVD_Consensus.asp?pGB=1&amp;gicode=A900260&amp;cID=&amp;MenuYn=Y&amp;ReportGB=&amp;NewMenuID=108&amp;stkGb=701", "로스웰")</f>
        <v>로스웰</v>
      </c>
      <c r="E15">
        <v>3</v>
      </c>
      <c r="F15">
        <v>304</v>
      </c>
      <c r="G15">
        <v>0</v>
      </c>
      <c r="H15">
        <v>19.75</v>
      </c>
      <c r="I15">
        <v>1211</v>
      </c>
      <c r="J15">
        <v>1581</v>
      </c>
      <c r="K15">
        <v>1686</v>
      </c>
      <c r="L15">
        <v>-298.3</v>
      </c>
      <c r="M15">
        <v>-419.94</v>
      </c>
      <c r="N15">
        <v>-454.51</v>
      </c>
      <c r="O15">
        <v>5.27</v>
      </c>
      <c r="P15" t="b">
        <v>0</v>
      </c>
      <c r="Q15">
        <v>0</v>
      </c>
      <c r="R15">
        <v>24</v>
      </c>
      <c r="U15" t="s">
        <v>1777</v>
      </c>
      <c r="V15" t="s">
        <v>2641</v>
      </c>
      <c r="W15">
        <v>0</v>
      </c>
      <c r="X15">
        <v>0</v>
      </c>
      <c r="Y15" t="s">
        <v>3504</v>
      </c>
      <c r="Z15">
        <v>-53.169992691835297</v>
      </c>
      <c r="AA15">
        <v>431</v>
      </c>
      <c r="AB15">
        <v>509279</v>
      </c>
      <c r="AC15" t="s">
        <v>4296</v>
      </c>
      <c r="AD15">
        <v>41.91</v>
      </c>
      <c r="AE15" t="s">
        <v>5160</v>
      </c>
      <c r="AF15" t="s">
        <v>6024</v>
      </c>
      <c r="AG15">
        <v>977</v>
      </c>
      <c r="AH15">
        <v>44</v>
      </c>
      <c r="AI15">
        <v>1048007</v>
      </c>
    </row>
    <row r="16" spans="1:36">
      <c r="A16" s="1" t="s">
        <v>50</v>
      </c>
      <c r="B16" t="s">
        <v>914</v>
      </c>
      <c r="C16" t="str">
        <f>HYPERLINK("https://finance.naver.com/item/coinfo.nhn?code=039980", "A039980")</f>
        <v>A039980</v>
      </c>
      <c r="D16" t="str">
        <f>HYPERLINK("http://comp.fnguide.com/SVO2/ASP/SVD_Consensus.asp?pGB=1&amp;gicode=A039980&amp;cID=&amp;MenuYn=Y&amp;ReportGB=&amp;NewMenuID=108&amp;stkGb=701", "리노스")</f>
        <v>리노스</v>
      </c>
      <c r="E16">
        <v>3</v>
      </c>
      <c r="F16">
        <v>1180</v>
      </c>
      <c r="G16">
        <v>0</v>
      </c>
      <c r="I16">
        <v>514</v>
      </c>
      <c r="J16">
        <v>1313</v>
      </c>
      <c r="K16">
        <v>1540</v>
      </c>
      <c r="L16">
        <v>56.45</v>
      </c>
      <c r="M16">
        <v>-11.27</v>
      </c>
      <c r="N16">
        <v>-30.51</v>
      </c>
      <c r="O16">
        <v>2.21</v>
      </c>
      <c r="P16" t="b">
        <v>0</v>
      </c>
      <c r="Q16">
        <v>0</v>
      </c>
      <c r="R16">
        <v>-11</v>
      </c>
      <c r="U16" t="s">
        <v>1778</v>
      </c>
      <c r="V16" t="s">
        <v>2642</v>
      </c>
      <c r="W16">
        <v>0</v>
      </c>
      <c r="X16">
        <v>0</v>
      </c>
      <c r="Y16" t="s">
        <v>3505</v>
      </c>
      <c r="Z16">
        <v>-46.288033627086577</v>
      </c>
      <c r="AA16">
        <v>490</v>
      </c>
      <c r="AB16">
        <v>618914</v>
      </c>
      <c r="AC16" t="s">
        <v>4297</v>
      </c>
      <c r="AD16">
        <v>30.41</v>
      </c>
      <c r="AE16" t="s">
        <v>5161</v>
      </c>
      <c r="AF16" t="s">
        <v>6025</v>
      </c>
      <c r="AG16">
        <v>813</v>
      </c>
      <c r="AH16">
        <v>-3</v>
      </c>
      <c r="AI16">
        <v>823643</v>
      </c>
      <c r="AJ16">
        <v>0</v>
      </c>
    </row>
    <row r="17" spans="1:36">
      <c r="A17" s="1" t="s">
        <v>51</v>
      </c>
      <c r="B17" t="s">
        <v>915</v>
      </c>
      <c r="C17" t="str">
        <f>HYPERLINK("https://finance.naver.com/item/coinfo.nhn?code=012700", "A012700")</f>
        <v>A012700</v>
      </c>
      <c r="D17" t="str">
        <f>HYPERLINK("http://comp.fnguide.com/SVO2/ASP/SVD_Consensus.asp?pGB=1&amp;gicode=A012700&amp;cID=&amp;MenuYn=Y&amp;ReportGB=&amp;NewMenuID=108&amp;stkGb=701", "리드코프")</f>
        <v>리드코프</v>
      </c>
      <c r="E17">
        <v>3</v>
      </c>
      <c r="F17">
        <v>7070</v>
      </c>
      <c r="G17">
        <v>0</v>
      </c>
      <c r="H17">
        <v>4.6399999999999997</v>
      </c>
      <c r="I17">
        <v>20056</v>
      </c>
      <c r="J17">
        <v>16647</v>
      </c>
      <c r="K17">
        <v>15678</v>
      </c>
      <c r="L17">
        <v>-183.68</v>
      </c>
      <c r="M17">
        <v>-135.46</v>
      </c>
      <c r="N17">
        <v>-121.75</v>
      </c>
      <c r="O17">
        <v>11.07</v>
      </c>
      <c r="P17" t="b">
        <v>1</v>
      </c>
      <c r="Q17">
        <v>0</v>
      </c>
      <c r="R17">
        <v>1531</v>
      </c>
      <c r="U17" t="s">
        <v>1779</v>
      </c>
      <c r="V17" t="s">
        <v>2643</v>
      </c>
      <c r="W17">
        <v>0</v>
      </c>
      <c r="X17">
        <v>7.4</v>
      </c>
      <c r="Y17" t="s">
        <v>3506</v>
      </c>
      <c r="Z17">
        <v>1.4933835483523339</v>
      </c>
      <c r="AA17">
        <v>1870</v>
      </c>
      <c r="AB17">
        <v>168789</v>
      </c>
      <c r="AC17" t="s">
        <v>4298</v>
      </c>
      <c r="AD17">
        <v>40.159999999999997</v>
      </c>
      <c r="AE17" t="s">
        <v>5162</v>
      </c>
      <c r="AF17" t="s">
        <v>6026</v>
      </c>
      <c r="AG17">
        <v>4954</v>
      </c>
      <c r="AH17">
        <v>539</v>
      </c>
      <c r="AI17">
        <v>851283</v>
      </c>
      <c r="AJ17">
        <v>2.11</v>
      </c>
    </row>
    <row r="18" spans="1:36">
      <c r="A18" s="1" t="s">
        <v>52</v>
      </c>
      <c r="B18" t="s">
        <v>916</v>
      </c>
      <c r="C18" t="str">
        <f>HYPERLINK("https://finance.naver.com/item/coinfo.nhn?code=005990", "A005990")</f>
        <v>A005990</v>
      </c>
      <c r="D18" t="str">
        <f>HYPERLINK("http://comp.fnguide.com/SVO2/ASP/SVD_Consensus.asp?pGB=1&amp;gicode=A005990&amp;cID=&amp;MenuYn=Y&amp;ReportGB=&amp;NewMenuID=108&amp;stkGb=701", "매일홀딩스")</f>
        <v>매일홀딩스</v>
      </c>
      <c r="E18">
        <v>3</v>
      </c>
      <c r="F18">
        <v>8400</v>
      </c>
      <c r="G18">
        <v>0</v>
      </c>
      <c r="H18">
        <v>6.44</v>
      </c>
      <c r="I18">
        <v>20948</v>
      </c>
      <c r="J18">
        <v>22125</v>
      </c>
      <c r="K18">
        <v>22459</v>
      </c>
      <c r="L18">
        <v>-149.38</v>
      </c>
      <c r="M18">
        <v>-163.38999999999999</v>
      </c>
      <c r="N18">
        <v>-167.37</v>
      </c>
      <c r="O18">
        <v>7.26</v>
      </c>
      <c r="P18" t="b">
        <v>1</v>
      </c>
      <c r="Q18">
        <v>0</v>
      </c>
      <c r="R18">
        <v>1646</v>
      </c>
      <c r="U18" t="s">
        <v>1780</v>
      </c>
      <c r="V18" t="s">
        <v>2644</v>
      </c>
      <c r="W18">
        <v>0</v>
      </c>
      <c r="X18">
        <v>0</v>
      </c>
      <c r="Y18" t="s">
        <v>3507</v>
      </c>
      <c r="Z18">
        <v>-5.4340337992891392</v>
      </c>
      <c r="AA18">
        <v>1152</v>
      </c>
      <c r="AB18">
        <v>5310</v>
      </c>
      <c r="AC18" t="s">
        <v>4299</v>
      </c>
      <c r="AD18">
        <v>65.930000000000007</v>
      </c>
      <c r="AE18" t="s">
        <v>5163</v>
      </c>
      <c r="AF18" t="s">
        <v>6027</v>
      </c>
      <c r="AG18">
        <v>15908</v>
      </c>
      <c r="AH18">
        <v>844</v>
      </c>
      <c r="AI18">
        <v>1000181</v>
      </c>
      <c r="AJ18">
        <v>1.32</v>
      </c>
    </row>
    <row r="19" spans="1:36">
      <c r="A19" s="1" t="s">
        <v>53</v>
      </c>
      <c r="B19" t="s">
        <v>917</v>
      </c>
      <c r="C19" t="str">
        <f>HYPERLINK("https://finance.naver.com/item/coinfo.nhn?code=127160", "A127160")</f>
        <v>A127160</v>
      </c>
      <c r="D19" t="str">
        <f>HYPERLINK("http://comp.fnguide.com/SVO2/ASP/SVD_Consensus.asp?pGB=1&amp;gicode=A127160&amp;cID=&amp;MenuYn=Y&amp;ReportGB=&amp;NewMenuID=108&amp;stkGb=701", "매직마이크로")</f>
        <v>매직마이크로</v>
      </c>
      <c r="E19">
        <v>3</v>
      </c>
      <c r="F19">
        <v>324</v>
      </c>
      <c r="G19">
        <v>0</v>
      </c>
      <c r="I19">
        <v>0</v>
      </c>
      <c r="J19">
        <v>427</v>
      </c>
      <c r="K19">
        <v>548</v>
      </c>
      <c r="L19">
        <v>100</v>
      </c>
      <c r="M19">
        <v>-31.77</v>
      </c>
      <c r="N19">
        <v>-69.22</v>
      </c>
      <c r="O19">
        <v>0</v>
      </c>
      <c r="P19" t="b">
        <v>0</v>
      </c>
      <c r="Q19">
        <v>0</v>
      </c>
      <c r="R19">
        <v>-238</v>
      </c>
      <c r="U19" t="s">
        <v>1781</v>
      </c>
      <c r="V19" t="s">
        <v>2645</v>
      </c>
      <c r="W19">
        <v>0</v>
      </c>
      <c r="X19">
        <v>0</v>
      </c>
      <c r="Y19" t="s">
        <v>3499</v>
      </c>
      <c r="Z19">
        <v>0</v>
      </c>
      <c r="AA19">
        <v>225</v>
      </c>
      <c r="AB19">
        <v>2019996</v>
      </c>
      <c r="AC19" t="s">
        <v>4300</v>
      </c>
      <c r="AD19">
        <v>4.58</v>
      </c>
      <c r="AE19" t="s">
        <v>5164</v>
      </c>
      <c r="AF19" t="s">
        <v>6021</v>
      </c>
      <c r="AG19">
        <v>738</v>
      </c>
      <c r="AH19">
        <v>-85</v>
      </c>
      <c r="AI19">
        <v>15</v>
      </c>
    </row>
    <row r="20" spans="1:36">
      <c r="A20" s="1" t="s">
        <v>54</v>
      </c>
      <c r="B20" t="s">
        <v>918</v>
      </c>
      <c r="C20" t="str">
        <f>HYPERLINK("https://finance.naver.com/item/coinfo.nhn?code=093520", "A093520")</f>
        <v>A093520</v>
      </c>
      <c r="D20" t="str">
        <f>HYPERLINK("http://comp.fnguide.com/SVO2/ASP/SVD_Consensus.asp?pGB=1&amp;gicode=A093520&amp;cID=&amp;MenuYn=Y&amp;ReportGB=&amp;NewMenuID=108&amp;stkGb=701", "매커스")</f>
        <v>매커스</v>
      </c>
      <c r="E20">
        <v>3</v>
      </c>
      <c r="F20">
        <v>4920</v>
      </c>
      <c r="G20">
        <v>0</v>
      </c>
      <c r="H20">
        <v>12.7</v>
      </c>
      <c r="I20">
        <v>7865</v>
      </c>
      <c r="J20">
        <v>5774</v>
      </c>
      <c r="K20">
        <v>5180</v>
      </c>
      <c r="L20">
        <v>-59.87</v>
      </c>
      <c r="M20">
        <v>-17.36</v>
      </c>
      <c r="N20">
        <v>-5.28</v>
      </c>
      <c r="O20">
        <v>14.23</v>
      </c>
      <c r="P20" t="b">
        <v>1</v>
      </c>
      <c r="Q20">
        <v>0</v>
      </c>
      <c r="R20">
        <v>296</v>
      </c>
      <c r="U20" t="s">
        <v>1782</v>
      </c>
      <c r="V20" t="s">
        <v>2646</v>
      </c>
      <c r="W20">
        <v>0</v>
      </c>
      <c r="X20">
        <v>54.4</v>
      </c>
      <c r="Y20" t="s">
        <v>3508</v>
      </c>
      <c r="Z20">
        <v>9.1194409198849016</v>
      </c>
      <c r="AA20">
        <v>795</v>
      </c>
      <c r="AB20">
        <v>298256</v>
      </c>
      <c r="AC20" t="s">
        <v>4301</v>
      </c>
      <c r="AD20">
        <v>15.93</v>
      </c>
      <c r="AE20" t="s">
        <v>5165</v>
      </c>
      <c r="AF20" t="s">
        <v>6028</v>
      </c>
      <c r="AG20">
        <v>575</v>
      </c>
      <c r="AH20">
        <v>59</v>
      </c>
      <c r="AI20">
        <v>4135008</v>
      </c>
      <c r="AJ20">
        <v>2.66</v>
      </c>
    </row>
    <row r="21" spans="1:36">
      <c r="A21" s="1" t="s">
        <v>55</v>
      </c>
      <c r="B21" t="s">
        <v>919</v>
      </c>
      <c r="C21" t="str">
        <f>HYPERLINK("https://finance.naver.com/item/coinfo.nhn?code=072870", "A072870")</f>
        <v>A072870</v>
      </c>
      <c r="D21" t="str">
        <f>HYPERLINK("http://comp.fnguide.com/SVO2/ASP/SVD_Consensus.asp?pGB=1&amp;gicode=A072870&amp;cID=&amp;MenuYn=Y&amp;ReportGB=&amp;NewMenuID=108&amp;stkGb=701", "메가스터디")</f>
        <v>메가스터디</v>
      </c>
      <c r="E21">
        <v>3</v>
      </c>
      <c r="F21">
        <v>11650</v>
      </c>
      <c r="G21">
        <v>0</v>
      </c>
      <c r="H21">
        <v>11.14</v>
      </c>
      <c r="I21">
        <v>15448</v>
      </c>
      <c r="J21">
        <v>19682</v>
      </c>
      <c r="K21">
        <v>20885</v>
      </c>
      <c r="L21">
        <v>-32.6</v>
      </c>
      <c r="M21">
        <v>-68.94</v>
      </c>
      <c r="N21">
        <v>-79.27</v>
      </c>
      <c r="O21">
        <v>5.45</v>
      </c>
      <c r="P21" t="b">
        <v>1</v>
      </c>
      <c r="Q21">
        <v>0</v>
      </c>
      <c r="R21">
        <v>1064</v>
      </c>
      <c r="U21" t="s">
        <v>1783</v>
      </c>
      <c r="V21" t="s">
        <v>2647</v>
      </c>
      <c r="W21">
        <v>0</v>
      </c>
      <c r="X21">
        <v>15.1</v>
      </c>
      <c r="Y21" t="s">
        <v>3509</v>
      </c>
      <c r="Z21">
        <v>-19.858999257558551</v>
      </c>
      <c r="AA21">
        <v>1389</v>
      </c>
      <c r="AB21">
        <v>56807</v>
      </c>
      <c r="AC21" t="s">
        <v>4302</v>
      </c>
      <c r="AD21">
        <v>35.26</v>
      </c>
      <c r="AE21" t="s">
        <v>5166</v>
      </c>
      <c r="AF21" t="s">
        <v>6029</v>
      </c>
      <c r="AG21">
        <v>1402</v>
      </c>
      <c r="AH21">
        <v>23</v>
      </c>
      <c r="AI21">
        <v>63957</v>
      </c>
      <c r="AJ21">
        <v>3.8</v>
      </c>
    </row>
    <row r="22" spans="1:36">
      <c r="A22" s="1" t="s">
        <v>56</v>
      </c>
      <c r="B22" t="s">
        <v>920</v>
      </c>
      <c r="C22" t="str">
        <f>HYPERLINK("https://finance.naver.com/item/coinfo.nhn?code=014100", "A014100")</f>
        <v>A014100</v>
      </c>
      <c r="D22" t="str">
        <f>HYPERLINK("http://comp.fnguide.com/SVO2/ASP/SVD_Consensus.asp?pGB=1&amp;gicode=A014100&amp;cID=&amp;MenuYn=Y&amp;ReportGB=&amp;NewMenuID=108&amp;stkGb=701", "메디앙스")</f>
        <v>메디앙스</v>
      </c>
      <c r="E22">
        <v>3</v>
      </c>
      <c r="F22">
        <v>4195</v>
      </c>
      <c r="G22">
        <v>0</v>
      </c>
      <c r="H22">
        <v>3.01</v>
      </c>
      <c r="I22">
        <v>27265</v>
      </c>
      <c r="J22">
        <v>15236</v>
      </c>
      <c r="K22">
        <v>11818</v>
      </c>
      <c r="L22">
        <v>-549.94000000000005</v>
      </c>
      <c r="M22">
        <v>-263.2</v>
      </c>
      <c r="N22">
        <v>-181.72</v>
      </c>
      <c r="O22">
        <v>29.76</v>
      </c>
      <c r="P22" t="b">
        <v>1</v>
      </c>
      <c r="Q22">
        <v>0</v>
      </c>
      <c r="R22">
        <v>2877</v>
      </c>
      <c r="U22" t="s">
        <v>1784</v>
      </c>
      <c r="V22" t="s">
        <v>2648</v>
      </c>
      <c r="W22">
        <v>0</v>
      </c>
      <c r="X22">
        <v>0</v>
      </c>
      <c r="Y22" t="s">
        <v>3510</v>
      </c>
      <c r="Z22">
        <v>56.993090795906767</v>
      </c>
      <c r="AA22">
        <v>495</v>
      </c>
      <c r="AB22">
        <v>0</v>
      </c>
      <c r="AC22" t="s">
        <v>4303</v>
      </c>
      <c r="AD22">
        <v>30.49</v>
      </c>
      <c r="AE22" t="s">
        <v>5167</v>
      </c>
      <c r="AF22" t="s">
        <v>6030</v>
      </c>
      <c r="AG22">
        <v>973</v>
      </c>
      <c r="AH22">
        <v>16</v>
      </c>
      <c r="AI22">
        <v>236868</v>
      </c>
    </row>
    <row r="23" spans="1:36">
      <c r="A23" s="1" t="s">
        <v>57</v>
      </c>
      <c r="B23" t="s">
        <v>921</v>
      </c>
      <c r="C23" t="str">
        <f>HYPERLINK("https://finance.naver.com/item/coinfo.nhn?code=241770", "A241770")</f>
        <v>A241770</v>
      </c>
      <c r="D23" t="str">
        <f>HYPERLINK("http://comp.fnguide.com/SVO2/ASP/SVD_Consensus.asp?pGB=1&amp;gicode=A241770&amp;cID=&amp;MenuYn=Y&amp;ReportGB=&amp;NewMenuID=108&amp;stkGb=701", "메카로")</f>
        <v>메카로</v>
      </c>
      <c r="E23">
        <v>3</v>
      </c>
      <c r="F23">
        <v>13800</v>
      </c>
      <c r="G23">
        <v>0</v>
      </c>
      <c r="H23">
        <v>18.809999999999999</v>
      </c>
      <c r="I23">
        <v>31981</v>
      </c>
      <c r="J23">
        <v>21483</v>
      </c>
      <c r="K23">
        <v>18500</v>
      </c>
      <c r="L23">
        <v>-131.75</v>
      </c>
      <c r="M23">
        <v>-55.68</v>
      </c>
      <c r="N23">
        <v>-34.06</v>
      </c>
      <c r="O23">
        <v>17.47</v>
      </c>
      <c r="P23" t="b">
        <v>1</v>
      </c>
      <c r="Q23">
        <v>0</v>
      </c>
      <c r="R23">
        <v>819</v>
      </c>
      <c r="U23" t="s">
        <v>1785</v>
      </c>
      <c r="V23" t="s">
        <v>2649</v>
      </c>
      <c r="W23">
        <v>0</v>
      </c>
      <c r="X23">
        <v>-98.4</v>
      </c>
      <c r="Y23" t="s">
        <v>3511</v>
      </c>
      <c r="Z23">
        <v>-53.388081995014758</v>
      </c>
      <c r="AA23">
        <v>1394</v>
      </c>
      <c r="AB23">
        <v>42487</v>
      </c>
      <c r="AC23" t="s">
        <v>4304</v>
      </c>
      <c r="AD23">
        <v>60.36</v>
      </c>
      <c r="AE23" t="s">
        <v>5168</v>
      </c>
      <c r="AF23" t="s">
        <v>6031</v>
      </c>
      <c r="AG23">
        <v>725</v>
      </c>
      <c r="AH23">
        <v>86</v>
      </c>
      <c r="AI23">
        <v>380000</v>
      </c>
      <c r="AJ23">
        <v>1.04</v>
      </c>
    </row>
    <row r="24" spans="1:36">
      <c r="A24" s="1" t="s">
        <v>58</v>
      </c>
      <c r="B24" t="s">
        <v>922</v>
      </c>
      <c r="C24" t="str">
        <f>HYPERLINK("https://finance.naver.com/item/coinfo.nhn?code=080420", "A080420")</f>
        <v>A080420</v>
      </c>
      <c r="D24" t="str">
        <f>HYPERLINK("http://comp.fnguide.com/SVO2/ASP/SVD_Consensus.asp?pGB=1&amp;gicode=A080420&amp;cID=&amp;MenuYn=Y&amp;ReportGB=&amp;NewMenuID=108&amp;stkGb=701", "모다이노칩")</f>
        <v>모다이노칩</v>
      </c>
      <c r="E24">
        <v>3</v>
      </c>
      <c r="F24">
        <v>3665</v>
      </c>
      <c r="G24">
        <v>0</v>
      </c>
      <c r="H24">
        <v>47.94</v>
      </c>
      <c r="I24">
        <v>3095</v>
      </c>
      <c r="J24">
        <v>3832</v>
      </c>
      <c r="K24">
        <v>4042</v>
      </c>
      <c r="L24">
        <v>15.55</v>
      </c>
      <c r="M24">
        <v>-4.5599999999999996</v>
      </c>
      <c r="N24">
        <v>-10.27</v>
      </c>
      <c r="O24">
        <v>5.69</v>
      </c>
      <c r="P24" t="b">
        <v>1</v>
      </c>
      <c r="Q24">
        <v>0</v>
      </c>
      <c r="R24">
        <v>65</v>
      </c>
      <c r="U24" t="s">
        <v>1786</v>
      </c>
      <c r="V24" t="s">
        <v>2650</v>
      </c>
      <c r="W24">
        <v>0</v>
      </c>
      <c r="X24">
        <v>-2.8</v>
      </c>
      <c r="Y24" t="s">
        <v>3512</v>
      </c>
      <c r="Z24">
        <v>-30.009665504684651</v>
      </c>
      <c r="AA24">
        <v>2922</v>
      </c>
      <c r="AB24">
        <v>212836</v>
      </c>
      <c r="AC24" t="s">
        <v>4305</v>
      </c>
      <c r="AD24">
        <v>79.400000000000006</v>
      </c>
      <c r="AE24" t="s">
        <v>5169</v>
      </c>
      <c r="AF24" t="s">
        <v>6032</v>
      </c>
      <c r="AG24">
        <v>3201</v>
      </c>
      <c r="AH24">
        <v>305</v>
      </c>
    </row>
    <row r="25" spans="1:36">
      <c r="A25" s="1" t="s">
        <v>59</v>
      </c>
      <c r="B25" t="s">
        <v>923</v>
      </c>
      <c r="C25" t="str">
        <f>HYPERLINK("https://finance.naver.com/item/coinfo.nhn?code=013120", "A013120")</f>
        <v>A013120</v>
      </c>
      <c r="D25" t="str">
        <f>HYPERLINK("http://comp.fnguide.com/SVO2/ASP/SVD_Consensus.asp?pGB=1&amp;gicode=A013120&amp;cID=&amp;MenuYn=Y&amp;ReportGB=&amp;NewMenuID=108&amp;stkGb=701", "동원개발")</f>
        <v>동원개발</v>
      </c>
      <c r="E25">
        <v>3</v>
      </c>
      <c r="F25">
        <v>4805</v>
      </c>
      <c r="G25">
        <v>0</v>
      </c>
      <c r="H25">
        <v>4.38</v>
      </c>
      <c r="I25">
        <v>16106</v>
      </c>
      <c r="J25">
        <v>11525</v>
      </c>
      <c r="K25">
        <v>10223</v>
      </c>
      <c r="L25">
        <v>-235.19</v>
      </c>
      <c r="M25">
        <v>-139.85</v>
      </c>
      <c r="N25">
        <v>-112.75</v>
      </c>
      <c r="O25">
        <v>15.06</v>
      </c>
      <c r="P25" t="b">
        <v>1</v>
      </c>
      <c r="Q25">
        <v>0</v>
      </c>
      <c r="R25">
        <v>933</v>
      </c>
      <c r="U25" t="s">
        <v>1787</v>
      </c>
      <c r="V25" t="s">
        <v>2651</v>
      </c>
      <c r="W25">
        <v>0</v>
      </c>
      <c r="X25">
        <v>43.1</v>
      </c>
      <c r="Y25" t="s">
        <v>3513</v>
      </c>
      <c r="Z25">
        <v>6.1171088526694506</v>
      </c>
      <c r="AA25">
        <v>4363</v>
      </c>
      <c r="AB25">
        <v>368062</v>
      </c>
      <c r="AC25" t="s">
        <v>4306</v>
      </c>
      <c r="AD25">
        <v>61.17</v>
      </c>
      <c r="AE25" t="s">
        <v>5170</v>
      </c>
      <c r="AF25" t="s">
        <v>6033</v>
      </c>
      <c r="AG25">
        <v>6426</v>
      </c>
      <c r="AH25">
        <v>1061</v>
      </c>
      <c r="AJ25">
        <v>4.16</v>
      </c>
    </row>
    <row r="26" spans="1:36">
      <c r="A26" s="1" t="s">
        <v>60</v>
      </c>
      <c r="B26" t="s">
        <v>924</v>
      </c>
      <c r="C26" t="str">
        <f>HYPERLINK("https://finance.naver.com/item/coinfo.nhn?code=088910", "A088910")</f>
        <v>A088910</v>
      </c>
      <c r="D26" t="str">
        <f>HYPERLINK("http://comp.fnguide.com/SVO2/ASP/SVD_Consensus.asp?pGB=1&amp;gicode=A088910&amp;cID=&amp;MenuYn=Y&amp;ReportGB=&amp;NewMenuID=108&amp;stkGb=701", "동우팜투테이블")</f>
        <v>동우팜투테이블</v>
      </c>
      <c r="E26">
        <v>3</v>
      </c>
      <c r="F26">
        <v>3320</v>
      </c>
      <c r="G26">
        <v>0</v>
      </c>
      <c r="H26">
        <v>35.03</v>
      </c>
      <c r="I26">
        <v>5490</v>
      </c>
      <c r="J26">
        <v>6631</v>
      </c>
      <c r="K26">
        <v>6956</v>
      </c>
      <c r="L26">
        <v>-65.37</v>
      </c>
      <c r="M26">
        <v>-99.74</v>
      </c>
      <c r="N26">
        <v>-109.51</v>
      </c>
      <c r="O26">
        <v>5.9</v>
      </c>
      <c r="P26" t="b">
        <v>1</v>
      </c>
      <c r="Q26">
        <v>0</v>
      </c>
      <c r="R26">
        <v>102</v>
      </c>
      <c r="U26" t="s">
        <v>1788</v>
      </c>
      <c r="V26" t="s">
        <v>2652</v>
      </c>
      <c r="W26">
        <v>0</v>
      </c>
      <c r="X26">
        <v>0</v>
      </c>
      <c r="Y26" t="s">
        <v>3514</v>
      </c>
      <c r="Z26">
        <v>-27.27193900713165</v>
      </c>
      <c r="AA26">
        <v>858</v>
      </c>
      <c r="AB26">
        <v>271745</v>
      </c>
      <c r="AC26" t="s">
        <v>4307</v>
      </c>
      <c r="AD26">
        <v>52.88</v>
      </c>
      <c r="AE26" t="s">
        <v>5171</v>
      </c>
      <c r="AF26" t="s">
        <v>6034</v>
      </c>
      <c r="AG26">
        <v>2706</v>
      </c>
      <c r="AH26">
        <v>43</v>
      </c>
      <c r="AI26">
        <v>110000</v>
      </c>
    </row>
    <row r="27" spans="1:36">
      <c r="A27" s="1" t="s">
        <v>61</v>
      </c>
      <c r="B27" t="s">
        <v>925</v>
      </c>
      <c r="C27" t="str">
        <f>HYPERLINK("https://finance.naver.com/item/coinfo.nhn?code=228340", "A228340")</f>
        <v>A228340</v>
      </c>
      <c r="D27" t="str">
        <f>HYPERLINK("http://comp.fnguide.com/SVO2/ASP/SVD_Consensus.asp?pGB=1&amp;gicode=A228340&amp;cID=&amp;MenuYn=Y&amp;ReportGB=&amp;NewMenuID=108&amp;stkGb=701", "동양파일")</f>
        <v>동양파일</v>
      </c>
      <c r="E27">
        <v>3</v>
      </c>
      <c r="F27">
        <v>3180</v>
      </c>
      <c r="G27">
        <v>0</v>
      </c>
      <c r="I27">
        <v>727</v>
      </c>
      <c r="J27">
        <v>3966</v>
      </c>
      <c r="K27">
        <v>4886</v>
      </c>
      <c r="L27">
        <v>77.13</v>
      </c>
      <c r="M27">
        <v>-24.71</v>
      </c>
      <c r="N27">
        <v>-53.66</v>
      </c>
      <c r="O27">
        <v>0.94</v>
      </c>
      <c r="P27" t="b">
        <v>0</v>
      </c>
      <c r="Q27">
        <v>0</v>
      </c>
      <c r="R27">
        <v>-762</v>
      </c>
      <c r="U27" t="s">
        <v>1789</v>
      </c>
      <c r="V27" t="s">
        <v>2653</v>
      </c>
      <c r="W27">
        <v>0</v>
      </c>
      <c r="X27">
        <v>0</v>
      </c>
      <c r="Y27" t="s">
        <v>3515</v>
      </c>
      <c r="Z27">
        <v>-48.40542664194227</v>
      </c>
      <c r="AA27">
        <v>636</v>
      </c>
      <c r="AB27">
        <v>25749</v>
      </c>
      <c r="AC27" t="s">
        <v>4308</v>
      </c>
      <c r="AD27">
        <v>60</v>
      </c>
      <c r="AE27" t="s">
        <v>5172</v>
      </c>
      <c r="AF27" t="s">
        <v>6035</v>
      </c>
      <c r="AG27">
        <v>532</v>
      </c>
      <c r="AH27">
        <v>-55</v>
      </c>
    </row>
    <row r="28" spans="1:36">
      <c r="A28" s="1" t="s">
        <v>62</v>
      </c>
      <c r="B28" t="s">
        <v>926</v>
      </c>
      <c r="C28" t="str">
        <f>HYPERLINK("https://finance.naver.com/item/coinfo.nhn?code=007680", "A007680")</f>
        <v>A007680</v>
      </c>
      <c r="D28" t="str">
        <f>HYPERLINK("http://comp.fnguide.com/SVO2/ASP/SVD_Consensus.asp?pGB=1&amp;gicode=A007680&amp;cID=&amp;MenuYn=Y&amp;ReportGB=&amp;NewMenuID=108&amp;stkGb=701", "대원")</f>
        <v>대원</v>
      </c>
      <c r="E28">
        <v>3</v>
      </c>
      <c r="F28">
        <v>9480</v>
      </c>
      <c r="G28">
        <v>-0.24</v>
      </c>
      <c r="H28">
        <v>13.3</v>
      </c>
      <c r="I28">
        <v>21664</v>
      </c>
      <c r="J28">
        <v>22902</v>
      </c>
      <c r="K28">
        <v>23253</v>
      </c>
      <c r="L28">
        <v>-128.53</v>
      </c>
      <c r="M28">
        <v>-141.58000000000001</v>
      </c>
      <c r="N28">
        <v>-145.29</v>
      </c>
      <c r="O28">
        <v>7.25</v>
      </c>
      <c r="P28" t="b">
        <v>0</v>
      </c>
      <c r="Q28">
        <v>0</v>
      </c>
      <c r="R28">
        <v>842</v>
      </c>
      <c r="S28">
        <v>209</v>
      </c>
      <c r="T28">
        <v>-75.2</v>
      </c>
      <c r="U28" t="s">
        <v>1790</v>
      </c>
      <c r="V28" t="s">
        <v>2654</v>
      </c>
      <c r="W28">
        <v>-54.725732297202427</v>
      </c>
      <c r="X28">
        <v>-68.5</v>
      </c>
      <c r="Y28" t="s">
        <v>3516</v>
      </c>
      <c r="Z28">
        <v>-28.911323690576911</v>
      </c>
      <c r="AA28">
        <v>1120</v>
      </c>
      <c r="AB28">
        <v>22535</v>
      </c>
      <c r="AC28" t="s">
        <v>4309</v>
      </c>
      <c r="AD28">
        <v>77.989999999999995</v>
      </c>
      <c r="AE28" t="s">
        <v>5173</v>
      </c>
      <c r="AF28" t="s">
        <v>6036</v>
      </c>
      <c r="AG28">
        <v>2486</v>
      </c>
      <c r="AH28">
        <v>125</v>
      </c>
      <c r="AI28">
        <v>160000</v>
      </c>
      <c r="AJ28">
        <v>2.23</v>
      </c>
    </row>
    <row r="29" spans="1:36">
      <c r="A29" s="1" t="s">
        <v>63</v>
      </c>
      <c r="B29" t="s">
        <v>927</v>
      </c>
      <c r="C29" t="str">
        <f>HYPERLINK("https://finance.naver.com/item/coinfo.nhn?code=020400", "A020400")</f>
        <v>A020400</v>
      </c>
      <c r="D29" t="str">
        <f>HYPERLINK("http://comp.fnguide.com/SVO2/ASP/SVD_Consensus.asp?pGB=1&amp;gicode=A020400&amp;cID=&amp;MenuYn=Y&amp;ReportGB=&amp;NewMenuID=108&amp;stkGb=701", "대동금속")</f>
        <v>대동금속</v>
      </c>
      <c r="E29">
        <v>3</v>
      </c>
      <c r="F29">
        <v>9000</v>
      </c>
      <c r="G29">
        <v>0</v>
      </c>
      <c r="H29">
        <v>34191.360000000001</v>
      </c>
      <c r="I29">
        <v>2440</v>
      </c>
      <c r="J29">
        <v>8955</v>
      </c>
      <c r="K29">
        <v>10807</v>
      </c>
      <c r="L29">
        <v>72.89</v>
      </c>
      <c r="M29">
        <v>0.5</v>
      </c>
      <c r="N29">
        <v>-20.07</v>
      </c>
      <c r="O29">
        <v>1.46</v>
      </c>
      <c r="P29" t="b">
        <v>0</v>
      </c>
      <c r="Q29">
        <v>0</v>
      </c>
      <c r="R29">
        <v>0</v>
      </c>
      <c r="T29">
        <v>-100</v>
      </c>
      <c r="U29" t="s">
        <v>1791</v>
      </c>
      <c r="V29" t="s">
        <v>2655</v>
      </c>
      <c r="W29">
        <v>0</v>
      </c>
      <c r="X29">
        <v>201.8</v>
      </c>
      <c r="Y29" t="s">
        <v>3517</v>
      </c>
      <c r="Z29">
        <v>-85.415077803953338</v>
      </c>
      <c r="AA29">
        <v>235</v>
      </c>
      <c r="AB29">
        <v>7591</v>
      </c>
      <c r="AC29" t="s">
        <v>4310</v>
      </c>
      <c r="AD29">
        <v>64.540000000000006</v>
      </c>
      <c r="AE29" t="s">
        <v>5174</v>
      </c>
      <c r="AF29" t="s">
        <v>6037</v>
      </c>
      <c r="AG29">
        <v>885</v>
      </c>
      <c r="AH29">
        <v>33</v>
      </c>
      <c r="AJ29">
        <v>0.59</v>
      </c>
    </row>
    <row r="30" spans="1:36">
      <c r="A30" s="1" t="s">
        <v>64</v>
      </c>
      <c r="B30" t="s">
        <v>928</v>
      </c>
      <c r="C30" t="str">
        <f>HYPERLINK("https://finance.naver.com/item/coinfo.nhn?code=008830", "A008830")</f>
        <v>A008830</v>
      </c>
      <c r="D30" t="str">
        <f>HYPERLINK("http://comp.fnguide.com/SVO2/ASP/SVD_Consensus.asp?pGB=1&amp;gicode=A008830&amp;cID=&amp;MenuYn=Y&amp;ReportGB=&amp;NewMenuID=108&amp;stkGb=701", "대동기어")</f>
        <v>대동기어</v>
      </c>
      <c r="E30">
        <v>3</v>
      </c>
      <c r="F30">
        <v>3165</v>
      </c>
      <c r="G30">
        <v>0</v>
      </c>
      <c r="I30">
        <v>110</v>
      </c>
      <c r="J30">
        <v>3886</v>
      </c>
      <c r="K30">
        <v>4960</v>
      </c>
      <c r="L30">
        <v>96.53</v>
      </c>
      <c r="M30">
        <v>-22.79</v>
      </c>
      <c r="N30">
        <v>-56.7</v>
      </c>
      <c r="O30">
        <v>0.14000000000000001</v>
      </c>
      <c r="P30" t="b">
        <v>0</v>
      </c>
      <c r="Q30">
        <v>0</v>
      </c>
      <c r="R30">
        <v>-62</v>
      </c>
      <c r="U30" t="s">
        <v>1792</v>
      </c>
      <c r="V30" t="s">
        <v>2656</v>
      </c>
      <c r="W30">
        <v>0</v>
      </c>
      <c r="X30">
        <v>841.7</v>
      </c>
      <c r="Y30" t="s">
        <v>3518</v>
      </c>
      <c r="Z30">
        <v>426.35362637679242</v>
      </c>
      <c r="AA30">
        <v>284</v>
      </c>
      <c r="AB30">
        <v>24940</v>
      </c>
      <c r="AC30" t="s">
        <v>4311</v>
      </c>
      <c r="AD30">
        <v>60.23</v>
      </c>
      <c r="AE30" t="s">
        <v>5175</v>
      </c>
      <c r="AF30" t="s">
        <v>6038</v>
      </c>
      <c r="AG30">
        <v>1431</v>
      </c>
      <c r="AH30">
        <v>32</v>
      </c>
      <c r="AJ30">
        <v>0.85</v>
      </c>
    </row>
    <row r="31" spans="1:36">
      <c r="A31" s="1" t="s">
        <v>65</v>
      </c>
      <c r="B31" t="s">
        <v>929</v>
      </c>
      <c r="C31" t="str">
        <f>HYPERLINK("https://finance.naver.com/item/coinfo.nhn?code=048470", "A048470")</f>
        <v>A048470</v>
      </c>
      <c r="D31" t="str">
        <f>HYPERLINK("http://comp.fnguide.com/SVO2/ASP/SVD_Consensus.asp?pGB=1&amp;gicode=A048470&amp;cID=&amp;MenuYn=Y&amp;ReportGB=&amp;NewMenuID=108&amp;stkGb=701", "대동스틸")</f>
        <v>대동스틸</v>
      </c>
      <c r="E31">
        <v>3</v>
      </c>
      <c r="F31">
        <v>4870</v>
      </c>
      <c r="G31">
        <v>0</v>
      </c>
      <c r="H31">
        <v>170.5</v>
      </c>
      <c r="I31">
        <v>1505</v>
      </c>
      <c r="J31">
        <v>4304</v>
      </c>
      <c r="K31">
        <v>5100</v>
      </c>
      <c r="L31">
        <v>69.099999999999994</v>
      </c>
      <c r="M31">
        <v>11.61</v>
      </c>
      <c r="N31">
        <v>-4.7300000000000004</v>
      </c>
      <c r="O31">
        <v>1.94</v>
      </c>
      <c r="P31" t="b">
        <v>0</v>
      </c>
      <c r="Q31">
        <v>0</v>
      </c>
      <c r="R31">
        <v>31</v>
      </c>
      <c r="U31" t="s">
        <v>1793</v>
      </c>
      <c r="V31" t="s">
        <v>2657</v>
      </c>
      <c r="W31">
        <v>0</v>
      </c>
      <c r="X31">
        <v>0</v>
      </c>
      <c r="Y31" t="s">
        <v>3519</v>
      </c>
      <c r="Z31">
        <v>-57.641841442794487</v>
      </c>
      <c r="AA31">
        <v>487</v>
      </c>
      <c r="AB31">
        <v>30885</v>
      </c>
      <c r="AC31" t="s">
        <v>4312</v>
      </c>
      <c r="AD31">
        <v>33.68</v>
      </c>
      <c r="AE31" t="s">
        <v>5176</v>
      </c>
      <c r="AF31" t="s">
        <v>6039</v>
      </c>
      <c r="AG31">
        <v>1133</v>
      </c>
      <c r="AH31">
        <v>-5</v>
      </c>
      <c r="AI31">
        <v>78109</v>
      </c>
      <c r="AJ31">
        <v>0.56000000000000005</v>
      </c>
    </row>
    <row r="32" spans="1:36">
      <c r="A32" s="1" t="s">
        <v>66</v>
      </c>
      <c r="B32" t="s">
        <v>930</v>
      </c>
      <c r="C32" t="str">
        <f>HYPERLINK("https://finance.naver.com/item/coinfo.nhn?code=004780", "A004780")</f>
        <v>A004780</v>
      </c>
      <c r="D32" t="str">
        <f>HYPERLINK("http://comp.fnguide.com/SVO2/ASP/SVD_Consensus.asp?pGB=1&amp;gicode=A004780&amp;cID=&amp;MenuYn=Y&amp;ReportGB=&amp;NewMenuID=108&amp;stkGb=701", "대륙제관")</f>
        <v>대륙제관</v>
      </c>
      <c r="E32">
        <v>3</v>
      </c>
      <c r="F32">
        <v>4785</v>
      </c>
      <c r="G32">
        <v>0</v>
      </c>
      <c r="H32">
        <v>12.48</v>
      </c>
      <c r="I32">
        <v>4567</v>
      </c>
      <c r="J32">
        <v>5864</v>
      </c>
      <c r="K32">
        <v>6232</v>
      </c>
      <c r="L32">
        <v>4.55</v>
      </c>
      <c r="M32">
        <v>-22.54</v>
      </c>
      <c r="N32">
        <v>-30.24</v>
      </c>
      <c r="O32">
        <v>5.39</v>
      </c>
      <c r="P32" t="b">
        <v>1</v>
      </c>
      <c r="Q32">
        <v>0</v>
      </c>
      <c r="R32">
        <v>337</v>
      </c>
      <c r="U32" t="s">
        <v>1794</v>
      </c>
      <c r="V32" t="s">
        <v>2658</v>
      </c>
      <c r="W32">
        <v>0</v>
      </c>
      <c r="X32">
        <v>144.9</v>
      </c>
      <c r="Y32" t="s">
        <v>3520</v>
      </c>
      <c r="Z32">
        <v>0.38952579181963382</v>
      </c>
      <c r="AA32">
        <v>761</v>
      </c>
      <c r="AB32">
        <v>140361</v>
      </c>
      <c r="AC32" t="s">
        <v>4313</v>
      </c>
      <c r="AD32">
        <v>56.15</v>
      </c>
      <c r="AE32" t="s">
        <v>5177</v>
      </c>
      <c r="AF32" t="s">
        <v>6040</v>
      </c>
      <c r="AG32">
        <v>1973</v>
      </c>
      <c r="AH32">
        <v>84</v>
      </c>
      <c r="AJ32">
        <v>2.38</v>
      </c>
    </row>
    <row r="33" spans="1:36">
      <c r="A33" s="1" t="s">
        <v>67</v>
      </c>
      <c r="B33" t="s">
        <v>931</v>
      </c>
      <c r="C33" t="str">
        <f>HYPERLINK("https://finance.naver.com/item/coinfo.nhn?code=017650", "A017650")</f>
        <v>A017650</v>
      </c>
      <c r="D33" t="str">
        <f>HYPERLINK("http://comp.fnguide.com/SVO2/ASP/SVD_Consensus.asp?pGB=1&amp;gicode=A017650&amp;cID=&amp;MenuYn=Y&amp;ReportGB=&amp;NewMenuID=108&amp;stkGb=701", "대림제지")</f>
        <v>대림제지</v>
      </c>
      <c r="E33">
        <v>3</v>
      </c>
      <c r="F33">
        <v>9530</v>
      </c>
      <c r="G33">
        <v>0</v>
      </c>
      <c r="H33">
        <v>22.49</v>
      </c>
      <c r="I33">
        <v>9364</v>
      </c>
      <c r="J33">
        <v>14049</v>
      </c>
      <c r="K33">
        <v>15380</v>
      </c>
      <c r="L33">
        <v>1.75</v>
      </c>
      <c r="M33">
        <v>-47.42</v>
      </c>
      <c r="N33">
        <v>-61.39</v>
      </c>
      <c r="O33">
        <v>4.33</v>
      </c>
      <c r="P33" t="b">
        <v>1</v>
      </c>
      <c r="Q33">
        <v>0</v>
      </c>
      <c r="R33">
        <v>279</v>
      </c>
      <c r="U33" t="s">
        <v>1795</v>
      </c>
      <c r="V33" t="s">
        <v>2659</v>
      </c>
      <c r="W33">
        <v>0</v>
      </c>
      <c r="X33">
        <v>89.6</v>
      </c>
      <c r="Y33" t="s">
        <v>3521</v>
      </c>
      <c r="Z33">
        <v>-39.195394911240491</v>
      </c>
      <c r="AA33">
        <v>858</v>
      </c>
      <c r="AB33">
        <v>125402</v>
      </c>
      <c r="AC33" t="s">
        <v>4314</v>
      </c>
      <c r="AD33">
        <v>61.89</v>
      </c>
      <c r="AE33" t="s">
        <v>5178</v>
      </c>
      <c r="AF33" t="s">
        <v>6041</v>
      </c>
      <c r="AG33">
        <v>1059</v>
      </c>
      <c r="AH33">
        <v>59</v>
      </c>
      <c r="AI33">
        <v>55623</v>
      </c>
    </row>
    <row r="34" spans="1:36">
      <c r="A34" s="1" t="s">
        <v>68</v>
      </c>
      <c r="B34" t="s">
        <v>932</v>
      </c>
      <c r="C34" t="str">
        <f>HYPERLINK("https://finance.naver.com/item/coinfo.nhn?code=007720", "A007720")</f>
        <v>A007720</v>
      </c>
      <c r="D34" t="str">
        <f>HYPERLINK("http://comp.fnguide.com/SVO2/ASP/SVD_Consensus.asp?pGB=1&amp;gicode=A007720&amp;cID=&amp;MenuYn=Y&amp;ReportGB=&amp;NewMenuID=108&amp;stkGb=701", "대명소노시즌")</f>
        <v>대명소노시즌</v>
      </c>
      <c r="E34">
        <v>3</v>
      </c>
      <c r="F34">
        <v>1185</v>
      </c>
      <c r="G34">
        <v>0</v>
      </c>
      <c r="H34">
        <v>2.37</v>
      </c>
      <c r="I34">
        <v>5294</v>
      </c>
      <c r="J34">
        <v>3097</v>
      </c>
      <c r="K34">
        <v>2473</v>
      </c>
      <c r="L34">
        <v>-346.73</v>
      </c>
      <c r="M34">
        <v>-161.36000000000001</v>
      </c>
      <c r="N34">
        <v>-108.68</v>
      </c>
      <c r="O34">
        <v>25.58</v>
      </c>
      <c r="P34" t="b">
        <v>1</v>
      </c>
      <c r="Q34">
        <v>0</v>
      </c>
      <c r="R34">
        <v>633</v>
      </c>
      <c r="U34" t="s">
        <v>1796</v>
      </c>
      <c r="V34" t="s">
        <v>2660</v>
      </c>
      <c r="W34">
        <v>0</v>
      </c>
      <c r="X34">
        <v>0</v>
      </c>
      <c r="Y34" t="s">
        <v>3499</v>
      </c>
      <c r="Z34">
        <v>0</v>
      </c>
      <c r="AA34">
        <v>1194</v>
      </c>
      <c r="AB34">
        <v>1195145</v>
      </c>
      <c r="AC34" t="s">
        <v>4315</v>
      </c>
      <c r="AD34">
        <v>44.44</v>
      </c>
      <c r="AE34" t="s">
        <v>5179</v>
      </c>
      <c r="AF34" t="s">
        <v>6042</v>
      </c>
      <c r="AG34">
        <v>2186</v>
      </c>
      <c r="AH34">
        <v>39</v>
      </c>
    </row>
    <row r="35" spans="1:36">
      <c r="A35" s="1" t="s">
        <v>69</v>
      </c>
      <c r="B35" t="s">
        <v>933</v>
      </c>
      <c r="C35" t="str">
        <f>HYPERLINK("https://finance.naver.com/item/coinfo.nhn?code=317850", "A317850")</f>
        <v>A317850</v>
      </c>
      <c r="D35" t="str">
        <f>HYPERLINK("http://comp.fnguide.com/SVO2/ASP/SVD_Consensus.asp?pGB=1&amp;gicode=A317850&amp;cID=&amp;MenuYn=Y&amp;ReportGB=&amp;NewMenuID=108&amp;stkGb=701", "대모")</f>
        <v>대모</v>
      </c>
      <c r="E35">
        <v>3</v>
      </c>
      <c r="F35">
        <v>4480</v>
      </c>
      <c r="G35">
        <v>0</v>
      </c>
      <c r="H35">
        <v>27.52</v>
      </c>
      <c r="I35">
        <v>3562</v>
      </c>
      <c r="J35">
        <v>4556</v>
      </c>
      <c r="K35">
        <v>4838</v>
      </c>
      <c r="L35">
        <v>20.49</v>
      </c>
      <c r="M35">
        <v>-1.69</v>
      </c>
      <c r="N35">
        <v>-7.99</v>
      </c>
      <c r="O35">
        <v>5.42</v>
      </c>
      <c r="P35" t="b">
        <v>1</v>
      </c>
      <c r="Q35">
        <v>0</v>
      </c>
      <c r="R35">
        <v>235</v>
      </c>
      <c r="U35" t="s">
        <v>1797</v>
      </c>
      <c r="V35" t="s">
        <v>2661</v>
      </c>
      <c r="W35">
        <v>0</v>
      </c>
      <c r="X35">
        <v>-57.8</v>
      </c>
      <c r="Y35" t="s">
        <v>3522</v>
      </c>
      <c r="Z35">
        <v>-23.14796372667999</v>
      </c>
      <c r="AA35">
        <v>373</v>
      </c>
      <c r="AB35">
        <v>43033</v>
      </c>
      <c r="AC35" t="s">
        <v>4316</v>
      </c>
      <c r="AD35">
        <v>29.26</v>
      </c>
      <c r="AE35" t="s">
        <v>5180</v>
      </c>
      <c r="AF35" t="s">
        <v>6043</v>
      </c>
      <c r="AG35">
        <v>450</v>
      </c>
      <c r="AH35">
        <v>10</v>
      </c>
      <c r="AJ35">
        <v>1.08</v>
      </c>
    </row>
    <row r="36" spans="1:36">
      <c r="A36" s="1" t="s">
        <v>70</v>
      </c>
      <c r="B36" t="s">
        <v>934</v>
      </c>
      <c r="C36" t="str">
        <f>HYPERLINK("https://finance.naver.com/item/coinfo.nhn?code=108380", "A108380")</f>
        <v>A108380</v>
      </c>
      <c r="D36" t="str">
        <f>HYPERLINK("http://comp.fnguide.com/SVO2/ASP/SVD_Consensus.asp?pGB=1&amp;gicode=A108380&amp;cID=&amp;MenuYn=Y&amp;ReportGB=&amp;NewMenuID=108&amp;stkGb=701", "대양전기공업")</f>
        <v>대양전기공업</v>
      </c>
      <c r="E36">
        <v>3</v>
      </c>
      <c r="F36">
        <v>15100</v>
      </c>
      <c r="G36">
        <v>0</v>
      </c>
      <c r="H36">
        <v>10.64</v>
      </c>
      <c r="I36">
        <v>18158</v>
      </c>
      <c r="J36">
        <v>20713</v>
      </c>
      <c r="K36">
        <v>21439</v>
      </c>
      <c r="L36">
        <v>-20.25</v>
      </c>
      <c r="M36">
        <v>-37.17</v>
      </c>
      <c r="N36">
        <v>-41.98</v>
      </c>
      <c r="O36">
        <v>6.43</v>
      </c>
      <c r="P36" t="b">
        <v>1</v>
      </c>
      <c r="Q36">
        <v>0</v>
      </c>
      <c r="R36">
        <v>1306</v>
      </c>
      <c r="U36" t="s">
        <v>1798</v>
      </c>
      <c r="V36" t="s">
        <v>2662</v>
      </c>
      <c r="W36">
        <v>0</v>
      </c>
      <c r="X36">
        <v>-21.9</v>
      </c>
      <c r="Y36" t="s">
        <v>3523</v>
      </c>
      <c r="Z36">
        <v>-10.63936689621633</v>
      </c>
      <c r="AA36">
        <v>1445</v>
      </c>
      <c r="AB36">
        <v>38908</v>
      </c>
      <c r="AC36" t="s">
        <v>4317</v>
      </c>
      <c r="AD36">
        <v>59.85</v>
      </c>
      <c r="AE36" t="s">
        <v>5181</v>
      </c>
      <c r="AF36" t="s">
        <v>6044</v>
      </c>
      <c r="AG36">
        <v>1769</v>
      </c>
      <c r="AH36">
        <v>149</v>
      </c>
      <c r="AI36">
        <v>283555</v>
      </c>
      <c r="AJ36">
        <v>1.44</v>
      </c>
    </row>
    <row r="37" spans="1:36">
      <c r="A37" s="1" t="s">
        <v>71</v>
      </c>
      <c r="B37" t="s">
        <v>935</v>
      </c>
      <c r="C37" t="str">
        <f>HYPERLINK("https://finance.naver.com/item/coinfo.nhn?code=006580", "A006580")</f>
        <v>A006580</v>
      </c>
      <c r="D37" t="str">
        <f>HYPERLINK("http://comp.fnguide.com/SVO2/ASP/SVD_Consensus.asp?pGB=1&amp;gicode=A006580&amp;cID=&amp;MenuYn=Y&amp;ReportGB=&amp;NewMenuID=108&amp;stkGb=701", "대양제지")</f>
        <v>대양제지</v>
      </c>
      <c r="E37">
        <v>3</v>
      </c>
      <c r="F37">
        <v>3240</v>
      </c>
      <c r="G37">
        <v>0</v>
      </c>
      <c r="H37">
        <v>3.71</v>
      </c>
      <c r="I37">
        <v>16204</v>
      </c>
      <c r="J37">
        <v>10372</v>
      </c>
      <c r="K37">
        <v>8715</v>
      </c>
      <c r="L37">
        <v>-400.13</v>
      </c>
      <c r="M37">
        <v>-220.13</v>
      </c>
      <c r="N37">
        <v>-168.98</v>
      </c>
      <c r="O37">
        <v>19.760000000000002</v>
      </c>
      <c r="P37" t="b">
        <v>1</v>
      </c>
      <c r="Q37">
        <v>0</v>
      </c>
      <c r="R37">
        <v>876</v>
      </c>
      <c r="U37" t="s">
        <v>1799</v>
      </c>
      <c r="V37" t="s">
        <v>2663</v>
      </c>
      <c r="W37">
        <v>0</v>
      </c>
      <c r="X37">
        <v>-26.9</v>
      </c>
      <c r="Y37" t="s">
        <v>3524</v>
      </c>
      <c r="Z37">
        <v>-24.732144975427921</v>
      </c>
      <c r="AA37">
        <v>870</v>
      </c>
      <c r="AB37">
        <v>308176</v>
      </c>
      <c r="AC37" t="s">
        <v>4318</v>
      </c>
      <c r="AD37">
        <v>53.58</v>
      </c>
      <c r="AE37" t="s">
        <v>5182</v>
      </c>
      <c r="AF37" t="s">
        <v>6045</v>
      </c>
      <c r="AG37">
        <v>2594</v>
      </c>
      <c r="AH37">
        <v>327</v>
      </c>
      <c r="AI37">
        <v>6193269</v>
      </c>
      <c r="AJ37">
        <v>1.23</v>
      </c>
    </row>
    <row r="38" spans="1:36">
      <c r="A38" s="1" t="s">
        <v>72</v>
      </c>
      <c r="B38" t="s">
        <v>936</v>
      </c>
      <c r="C38" t="str">
        <f>HYPERLINK("https://finance.naver.com/item/coinfo.nhn?code=005710", "A005710")</f>
        <v>A005710</v>
      </c>
      <c r="D38" t="str">
        <f>HYPERLINK("http://comp.fnguide.com/SVO2/ASP/SVD_Consensus.asp?pGB=1&amp;gicode=A005710&amp;cID=&amp;MenuYn=Y&amp;ReportGB=&amp;NewMenuID=108&amp;stkGb=701", "대원산업")</f>
        <v>대원산업</v>
      </c>
      <c r="E38">
        <v>3</v>
      </c>
      <c r="F38">
        <v>5510</v>
      </c>
      <c r="G38">
        <v>0</v>
      </c>
      <c r="H38">
        <v>3.04</v>
      </c>
      <c r="I38">
        <v>24665</v>
      </c>
      <c r="J38">
        <v>19175</v>
      </c>
      <c r="K38">
        <v>17615</v>
      </c>
      <c r="L38">
        <v>-347.64</v>
      </c>
      <c r="M38">
        <v>-248.01</v>
      </c>
      <c r="N38">
        <v>-219.69</v>
      </c>
      <c r="O38">
        <v>12.6</v>
      </c>
      <c r="P38" t="b">
        <v>1</v>
      </c>
      <c r="Q38">
        <v>0</v>
      </c>
      <c r="R38">
        <v>1950</v>
      </c>
      <c r="U38" t="s">
        <v>1800</v>
      </c>
      <c r="V38" t="s">
        <v>2664</v>
      </c>
      <c r="W38">
        <v>0</v>
      </c>
      <c r="X38">
        <v>0</v>
      </c>
      <c r="Y38" t="s">
        <v>3525</v>
      </c>
      <c r="Z38">
        <v>57.312396337918848</v>
      </c>
      <c r="AA38">
        <v>1104</v>
      </c>
      <c r="AB38">
        <v>18739</v>
      </c>
      <c r="AC38" t="s">
        <v>4319</v>
      </c>
      <c r="AD38">
        <v>61.55</v>
      </c>
      <c r="AE38" t="s">
        <v>5183</v>
      </c>
      <c r="AF38" t="s">
        <v>6046</v>
      </c>
      <c r="AG38">
        <v>6610</v>
      </c>
      <c r="AH38">
        <v>263</v>
      </c>
      <c r="AJ38">
        <v>2.11</v>
      </c>
    </row>
    <row r="39" spans="1:36">
      <c r="A39" s="1" t="s">
        <v>73</v>
      </c>
      <c r="B39" t="s">
        <v>937</v>
      </c>
      <c r="C39" t="str">
        <f>HYPERLINK("https://finance.naver.com/item/coinfo.nhn?code=079960", "A079960")</f>
        <v>A079960</v>
      </c>
      <c r="D39" t="str">
        <f>HYPERLINK("http://comp.fnguide.com/SVO2/ASP/SVD_Consensus.asp?pGB=1&amp;gicode=A079960&amp;cID=&amp;MenuYn=Y&amp;ReportGB=&amp;NewMenuID=108&amp;stkGb=701", "동양이엔피")</f>
        <v>동양이엔피</v>
      </c>
      <c r="E39">
        <v>3</v>
      </c>
      <c r="F39">
        <v>17100</v>
      </c>
      <c r="G39">
        <v>0</v>
      </c>
      <c r="H39">
        <v>5.34</v>
      </c>
      <c r="I39">
        <v>26076</v>
      </c>
      <c r="J39">
        <v>27809</v>
      </c>
      <c r="K39">
        <v>28302</v>
      </c>
      <c r="L39">
        <v>-52.49</v>
      </c>
      <c r="M39">
        <v>-62.63</v>
      </c>
      <c r="N39">
        <v>-65.510000000000005</v>
      </c>
      <c r="O39">
        <v>7.15</v>
      </c>
      <c r="P39" t="b">
        <v>1</v>
      </c>
      <c r="Q39">
        <v>0</v>
      </c>
      <c r="R39">
        <v>3043</v>
      </c>
      <c r="U39" t="s">
        <v>1801</v>
      </c>
      <c r="V39" t="s">
        <v>2665</v>
      </c>
      <c r="W39">
        <v>0</v>
      </c>
      <c r="X39">
        <v>16.5</v>
      </c>
      <c r="Y39" t="s">
        <v>3526</v>
      </c>
      <c r="Z39">
        <v>9.5451247767198044</v>
      </c>
      <c r="AA39">
        <v>1344</v>
      </c>
      <c r="AB39">
        <v>151082</v>
      </c>
      <c r="AC39" t="s">
        <v>4320</v>
      </c>
      <c r="AD39">
        <v>34.97</v>
      </c>
      <c r="AE39" t="s">
        <v>5184</v>
      </c>
      <c r="AF39" t="s">
        <v>6047</v>
      </c>
      <c r="AG39">
        <v>4827</v>
      </c>
      <c r="AH39">
        <v>293</v>
      </c>
      <c r="AI39">
        <v>390319</v>
      </c>
      <c r="AJ39">
        <v>1.85</v>
      </c>
    </row>
    <row r="40" spans="1:36">
      <c r="A40" s="1" t="s">
        <v>74</v>
      </c>
      <c r="B40" t="s">
        <v>938</v>
      </c>
      <c r="C40" t="str">
        <f>HYPERLINK("https://finance.naver.com/item/coinfo.nhn?code=140520", "A140520")</f>
        <v>A140520</v>
      </c>
      <c r="D40" t="str">
        <f>HYPERLINK("http://comp.fnguide.com/SVO2/ASP/SVD_Consensus.asp?pGB=1&amp;gicode=A140520&amp;cID=&amp;MenuYn=Y&amp;ReportGB=&amp;NewMenuID=108&amp;stkGb=701", "대창스틸")</f>
        <v>대창스틸</v>
      </c>
      <c r="E40">
        <v>3</v>
      </c>
      <c r="F40">
        <v>2470</v>
      </c>
      <c r="G40">
        <v>0</v>
      </c>
      <c r="I40">
        <v>162</v>
      </c>
      <c r="J40">
        <v>2884</v>
      </c>
      <c r="K40">
        <v>3657</v>
      </c>
      <c r="L40">
        <v>93.43</v>
      </c>
      <c r="M40">
        <v>-16.75</v>
      </c>
      <c r="N40">
        <v>-48.06</v>
      </c>
      <c r="O40">
        <v>0.27</v>
      </c>
      <c r="P40" t="b">
        <v>0</v>
      </c>
      <c r="Q40">
        <v>0</v>
      </c>
      <c r="R40">
        <v>-35</v>
      </c>
      <c r="U40" t="s">
        <v>1802</v>
      </c>
      <c r="V40" t="s">
        <v>2666</v>
      </c>
      <c r="W40">
        <v>0</v>
      </c>
      <c r="X40">
        <v>0</v>
      </c>
      <c r="Y40" t="s">
        <v>3499</v>
      </c>
      <c r="Z40">
        <v>0</v>
      </c>
      <c r="AA40">
        <v>494</v>
      </c>
      <c r="AB40">
        <v>339227</v>
      </c>
      <c r="AC40" t="s">
        <v>4321</v>
      </c>
      <c r="AD40">
        <v>65.92</v>
      </c>
      <c r="AE40" t="s">
        <v>5185</v>
      </c>
      <c r="AF40" t="s">
        <v>6048</v>
      </c>
      <c r="AG40">
        <v>1976</v>
      </c>
      <c r="AH40">
        <v>41</v>
      </c>
      <c r="AI40">
        <v>1407</v>
      </c>
      <c r="AJ40">
        <v>4.08</v>
      </c>
    </row>
    <row r="41" spans="1:36">
      <c r="A41" s="1" t="s">
        <v>75</v>
      </c>
      <c r="B41" t="s">
        <v>939</v>
      </c>
      <c r="C41" t="str">
        <f>HYPERLINK("https://finance.naver.com/item/coinfo.nhn?code=023910", "A023910")</f>
        <v>A023910</v>
      </c>
      <c r="D41" t="str">
        <f>HYPERLINK("http://comp.fnguide.com/SVO2/ASP/SVD_Consensus.asp?pGB=1&amp;gicode=A023910&amp;cID=&amp;MenuYn=Y&amp;ReportGB=&amp;NewMenuID=108&amp;stkGb=701", "대한약품")</f>
        <v>대한약품</v>
      </c>
      <c r="E41">
        <v>3</v>
      </c>
      <c r="F41">
        <v>32000</v>
      </c>
      <c r="G41">
        <v>0</v>
      </c>
      <c r="H41">
        <v>6.74</v>
      </c>
      <c r="I41">
        <v>71963</v>
      </c>
      <c r="J41">
        <v>45391</v>
      </c>
      <c r="K41">
        <v>37840</v>
      </c>
      <c r="L41">
        <v>-124.88</v>
      </c>
      <c r="M41">
        <v>-41.85</v>
      </c>
      <c r="N41">
        <v>-18.25</v>
      </c>
      <c r="O41">
        <v>20.55</v>
      </c>
      <c r="P41" t="b">
        <v>1</v>
      </c>
      <c r="Q41">
        <v>0</v>
      </c>
      <c r="R41">
        <v>4694</v>
      </c>
      <c r="U41" t="s">
        <v>1803</v>
      </c>
      <c r="V41" t="s">
        <v>2667</v>
      </c>
      <c r="W41">
        <v>0</v>
      </c>
      <c r="X41">
        <v>-9.4</v>
      </c>
      <c r="Y41" t="s">
        <v>3527</v>
      </c>
      <c r="Z41">
        <v>13.120176802400589</v>
      </c>
      <c r="AA41">
        <v>1920</v>
      </c>
      <c r="AB41">
        <v>50101</v>
      </c>
      <c r="AC41" t="s">
        <v>4322</v>
      </c>
      <c r="AD41">
        <v>34.950000000000003</v>
      </c>
      <c r="AE41" t="s">
        <v>5186</v>
      </c>
      <c r="AF41" t="s">
        <v>6049</v>
      </c>
      <c r="AG41">
        <v>1688</v>
      </c>
      <c r="AH41">
        <v>336</v>
      </c>
      <c r="AJ41">
        <v>1.26</v>
      </c>
    </row>
    <row r="42" spans="1:36">
      <c r="A42" s="1" t="s">
        <v>76</v>
      </c>
      <c r="B42" t="s">
        <v>940</v>
      </c>
      <c r="C42" t="str">
        <f>HYPERLINK("https://finance.naver.com/item/coinfo.nhn?code=021040", "A021040")</f>
        <v>A021040</v>
      </c>
      <c r="D42" t="str">
        <f>HYPERLINK("http://comp.fnguide.com/SVO2/ASP/SVD_Consensus.asp?pGB=1&amp;gicode=A021040&amp;cID=&amp;MenuYn=Y&amp;ReportGB=&amp;NewMenuID=108&amp;stkGb=701", "대호피앤씨")</f>
        <v>대호피앤씨</v>
      </c>
      <c r="E42">
        <v>3</v>
      </c>
      <c r="F42">
        <v>825</v>
      </c>
      <c r="G42">
        <v>0</v>
      </c>
      <c r="H42">
        <v>110.81</v>
      </c>
      <c r="I42">
        <v>339</v>
      </c>
      <c r="J42">
        <v>736</v>
      </c>
      <c r="K42">
        <v>848</v>
      </c>
      <c r="L42">
        <v>58.86</v>
      </c>
      <c r="M42">
        <v>10.82</v>
      </c>
      <c r="N42">
        <v>-2.84</v>
      </c>
      <c r="O42">
        <v>2.7</v>
      </c>
      <c r="P42" t="b">
        <v>1</v>
      </c>
      <c r="Q42">
        <v>0</v>
      </c>
      <c r="R42">
        <v>9</v>
      </c>
      <c r="U42" t="s">
        <v>1804</v>
      </c>
      <c r="V42" t="s">
        <v>2668</v>
      </c>
      <c r="W42">
        <v>0</v>
      </c>
      <c r="X42">
        <v>0</v>
      </c>
      <c r="Y42" t="s">
        <v>3528</v>
      </c>
      <c r="Z42">
        <v>-32.149293118833221</v>
      </c>
      <c r="AA42">
        <v>603</v>
      </c>
      <c r="AB42">
        <v>308632</v>
      </c>
      <c r="AC42" t="s">
        <v>4323</v>
      </c>
      <c r="AD42">
        <v>41.45</v>
      </c>
      <c r="AE42" t="s">
        <v>5187</v>
      </c>
      <c r="AF42" t="s">
        <v>6050</v>
      </c>
      <c r="AG42">
        <v>2042</v>
      </c>
      <c r="AH42">
        <v>46</v>
      </c>
      <c r="AI42">
        <v>780290</v>
      </c>
    </row>
    <row r="43" spans="1:36">
      <c r="A43" s="1" t="s">
        <v>77</v>
      </c>
      <c r="B43" t="s">
        <v>941</v>
      </c>
      <c r="C43" t="str">
        <f>HYPERLINK("https://finance.naver.com/item/coinfo.nhn?code=090410", "A090410")</f>
        <v>A090410</v>
      </c>
      <c r="D43" t="str">
        <f>HYPERLINK("http://comp.fnguide.com/SVO2/ASP/SVD_Consensus.asp?pGB=1&amp;gicode=A090410&amp;cID=&amp;MenuYn=Y&amp;ReportGB=&amp;NewMenuID=108&amp;stkGb=701", "덕신하우징")</f>
        <v>덕신하우징</v>
      </c>
      <c r="E43">
        <v>3</v>
      </c>
      <c r="F43">
        <v>1510</v>
      </c>
      <c r="G43">
        <v>0</v>
      </c>
      <c r="H43">
        <v>34.909999999999997</v>
      </c>
      <c r="I43">
        <v>1612</v>
      </c>
      <c r="J43">
        <v>1634</v>
      </c>
      <c r="K43">
        <v>1640</v>
      </c>
      <c r="L43">
        <v>-6.73</v>
      </c>
      <c r="M43">
        <v>-8.19</v>
      </c>
      <c r="N43">
        <v>-8.61</v>
      </c>
      <c r="O43">
        <v>7.76</v>
      </c>
      <c r="P43" t="b">
        <v>1</v>
      </c>
      <c r="Q43">
        <v>0</v>
      </c>
      <c r="R43">
        <v>37</v>
      </c>
      <c r="U43" t="s">
        <v>1805</v>
      </c>
      <c r="V43" t="s">
        <v>2669</v>
      </c>
      <c r="W43">
        <v>0</v>
      </c>
      <c r="X43">
        <v>0</v>
      </c>
      <c r="Y43" t="s">
        <v>3529</v>
      </c>
      <c r="Z43">
        <v>-58.761789563561329</v>
      </c>
      <c r="AA43">
        <v>696</v>
      </c>
      <c r="AB43">
        <v>635093</v>
      </c>
      <c r="AC43" t="s">
        <v>4324</v>
      </c>
      <c r="AD43">
        <v>31.12</v>
      </c>
      <c r="AE43" t="s">
        <v>5188</v>
      </c>
      <c r="AF43" t="s">
        <v>6051</v>
      </c>
      <c r="AG43">
        <v>1490</v>
      </c>
      <c r="AH43">
        <v>26</v>
      </c>
      <c r="AI43">
        <v>1979225</v>
      </c>
    </row>
    <row r="44" spans="1:36">
      <c r="A44" s="1" t="s">
        <v>78</v>
      </c>
      <c r="B44" t="s">
        <v>942</v>
      </c>
      <c r="C44" t="str">
        <f>HYPERLINK("https://finance.naver.com/item/coinfo.nhn?code=067990", "A067990")</f>
        <v>A067990</v>
      </c>
      <c r="D44" t="str">
        <f>HYPERLINK("http://comp.fnguide.com/SVO2/ASP/SVD_Consensus.asp?pGB=1&amp;gicode=A067990&amp;cID=&amp;MenuYn=Y&amp;ReportGB=&amp;NewMenuID=108&amp;stkGb=701", "도이치모터스")</f>
        <v>도이치모터스</v>
      </c>
      <c r="E44">
        <v>3</v>
      </c>
      <c r="F44">
        <v>7500</v>
      </c>
      <c r="G44">
        <v>0.05</v>
      </c>
      <c r="H44">
        <v>3.84</v>
      </c>
      <c r="I44">
        <v>22942</v>
      </c>
      <c r="J44">
        <v>14474</v>
      </c>
      <c r="K44">
        <v>12068</v>
      </c>
      <c r="L44">
        <v>-205.89</v>
      </c>
      <c r="M44">
        <v>-92.99</v>
      </c>
      <c r="N44">
        <v>-60.91</v>
      </c>
      <c r="O44">
        <v>20.54</v>
      </c>
      <c r="P44" t="b">
        <v>1</v>
      </c>
      <c r="Q44">
        <v>0</v>
      </c>
      <c r="R44">
        <v>1998</v>
      </c>
      <c r="S44">
        <v>819</v>
      </c>
      <c r="T44">
        <v>-59</v>
      </c>
      <c r="U44" t="s">
        <v>1806</v>
      </c>
      <c r="V44" t="s">
        <v>2670</v>
      </c>
      <c r="W44">
        <v>80.18640227147759</v>
      </c>
      <c r="X44">
        <v>-73.7</v>
      </c>
      <c r="Y44" t="s">
        <v>3530</v>
      </c>
      <c r="Z44">
        <v>55.266571460251818</v>
      </c>
      <c r="AA44">
        <v>2180</v>
      </c>
      <c r="AB44">
        <v>617879</v>
      </c>
      <c r="AC44" t="s">
        <v>4325</v>
      </c>
      <c r="AD44">
        <v>31.94</v>
      </c>
      <c r="AE44" t="s">
        <v>5189</v>
      </c>
      <c r="AF44" t="s">
        <v>6052</v>
      </c>
      <c r="AG44">
        <v>12087</v>
      </c>
      <c r="AH44">
        <v>829</v>
      </c>
      <c r="AI44">
        <v>1100000</v>
      </c>
    </row>
    <row r="45" spans="1:36">
      <c r="A45" s="1" t="s">
        <v>79</v>
      </c>
      <c r="B45" t="s">
        <v>943</v>
      </c>
      <c r="C45" t="str">
        <f>HYPERLINK("https://finance.naver.com/item/coinfo.nhn?code=005160", "A005160")</f>
        <v>A005160</v>
      </c>
      <c r="D45" t="str">
        <f>HYPERLINK("http://comp.fnguide.com/SVO2/ASP/SVD_Consensus.asp?pGB=1&amp;gicode=A005160&amp;cID=&amp;MenuYn=Y&amp;ReportGB=&amp;NewMenuID=108&amp;stkGb=701", "동국산업")</f>
        <v>동국산업</v>
      </c>
      <c r="E45">
        <v>3</v>
      </c>
      <c r="F45">
        <v>3430</v>
      </c>
      <c r="G45">
        <v>0</v>
      </c>
      <c r="H45">
        <v>10.38</v>
      </c>
      <c r="I45">
        <v>3396</v>
      </c>
      <c r="J45">
        <v>5821</v>
      </c>
      <c r="K45">
        <v>6510</v>
      </c>
      <c r="L45">
        <v>0.98</v>
      </c>
      <c r="M45">
        <v>-69.7</v>
      </c>
      <c r="N45">
        <v>-89.78</v>
      </c>
      <c r="O45">
        <v>3.63</v>
      </c>
      <c r="P45" t="b">
        <v>1</v>
      </c>
      <c r="Q45">
        <v>0</v>
      </c>
      <c r="R45">
        <v>250</v>
      </c>
      <c r="U45" t="s">
        <v>1807</v>
      </c>
      <c r="V45" t="s">
        <v>2671</v>
      </c>
      <c r="W45">
        <v>0</v>
      </c>
      <c r="X45">
        <v>-37.200000000000003</v>
      </c>
      <c r="Y45" t="s">
        <v>3531</v>
      </c>
      <c r="Z45">
        <v>-16.00919440005039</v>
      </c>
      <c r="AA45">
        <v>1861</v>
      </c>
      <c r="AB45">
        <v>302848</v>
      </c>
      <c r="AC45" t="s">
        <v>4326</v>
      </c>
      <c r="AD45">
        <v>49.84</v>
      </c>
      <c r="AE45" t="s">
        <v>5190</v>
      </c>
      <c r="AF45" t="s">
        <v>6053</v>
      </c>
      <c r="AG45">
        <v>6737</v>
      </c>
      <c r="AH45">
        <v>329</v>
      </c>
      <c r="AI45">
        <v>2720071</v>
      </c>
      <c r="AJ45">
        <v>5.01</v>
      </c>
    </row>
    <row r="46" spans="1:36">
      <c r="A46" s="1" t="s">
        <v>80</v>
      </c>
      <c r="B46" t="s">
        <v>944</v>
      </c>
      <c r="C46" t="str">
        <f>HYPERLINK("https://finance.naver.com/item/coinfo.nhn?code=075970", "A075970")</f>
        <v>A075970</v>
      </c>
      <c r="D46" t="str">
        <f>HYPERLINK("http://comp.fnguide.com/SVO2/ASP/SVD_Consensus.asp?pGB=1&amp;gicode=A075970&amp;cID=&amp;MenuYn=Y&amp;ReportGB=&amp;NewMenuID=108&amp;stkGb=701", "동국알앤에스")</f>
        <v>동국알앤에스</v>
      </c>
      <c r="E46">
        <v>3</v>
      </c>
      <c r="F46">
        <v>3295</v>
      </c>
      <c r="G46">
        <v>0</v>
      </c>
      <c r="H46">
        <v>20.13</v>
      </c>
      <c r="I46">
        <v>1739</v>
      </c>
      <c r="J46">
        <v>3139</v>
      </c>
      <c r="K46">
        <v>3536</v>
      </c>
      <c r="L46">
        <v>47.22</v>
      </c>
      <c r="M46">
        <v>4.75</v>
      </c>
      <c r="N46">
        <v>-7.33</v>
      </c>
      <c r="O46">
        <v>3.4</v>
      </c>
      <c r="P46" t="b">
        <v>1</v>
      </c>
      <c r="Q46">
        <v>0</v>
      </c>
      <c r="R46">
        <v>121</v>
      </c>
      <c r="U46" t="s">
        <v>1808</v>
      </c>
      <c r="V46" t="s">
        <v>2672</v>
      </c>
      <c r="W46">
        <v>0</v>
      </c>
      <c r="X46">
        <v>13</v>
      </c>
      <c r="Y46" t="s">
        <v>3532</v>
      </c>
      <c r="Z46">
        <v>8.6009126506166886</v>
      </c>
      <c r="AA46">
        <v>606</v>
      </c>
      <c r="AB46">
        <v>327171</v>
      </c>
      <c r="AC46" t="s">
        <v>4327</v>
      </c>
      <c r="AD46">
        <v>54.18</v>
      </c>
      <c r="AE46" t="s">
        <v>5191</v>
      </c>
      <c r="AF46" t="s">
        <v>6054</v>
      </c>
      <c r="AG46">
        <v>1018</v>
      </c>
      <c r="AH46">
        <v>36</v>
      </c>
      <c r="AJ46">
        <v>3.29</v>
      </c>
    </row>
    <row r="47" spans="1:36">
      <c r="A47" s="1" t="s">
        <v>81</v>
      </c>
      <c r="B47" t="s">
        <v>945</v>
      </c>
      <c r="C47" t="str">
        <f>HYPERLINK("https://finance.naver.com/item/coinfo.nhn?code=088130", "A088130")</f>
        <v>A088130</v>
      </c>
      <c r="D47" t="str">
        <f>HYPERLINK("http://comp.fnguide.com/SVO2/ASP/SVD_Consensus.asp?pGB=1&amp;gicode=A088130&amp;cID=&amp;MenuYn=Y&amp;ReportGB=&amp;NewMenuID=108&amp;stkGb=701", "동아엘텍")</f>
        <v>동아엘텍</v>
      </c>
      <c r="E47">
        <v>3</v>
      </c>
      <c r="F47">
        <v>8050</v>
      </c>
      <c r="G47">
        <v>0</v>
      </c>
      <c r="H47">
        <v>7.47</v>
      </c>
      <c r="I47">
        <v>18764</v>
      </c>
      <c r="J47">
        <v>17535</v>
      </c>
      <c r="K47">
        <v>17185</v>
      </c>
      <c r="L47">
        <v>-133.09</v>
      </c>
      <c r="M47">
        <v>-117.82</v>
      </c>
      <c r="N47">
        <v>-113.48</v>
      </c>
      <c r="O47">
        <v>8.91</v>
      </c>
      <c r="P47" t="b">
        <v>1</v>
      </c>
      <c r="Q47">
        <v>0</v>
      </c>
      <c r="R47">
        <v>1086</v>
      </c>
      <c r="U47" t="s">
        <v>1809</v>
      </c>
      <c r="V47" t="s">
        <v>2673</v>
      </c>
      <c r="W47">
        <v>0</v>
      </c>
      <c r="X47">
        <v>-17.5</v>
      </c>
      <c r="Y47" t="s">
        <v>3533</v>
      </c>
      <c r="Z47">
        <v>-0.37226995173064159</v>
      </c>
      <c r="AA47">
        <v>858</v>
      </c>
      <c r="AB47">
        <v>159685</v>
      </c>
      <c r="AC47" t="s">
        <v>4328</v>
      </c>
      <c r="AD47">
        <v>31.01</v>
      </c>
      <c r="AE47" t="s">
        <v>5192</v>
      </c>
      <c r="AF47" t="s">
        <v>6055</v>
      </c>
      <c r="AG47">
        <v>2029</v>
      </c>
      <c r="AH47">
        <v>198</v>
      </c>
      <c r="AI47">
        <v>807091</v>
      </c>
      <c r="AJ47">
        <v>1.85</v>
      </c>
    </row>
    <row r="48" spans="1:36">
      <c r="A48" s="1" t="s">
        <v>82</v>
      </c>
      <c r="B48" t="s">
        <v>946</v>
      </c>
      <c r="C48" t="str">
        <f>HYPERLINK("https://finance.naver.com/item/coinfo.nhn?code=060380", "A060380")</f>
        <v>A060380</v>
      </c>
      <c r="D48" t="str">
        <f>HYPERLINK("http://comp.fnguide.com/SVO2/ASP/SVD_Consensus.asp?pGB=1&amp;gicode=A060380&amp;cID=&amp;MenuYn=Y&amp;ReportGB=&amp;NewMenuID=108&amp;stkGb=701", "동양에스텍")</f>
        <v>동양에스텍</v>
      </c>
      <c r="E48">
        <v>3</v>
      </c>
      <c r="F48">
        <v>3045</v>
      </c>
      <c r="G48">
        <v>0</v>
      </c>
      <c r="H48">
        <v>15.13</v>
      </c>
      <c r="I48">
        <v>1960</v>
      </c>
      <c r="J48">
        <v>3975</v>
      </c>
      <c r="K48">
        <v>4548</v>
      </c>
      <c r="L48">
        <v>35.619999999999997</v>
      </c>
      <c r="M48">
        <v>-30.55</v>
      </c>
      <c r="N48">
        <v>-49.36</v>
      </c>
      <c r="O48">
        <v>2.93</v>
      </c>
      <c r="P48" t="b">
        <v>1</v>
      </c>
      <c r="Q48">
        <v>0</v>
      </c>
      <c r="R48">
        <v>195</v>
      </c>
      <c r="U48" t="s">
        <v>1810</v>
      </c>
      <c r="V48" t="s">
        <v>2674</v>
      </c>
      <c r="W48">
        <v>0</v>
      </c>
      <c r="X48">
        <v>-22.2</v>
      </c>
      <c r="Y48" t="s">
        <v>3534</v>
      </c>
      <c r="Z48">
        <v>-24.896737753943061</v>
      </c>
      <c r="AA48">
        <v>305</v>
      </c>
      <c r="AB48">
        <v>28668</v>
      </c>
      <c r="AC48" t="s">
        <v>4329</v>
      </c>
      <c r="AD48">
        <v>54.01</v>
      </c>
      <c r="AE48" t="s">
        <v>5193</v>
      </c>
      <c r="AF48" t="s">
        <v>6056</v>
      </c>
      <c r="AG48">
        <v>2121</v>
      </c>
      <c r="AH48">
        <v>28</v>
      </c>
      <c r="AI48">
        <v>300000</v>
      </c>
      <c r="AJ48">
        <v>3.39</v>
      </c>
    </row>
    <row r="49" spans="1:36">
      <c r="A49" s="1" t="s">
        <v>83</v>
      </c>
      <c r="B49" t="s">
        <v>947</v>
      </c>
      <c r="C49" t="str">
        <f>HYPERLINK("https://finance.naver.com/item/coinfo.nhn?code=101330", "A101330")</f>
        <v>A101330</v>
      </c>
      <c r="D49" t="str">
        <f>HYPERLINK("http://comp.fnguide.com/SVO2/ASP/SVD_Consensus.asp?pGB=1&amp;gicode=A101330&amp;cID=&amp;MenuYn=Y&amp;ReportGB=&amp;NewMenuID=108&amp;stkGb=701", "모베이스")</f>
        <v>모베이스</v>
      </c>
      <c r="E49">
        <v>3</v>
      </c>
      <c r="F49">
        <v>3790</v>
      </c>
      <c r="G49">
        <v>0</v>
      </c>
      <c r="H49">
        <v>2.2000000000000002</v>
      </c>
      <c r="I49">
        <v>19825</v>
      </c>
      <c r="J49">
        <v>14715</v>
      </c>
      <c r="K49">
        <v>13262</v>
      </c>
      <c r="L49">
        <v>-423.09</v>
      </c>
      <c r="M49">
        <v>-288.25</v>
      </c>
      <c r="N49">
        <v>-249.93</v>
      </c>
      <c r="O49">
        <v>13.89</v>
      </c>
      <c r="P49" t="b">
        <v>1</v>
      </c>
      <c r="Q49">
        <v>0</v>
      </c>
      <c r="R49">
        <v>1924</v>
      </c>
      <c r="U49" t="s">
        <v>1811</v>
      </c>
      <c r="V49" t="s">
        <v>2675</v>
      </c>
      <c r="W49">
        <v>0</v>
      </c>
      <c r="X49">
        <v>0</v>
      </c>
      <c r="Y49" t="s">
        <v>3535</v>
      </c>
      <c r="Z49">
        <v>12.01321226649743</v>
      </c>
      <c r="AA49">
        <v>908</v>
      </c>
      <c r="AB49">
        <v>473684</v>
      </c>
      <c r="AC49" t="s">
        <v>4330</v>
      </c>
      <c r="AD49">
        <v>45.22</v>
      </c>
      <c r="AE49" t="s">
        <v>5194</v>
      </c>
      <c r="AF49" t="s">
        <v>6057</v>
      </c>
      <c r="AG49">
        <v>6525</v>
      </c>
      <c r="AH49">
        <v>320</v>
      </c>
      <c r="AI49">
        <v>227362</v>
      </c>
    </row>
    <row r="50" spans="1:36">
      <c r="A50" s="1" t="s">
        <v>84</v>
      </c>
      <c r="B50" t="s">
        <v>948</v>
      </c>
      <c r="C50" t="str">
        <f>HYPERLINK("https://finance.naver.com/item/coinfo.nhn?code=028040", "A028040")</f>
        <v>A028040</v>
      </c>
      <c r="D50" t="str">
        <f>HYPERLINK("http://comp.fnguide.com/SVO2/ASP/SVD_Consensus.asp?pGB=1&amp;gicode=A028040&amp;cID=&amp;MenuYn=Y&amp;ReportGB=&amp;NewMenuID=108&amp;stkGb=701", "미래SCI")</f>
        <v>미래SCI</v>
      </c>
      <c r="E50">
        <v>3</v>
      </c>
      <c r="F50">
        <v>279</v>
      </c>
      <c r="G50">
        <v>0</v>
      </c>
      <c r="I50">
        <v>0</v>
      </c>
      <c r="J50">
        <v>226</v>
      </c>
      <c r="K50">
        <v>290</v>
      </c>
      <c r="L50">
        <v>100</v>
      </c>
      <c r="M50">
        <v>18.97</v>
      </c>
      <c r="N50">
        <v>-4.0599999999999996</v>
      </c>
      <c r="O50">
        <v>0</v>
      </c>
      <c r="P50" t="b">
        <v>0</v>
      </c>
      <c r="Q50">
        <v>0</v>
      </c>
      <c r="R50">
        <v>-460</v>
      </c>
      <c r="U50" t="s">
        <v>1812</v>
      </c>
      <c r="V50" t="s">
        <v>2676</v>
      </c>
      <c r="W50">
        <v>0</v>
      </c>
      <c r="X50">
        <v>0</v>
      </c>
      <c r="Y50" t="s">
        <v>3499</v>
      </c>
      <c r="Z50">
        <v>0</v>
      </c>
      <c r="AA50">
        <v>125</v>
      </c>
      <c r="AB50">
        <v>0</v>
      </c>
      <c r="AC50" t="s">
        <v>4331</v>
      </c>
      <c r="AD50">
        <v>0</v>
      </c>
      <c r="AE50" t="s">
        <v>5195</v>
      </c>
      <c r="AF50" t="s">
        <v>6021</v>
      </c>
      <c r="AG50">
        <v>148</v>
      </c>
      <c r="AH50">
        <v>-60</v>
      </c>
      <c r="AI50">
        <v>2342</v>
      </c>
    </row>
    <row r="51" spans="1:36">
      <c r="A51" s="1" t="s">
        <v>85</v>
      </c>
      <c r="B51" t="s">
        <v>949</v>
      </c>
      <c r="C51" t="str">
        <f>HYPERLINK("https://finance.naver.com/item/coinfo.nhn?code=054050", "A054050")</f>
        <v>A054050</v>
      </c>
      <c r="D51" t="str">
        <f>HYPERLINK("http://comp.fnguide.com/SVO2/ASP/SVD_Consensus.asp?pGB=1&amp;gicode=A054050&amp;cID=&amp;MenuYn=Y&amp;ReportGB=&amp;NewMenuID=108&amp;stkGb=701", "농우바이오")</f>
        <v>농우바이오</v>
      </c>
      <c r="E51">
        <v>3</v>
      </c>
      <c r="F51">
        <v>10300</v>
      </c>
      <c r="G51">
        <v>0</v>
      </c>
      <c r="H51">
        <v>27.2</v>
      </c>
      <c r="I51">
        <v>13044</v>
      </c>
      <c r="J51">
        <v>13858</v>
      </c>
      <c r="K51">
        <v>14090</v>
      </c>
      <c r="L51">
        <v>-26.64</v>
      </c>
      <c r="M51">
        <v>-34.549999999999997</v>
      </c>
      <c r="N51">
        <v>-36.79</v>
      </c>
      <c r="O51">
        <v>7.19</v>
      </c>
      <c r="P51" t="b">
        <v>0</v>
      </c>
      <c r="Q51">
        <v>0</v>
      </c>
      <c r="R51">
        <v>436</v>
      </c>
      <c r="U51" t="s">
        <v>1813</v>
      </c>
      <c r="V51" t="s">
        <v>2677</v>
      </c>
      <c r="W51">
        <v>0</v>
      </c>
      <c r="X51">
        <v>30.7</v>
      </c>
      <c r="Y51" t="s">
        <v>3536</v>
      </c>
      <c r="Z51">
        <v>-4.4073838735749993</v>
      </c>
      <c r="AA51">
        <v>1651</v>
      </c>
      <c r="AB51">
        <v>40915</v>
      </c>
      <c r="AC51" t="s">
        <v>4332</v>
      </c>
      <c r="AD51">
        <v>57.91</v>
      </c>
      <c r="AE51" t="s">
        <v>5196</v>
      </c>
      <c r="AF51" t="s">
        <v>6058</v>
      </c>
      <c r="AG51">
        <v>1213</v>
      </c>
      <c r="AH51">
        <v>39</v>
      </c>
      <c r="AJ51">
        <v>1.69</v>
      </c>
    </row>
    <row r="52" spans="1:36">
      <c r="A52" s="1" t="s">
        <v>86</v>
      </c>
      <c r="B52" t="s">
        <v>950</v>
      </c>
      <c r="C52" t="str">
        <f>HYPERLINK("https://finance.naver.com/item/coinfo.nhn?code=095500", "A095500")</f>
        <v>A095500</v>
      </c>
      <c r="D52" t="str">
        <f>HYPERLINK("http://comp.fnguide.com/SVO2/ASP/SVD_Consensus.asp?pGB=1&amp;gicode=A095500&amp;cID=&amp;MenuYn=Y&amp;ReportGB=&amp;NewMenuID=108&amp;stkGb=701", "미래나노텍")</f>
        <v>미래나노텍</v>
      </c>
      <c r="E52">
        <v>3</v>
      </c>
      <c r="F52">
        <v>3000</v>
      </c>
      <c r="G52">
        <v>0</v>
      </c>
      <c r="H52">
        <v>109.57</v>
      </c>
      <c r="I52">
        <v>2633</v>
      </c>
      <c r="J52">
        <v>5454</v>
      </c>
      <c r="K52">
        <v>6256</v>
      </c>
      <c r="L52">
        <v>12.24</v>
      </c>
      <c r="M52">
        <v>-81.8</v>
      </c>
      <c r="N52">
        <v>-108.52</v>
      </c>
      <c r="O52">
        <v>2.86</v>
      </c>
      <c r="P52" t="b">
        <v>0</v>
      </c>
      <c r="Q52">
        <v>0</v>
      </c>
      <c r="R52">
        <v>36</v>
      </c>
      <c r="U52" t="s">
        <v>1814</v>
      </c>
      <c r="V52" t="s">
        <v>2678</v>
      </c>
      <c r="W52">
        <v>0</v>
      </c>
      <c r="X52">
        <v>0</v>
      </c>
      <c r="Y52" t="s">
        <v>3537</v>
      </c>
      <c r="Z52">
        <v>7.7287440863825774</v>
      </c>
      <c r="AA52">
        <v>744</v>
      </c>
      <c r="AB52">
        <v>200538</v>
      </c>
      <c r="AC52" t="s">
        <v>4333</v>
      </c>
      <c r="AD52">
        <v>21.69</v>
      </c>
      <c r="AE52" t="s">
        <v>5197</v>
      </c>
      <c r="AF52" t="s">
        <v>6059</v>
      </c>
      <c r="AG52">
        <v>2897</v>
      </c>
      <c r="AH52">
        <v>14</v>
      </c>
      <c r="AI52">
        <v>4625109</v>
      </c>
    </row>
    <row r="53" spans="1:36">
      <c r="A53" s="1" t="s">
        <v>87</v>
      </c>
      <c r="B53" t="s">
        <v>951</v>
      </c>
      <c r="C53" t="str">
        <f>HYPERLINK("https://finance.naver.com/item/coinfo.nhn?code=027040", "A027040")</f>
        <v>A027040</v>
      </c>
      <c r="D53" t="str">
        <f>HYPERLINK("http://comp.fnguide.com/SVO2/ASP/SVD_Consensus.asp?pGB=1&amp;gicode=A027040&amp;cID=&amp;MenuYn=Y&amp;ReportGB=&amp;NewMenuID=108&amp;stkGb=701", "서울전자통신")</f>
        <v>서울전자통신</v>
      </c>
      <c r="E53">
        <v>3</v>
      </c>
      <c r="F53">
        <v>859</v>
      </c>
      <c r="G53">
        <v>0</v>
      </c>
      <c r="H53">
        <v>17.350000000000001</v>
      </c>
      <c r="I53">
        <v>537</v>
      </c>
      <c r="J53">
        <v>1022</v>
      </c>
      <c r="K53">
        <v>1160</v>
      </c>
      <c r="L53">
        <v>37.450000000000003</v>
      </c>
      <c r="M53">
        <v>-19.03</v>
      </c>
      <c r="N53">
        <v>-35.08</v>
      </c>
      <c r="O53">
        <v>3.17</v>
      </c>
      <c r="P53" t="b">
        <v>1</v>
      </c>
      <c r="Q53">
        <v>0</v>
      </c>
      <c r="R53">
        <v>58</v>
      </c>
      <c r="U53" t="s">
        <v>1815</v>
      </c>
      <c r="V53" t="s">
        <v>2679</v>
      </c>
      <c r="W53">
        <v>0</v>
      </c>
      <c r="X53">
        <v>0</v>
      </c>
      <c r="Y53" t="s">
        <v>3499</v>
      </c>
      <c r="Z53">
        <v>0</v>
      </c>
      <c r="AA53">
        <v>598</v>
      </c>
      <c r="AB53">
        <v>417153</v>
      </c>
      <c r="AC53" t="s">
        <v>4334</v>
      </c>
      <c r="AD53">
        <v>41.86</v>
      </c>
      <c r="AE53" t="s">
        <v>5198</v>
      </c>
      <c r="AF53" t="s">
        <v>6060</v>
      </c>
      <c r="AG53">
        <v>656</v>
      </c>
      <c r="AH53">
        <v>-18</v>
      </c>
      <c r="AI53">
        <v>679</v>
      </c>
    </row>
    <row r="54" spans="1:36">
      <c r="A54" s="1" t="s">
        <v>88</v>
      </c>
      <c r="B54" t="s">
        <v>952</v>
      </c>
      <c r="C54" t="str">
        <f>HYPERLINK("https://finance.naver.com/item/coinfo.nhn?code=093920", "A093920")</f>
        <v>A093920</v>
      </c>
      <c r="D54" t="str">
        <f>HYPERLINK("http://comp.fnguide.com/SVO2/ASP/SVD_Consensus.asp?pGB=1&amp;gicode=A093920&amp;cID=&amp;MenuYn=Y&amp;ReportGB=&amp;NewMenuID=108&amp;stkGb=701", "서원인텍")</f>
        <v>서원인텍</v>
      </c>
      <c r="E54">
        <v>3</v>
      </c>
      <c r="F54">
        <v>7450</v>
      </c>
      <c r="G54">
        <v>0</v>
      </c>
      <c r="H54">
        <v>10.92</v>
      </c>
      <c r="I54">
        <v>5823</v>
      </c>
      <c r="J54">
        <v>7515</v>
      </c>
      <c r="K54">
        <v>7995</v>
      </c>
      <c r="L54">
        <v>21.83</v>
      </c>
      <c r="M54">
        <v>-0.87</v>
      </c>
      <c r="N54">
        <v>-7.32</v>
      </c>
      <c r="O54">
        <v>5.35</v>
      </c>
      <c r="P54" t="b">
        <v>1</v>
      </c>
      <c r="Q54">
        <v>0</v>
      </c>
      <c r="R54">
        <v>672</v>
      </c>
      <c r="U54" t="s">
        <v>1816</v>
      </c>
      <c r="V54" t="s">
        <v>2680</v>
      </c>
      <c r="W54">
        <v>0</v>
      </c>
      <c r="X54">
        <v>11.7</v>
      </c>
      <c r="Y54" t="s">
        <v>3538</v>
      </c>
      <c r="Z54">
        <v>-10.74083924619023</v>
      </c>
      <c r="AA54">
        <v>1386</v>
      </c>
      <c r="AB54">
        <v>184317</v>
      </c>
      <c r="AC54" t="s">
        <v>4335</v>
      </c>
      <c r="AD54">
        <v>52.41</v>
      </c>
      <c r="AE54" t="s">
        <v>5199</v>
      </c>
      <c r="AF54" t="s">
        <v>6061</v>
      </c>
      <c r="AG54">
        <v>3029</v>
      </c>
      <c r="AH54">
        <v>169</v>
      </c>
      <c r="AJ54">
        <v>4.09</v>
      </c>
    </row>
    <row r="55" spans="1:36">
      <c r="A55" s="1" t="s">
        <v>89</v>
      </c>
      <c r="B55" t="s">
        <v>953</v>
      </c>
      <c r="C55" t="str">
        <f>HYPERLINK("https://finance.naver.com/item/coinfo.nhn?code=189860", "A189860")</f>
        <v>A189860</v>
      </c>
      <c r="D55" t="str">
        <f>HYPERLINK("http://comp.fnguide.com/SVO2/ASP/SVD_Consensus.asp?pGB=1&amp;gicode=A189860&amp;cID=&amp;MenuYn=Y&amp;ReportGB=&amp;NewMenuID=108&amp;stkGb=701", "서전기전")</f>
        <v>서전기전</v>
      </c>
      <c r="E55">
        <v>3</v>
      </c>
      <c r="F55">
        <v>3165</v>
      </c>
      <c r="G55">
        <v>0</v>
      </c>
      <c r="H55">
        <v>27.44</v>
      </c>
      <c r="I55">
        <v>3143</v>
      </c>
      <c r="J55">
        <v>3597</v>
      </c>
      <c r="K55">
        <v>3726</v>
      </c>
      <c r="L55">
        <v>0.69</v>
      </c>
      <c r="M55">
        <v>-13.65</v>
      </c>
      <c r="N55">
        <v>-17.72</v>
      </c>
      <c r="O55">
        <v>6.4</v>
      </c>
      <c r="P55" t="b">
        <v>1</v>
      </c>
      <c r="Q55">
        <v>0</v>
      </c>
      <c r="R55">
        <v>138</v>
      </c>
      <c r="U55" t="s">
        <v>1817</v>
      </c>
      <c r="V55" t="s">
        <v>2681</v>
      </c>
      <c r="W55">
        <v>0</v>
      </c>
      <c r="X55">
        <v>0</v>
      </c>
      <c r="Y55" t="s">
        <v>3539</v>
      </c>
      <c r="Z55">
        <v>143.19142521643209</v>
      </c>
      <c r="AA55">
        <v>307</v>
      </c>
      <c r="AB55">
        <v>72971</v>
      </c>
      <c r="AC55" t="s">
        <v>4336</v>
      </c>
      <c r="AD55">
        <v>45.28</v>
      </c>
      <c r="AE55" t="s">
        <v>5200</v>
      </c>
      <c r="AF55" t="s">
        <v>6062</v>
      </c>
      <c r="AG55">
        <v>611</v>
      </c>
      <c r="AH55">
        <v>11</v>
      </c>
      <c r="AJ55">
        <v>0.79</v>
      </c>
    </row>
    <row r="56" spans="1:36">
      <c r="A56" s="1" t="s">
        <v>90</v>
      </c>
      <c r="B56" t="s">
        <v>954</v>
      </c>
      <c r="C56" t="str">
        <f>HYPERLINK("https://finance.naver.com/item/coinfo.nhn?code=122690", "A122690")</f>
        <v>A122690</v>
      </c>
      <c r="D56" t="str">
        <f>HYPERLINK("http://comp.fnguide.com/SVO2/ASP/SVD_Consensus.asp?pGB=1&amp;gicode=A122690&amp;cID=&amp;MenuYn=Y&amp;ReportGB=&amp;NewMenuID=108&amp;stkGb=701", "서진오토모티브")</f>
        <v>서진오토모티브</v>
      </c>
      <c r="E56">
        <v>3</v>
      </c>
      <c r="F56">
        <v>2770</v>
      </c>
      <c r="G56">
        <v>0</v>
      </c>
      <c r="I56">
        <v>0</v>
      </c>
      <c r="J56">
        <v>2714</v>
      </c>
      <c r="K56">
        <v>3486</v>
      </c>
      <c r="L56">
        <v>100</v>
      </c>
      <c r="M56">
        <v>2.0099999999999998</v>
      </c>
      <c r="N56">
        <v>-25.84</v>
      </c>
      <c r="O56">
        <v>0</v>
      </c>
      <c r="P56" t="b">
        <v>0</v>
      </c>
      <c r="Q56">
        <v>0</v>
      </c>
      <c r="R56">
        <v>-768</v>
      </c>
      <c r="U56" t="s">
        <v>1818</v>
      </c>
      <c r="V56" t="s">
        <v>2682</v>
      </c>
      <c r="W56">
        <v>0</v>
      </c>
      <c r="X56">
        <v>0</v>
      </c>
      <c r="Y56" t="s">
        <v>3540</v>
      </c>
      <c r="Z56">
        <v>-45.4</v>
      </c>
      <c r="AA56">
        <v>541</v>
      </c>
      <c r="AB56">
        <v>108109</v>
      </c>
      <c r="AC56" t="s">
        <v>4337</v>
      </c>
      <c r="AD56">
        <v>63.97</v>
      </c>
      <c r="AE56" t="s">
        <v>5201</v>
      </c>
      <c r="AF56" t="s">
        <v>6021</v>
      </c>
      <c r="AG56">
        <v>14298</v>
      </c>
      <c r="AH56">
        <v>53</v>
      </c>
      <c r="AI56">
        <v>123946</v>
      </c>
    </row>
    <row r="57" spans="1:36">
      <c r="A57" s="1" t="s">
        <v>91</v>
      </c>
      <c r="B57" t="s">
        <v>955</v>
      </c>
      <c r="C57" t="str">
        <f>HYPERLINK("https://finance.naver.com/item/coinfo.nhn?code=140070", "A140070")</f>
        <v>A140070</v>
      </c>
      <c r="D57" t="str">
        <f>HYPERLINK("http://comp.fnguide.com/SVO2/ASP/SVD_Consensus.asp?pGB=1&amp;gicode=A140070&amp;cID=&amp;MenuYn=Y&amp;ReportGB=&amp;NewMenuID=108&amp;stkGb=701", "서플러스글로벌")</f>
        <v>서플러스글로벌</v>
      </c>
      <c r="E57">
        <v>3</v>
      </c>
      <c r="F57">
        <v>2920</v>
      </c>
      <c r="G57">
        <v>0</v>
      </c>
      <c r="H57">
        <v>55.93</v>
      </c>
      <c r="I57">
        <v>4678</v>
      </c>
      <c r="J57">
        <v>3993</v>
      </c>
      <c r="K57">
        <v>3799</v>
      </c>
      <c r="L57">
        <v>-60.2</v>
      </c>
      <c r="M57">
        <v>-36.75</v>
      </c>
      <c r="N57">
        <v>-30.09</v>
      </c>
      <c r="O57">
        <v>10.49</v>
      </c>
      <c r="P57" t="b">
        <v>1</v>
      </c>
      <c r="Q57">
        <v>0</v>
      </c>
      <c r="R57">
        <v>43</v>
      </c>
      <c r="U57" t="s">
        <v>1819</v>
      </c>
      <c r="V57" t="s">
        <v>2683</v>
      </c>
      <c r="W57">
        <v>0</v>
      </c>
      <c r="X57">
        <v>5632.2</v>
      </c>
      <c r="Y57" t="s">
        <v>3541</v>
      </c>
      <c r="Z57">
        <v>48.179980082888967</v>
      </c>
      <c r="AA57">
        <v>1080</v>
      </c>
      <c r="AB57">
        <v>155378</v>
      </c>
      <c r="AC57" t="s">
        <v>4338</v>
      </c>
      <c r="AD57">
        <v>57.52</v>
      </c>
      <c r="AE57" t="s">
        <v>5202</v>
      </c>
      <c r="AF57" t="s">
        <v>6063</v>
      </c>
      <c r="AG57">
        <v>1103</v>
      </c>
      <c r="AH57">
        <v>27</v>
      </c>
      <c r="AI57">
        <v>2130000</v>
      </c>
    </row>
    <row r="58" spans="1:36">
      <c r="A58" s="1" t="s">
        <v>92</v>
      </c>
      <c r="B58" t="s">
        <v>956</v>
      </c>
      <c r="C58" t="str">
        <f>HYPERLINK("https://finance.naver.com/item/coinfo.nhn?code=011370", "A011370")</f>
        <v>A011370</v>
      </c>
      <c r="D58" t="str">
        <f>HYPERLINK("http://comp.fnguide.com/SVO2/ASP/SVD_Consensus.asp?pGB=1&amp;gicode=A011370&amp;cID=&amp;MenuYn=Y&amp;ReportGB=&amp;NewMenuID=108&amp;stkGb=701", "서한")</f>
        <v>서한</v>
      </c>
      <c r="E58">
        <v>3</v>
      </c>
      <c r="F58">
        <v>1485</v>
      </c>
      <c r="G58">
        <v>0</v>
      </c>
      <c r="H58">
        <v>12.19</v>
      </c>
      <c r="I58">
        <v>4382</v>
      </c>
      <c r="J58">
        <v>3547</v>
      </c>
      <c r="K58">
        <v>3310</v>
      </c>
      <c r="L58">
        <v>-195.08</v>
      </c>
      <c r="M58">
        <v>-138.85</v>
      </c>
      <c r="N58">
        <v>-122.88</v>
      </c>
      <c r="O58">
        <v>11.62</v>
      </c>
      <c r="P58" t="b">
        <v>1</v>
      </c>
      <c r="Q58">
        <v>0</v>
      </c>
      <c r="R58">
        <v>98</v>
      </c>
      <c r="U58" t="s">
        <v>1820</v>
      </c>
      <c r="V58" t="s">
        <v>2684</v>
      </c>
      <c r="W58">
        <v>0</v>
      </c>
      <c r="X58">
        <v>131.1</v>
      </c>
      <c r="Y58" t="s">
        <v>3542</v>
      </c>
      <c r="Z58">
        <v>-6.7188594512466953</v>
      </c>
      <c r="AA58">
        <v>1498</v>
      </c>
      <c r="AB58">
        <v>1705473</v>
      </c>
      <c r="AC58" t="s">
        <v>4339</v>
      </c>
      <c r="AD58">
        <v>11.26</v>
      </c>
      <c r="AE58" t="s">
        <v>5203</v>
      </c>
      <c r="AF58" t="s">
        <v>6064</v>
      </c>
      <c r="AG58">
        <v>5481</v>
      </c>
      <c r="AH58">
        <v>240</v>
      </c>
      <c r="AJ58">
        <v>2.52</v>
      </c>
    </row>
    <row r="59" spans="1:36">
      <c r="A59" s="1" t="s">
        <v>93</v>
      </c>
      <c r="B59" t="s">
        <v>957</v>
      </c>
      <c r="C59" t="str">
        <f>HYPERLINK("https://finance.naver.com/item/coinfo.nhn?code=035890", "A035890")</f>
        <v>A035890</v>
      </c>
      <c r="D59" t="str">
        <f>HYPERLINK("http://comp.fnguide.com/SVO2/ASP/SVD_Consensus.asp?pGB=1&amp;gicode=A035890&amp;cID=&amp;MenuYn=Y&amp;ReportGB=&amp;NewMenuID=108&amp;stkGb=701", "서희건설")</f>
        <v>서희건설</v>
      </c>
      <c r="E59">
        <v>3</v>
      </c>
      <c r="F59">
        <v>1410</v>
      </c>
      <c r="G59">
        <v>0.09</v>
      </c>
      <c r="H59">
        <v>3.81</v>
      </c>
      <c r="I59">
        <v>3448</v>
      </c>
      <c r="J59">
        <v>2407</v>
      </c>
      <c r="K59">
        <v>2111</v>
      </c>
      <c r="L59">
        <v>-144.56</v>
      </c>
      <c r="M59">
        <v>-70.69</v>
      </c>
      <c r="N59">
        <v>-49.7</v>
      </c>
      <c r="O59">
        <v>15.94</v>
      </c>
      <c r="P59" t="b">
        <v>1</v>
      </c>
      <c r="Q59">
        <v>3</v>
      </c>
      <c r="R59">
        <v>294</v>
      </c>
      <c r="S59">
        <v>522</v>
      </c>
      <c r="T59">
        <v>77.599999999999994</v>
      </c>
      <c r="U59" t="s">
        <v>1821</v>
      </c>
      <c r="V59" t="s">
        <v>2685</v>
      </c>
      <c r="W59">
        <v>42.593458912989469</v>
      </c>
      <c r="X59">
        <v>188</v>
      </c>
      <c r="Y59" t="s">
        <v>3543</v>
      </c>
      <c r="Z59">
        <v>62.877112332979337</v>
      </c>
      <c r="AA59">
        <v>3240</v>
      </c>
      <c r="AB59">
        <v>2179105</v>
      </c>
      <c r="AC59" t="s">
        <v>4340</v>
      </c>
      <c r="AD59">
        <v>50.37</v>
      </c>
      <c r="AE59" t="s">
        <v>5204</v>
      </c>
      <c r="AF59" t="s">
        <v>6065</v>
      </c>
      <c r="AG59">
        <v>12430</v>
      </c>
      <c r="AH59">
        <v>1182</v>
      </c>
      <c r="AI59">
        <v>9575559</v>
      </c>
      <c r="AJ59">
        <v>2.68</v>
      </c>
    </row>
    <row r="60" spans="1:36">
      <c r="A60" s="1" t="s">
        <v>94</v>
      </c>
      <c r="B60" t="s">
        <v>958</v>
      </c>
      <c r="C60" t="str">
        <f>HYPERLINK("https://finance.naver.com/item/coinfo.nhn?code=003100", "A003100")</f>
        <v>A003100</v>
      </c>
      <c r="D60" t="str">
        <f>HYPERLINK("http://comp.fnguide.com/SVO2/ASP/SVD_Consensus.asp?pGB=1&amp;gicode=A003100&amp;cID=&amp;MenuYn=Y&amp;ReportGB=&amp;NewMenuID=108&amp;stkGb=701", "선광")</f>
        <v>선광</v>
      </c>
      <c r="E60">
        <v>3</v>
      </c>
      <c r="F60">
        <v>26500</v>
      </c>
      <c r="G60">
        <v>0</v>
      </c>
      <c r="H60">
        <v>21.9</v>
      </c>
      <c r="I60">
        <v>15267</v>
      </c>
      <c r="J60">
        <v>37884</v>
      </c>
      <c r="K60">
        <v>44311</v>
      </c>
      <c r="L60">
        <v>42.39</v>
      </c>
      <c r="M60">
        <v>-42.96</v>
      </c>
      <c r="N60">
        <v>-67.209999999999994</v>
      </c>
      <c r="O60">
        <v>2.29</v>
      </c>
      <c r="P60" t="b">
        <v>0</v>
      </c>
      <c r="Q60">
        <v>0</v>
      </c>
      <c r="R60">
        <v>758</v>
      </c>
      <c r="U60" t="s">
        <v>1822</v>
      </c>
      <c r="V60" t="s">
        <v>2686</v>
      </c>
      <c r="W60">
        <v>0</v>
      </c>
      <c r="X60">
        <v>88.6</v>
      </c>
      <c r="Y60" t="s">
        <v>3544</v>
      </c>
      <c r="Z60">
        <v>11.691466453195501</v>
      </c>
      <c r="AA60">
        <v>1749</v>
      </c>
      <c r="AB60">
        <v>17450</v>
      </c>
      <c r="AC60" t="s">
        <v>4341</v>
      </c>
      <c r="AD60">
        <v>52.5</v>
      </c>
      <c r="AE60" t="s">
        <v>5205</v>
      </c>
      <c r="AF60" t="s">
        <v>6066</v>
      </c>
      <c r="AG60">
        <v>1450</v>
      </c>
      <c r="AH60">
        <v>243</v>
      </c>
      <c r="AI60">
        <v>825910</v>
      </c>
      <c r="AJ60">
        <v>2.11</v>
      </c>
    </row>
    <row r="61" spans="1:36">
      <c r="A61" s="1" t="s">
        <v>95</v>
      </c>
      <c r="B61" t="s">
        <v>959</v>
      </c>
      <c r="C61" t="str">
        <f>HYPERLINK("https://finance.naver.com/item/coinfo.nhn?code=171090", "A171090")</f>
        <v>A171090</v>
      </c>
      <c r="D61" t="str">
        <f>HYPERLINK("http://comp.fnguide.com/SVO2/ASP/SVD_Consensus.asp?pGB=1&amp;gicode=A171090&amp;cID=&amp;MenuYn=Y&amp;ReportGB=&amp;NewMenuID=108&amp;stkGb=701", "선익시스템")</f>
        <v>선익시스템</v>
      </c>
      <c r="E61">
        <v>3</v>
      </c>
      <c r="F61">
        <v>7140</v>
      </c>
      <c r="G61">
        <v>0</v>
      </c>
      <c r="H61">
        <v>9.91</v>
      </c>
      <c r="I61">
        <v>11700</v>
      </c>
      <c r="J61">
        <v>11260</v>
      </c>
      <c r="K61">
        <v>11135</v>
      </c>
      <c r="L61">
        <v>-63.87</v>
      </c>
      <c r="M61">
        <v>-57.7</v>
      </c>
      <c r="N61">
        <v>-55.95</v>
      </c>
      <c r="O61">
        <v>8.4700000000000006</v>
      </c>
      <c r="P61" t="b">
        <v>1</v>
      </c>
      <c r="Q61">
        <v>0</v>
      </c>
      <c r="R61">
        <v>794</v>
      </c>
      <c r="U61" t="s">
        <v>1823</v>
      </c>
      <c r="V61" t="s">
        <v>2687</v>
      </c>
      <c r="W61">
        <v>0</v>
      </c>
      <c r="X61">
        <v>92.9</v>
      </c>
      <c r="Y61" t="s">
        <v>3545</v>
      </c>
      <c r="Z61">
        <v>-16.524672579491849</v>
      </c>
      <c r="AA61">
        <v>643</v>
      </c>
      <c r="AB61">
        <v>79250</v>
      </c>
      <c r="AC61" t="s">
        <v>4342</v>
      </c>
      <c r="AD61">
        <v>50.07</v>
      </c>
      <c r="AE61" t="s">
        <v>5206</v>
      </c>
      <c r="AF61" t="s">
        <v>6067</v>
      </c>
      <c r="AG61">
        <v>876</v>
      </c>
      <c r="AH61">
        <v>114</v>
      </c>
      <c r="AI61">
        <v>739004</v>
      </c>
      <c r="AJ61">
        <v>1.27</v>
      </c>
    </row>
    <row r="62" spans="1:36">
      <c r="A62" s="1" t="s">
        <v>96</v>
      </c>
      <c r="B62" t="s">
        <v>960</v>
      </c>
      <c r="C62" t="str">
        <f>HYPERLINK("https://finance.naver.com/item/coinfo.nhn?code=014620", "A014620")</f>
        <v>A014620</v>
      </c>
      <c r="D62" t="str">
        <f>HYPERLINK("http://comp.fnguide.com/SVO2/ASP/SVD_Consensus.asp?pGB=1&amp;gicode=A014620&amp;cID=&amp;MenuYn=Y&amp;ReportGB=&amp;NewMenuID=108&amp;stkGb=701", "성광벤드")</f>
        <v>성광벤드</v>
      </c>
      <c r="E62">
        <v>3</v>
      </c>
      <c r="F62">
        <v>7340</v>
      </c>
      <c r="G62">
        <v>0</v>
      </c>
      <c r="H62">
        <v>48</v>
      </c>
      <c r="I62">
        <v>1397</v>
      </c>
      <c r="J62">
        <v>10020</v>
      </c>
      <c r="K62">
        <v>12471</v>
      </c>
      <c r="L62">
        <v>80.97</v>
      </c>
      <c r="M62">
        <v>-36.520000000000003</v>
      </c>
      <c r="N62">
        <v>-69.900000000000006</v>
      </c>
      <c r="O62">
        <v>0.7</v>
      </c>
      <c r="P62" t="b">
        <v>1</v>
      </c>
      <c r="Q62">
        <v>0</v>
      </c>
      <c r="R62">
        <v>216</v>
      </c>
      <c r="S62">
        <v>59</v>
      </c>
      <c r="T62">
        <v>-72.7</v>
      </c>
      <c r="U62" t="s">
        <v>1824</v>
      </c>
      <c r="V62" t="s">
        <v>2688</v>
      </c>
      <c r="W62">
        <v>0</v>
      </c>
      <c r="X62">
        <v>-68.8</v>
      </c>
      <c r="Y62" t="s">
        <v>3546</v>
      </c>
      <c r="Z62">
        <v>-72.980007401925519</v>
      </c>
      <c r="AA62">
        <v>2099</v>
      </c>
      <c r="AB62">
        <v>1051613</v>
      </c>
      <c r="AC62" t="s">
        <v>4343</v>
      </c>
      <c r="AD62">
        <v>41.08</v>
      </c>
      <c r="AE62" t="s">
        <v>5207</v>
      </c>
      <c r="AF62" t="s">
        <v>6068</v>
      </c>
      <c r="AG62">
        <v>2024</v>
      </c>
      <c r="AH62">
        <v>70</v>
      </c>
      <c r="AI62">
        <v>671453</v>
      </c>
      <c r="AJ62">
        <v>0.97</v>
      </c>
    </row>
    <row r="63" spans="1:36">
      <c r="A63" s="1" t="s">
        <v>97</v>
      </c>
      <c r="B63" t="s">
        <v>961</v>
      </c>
      <c r="C63" t="str">
        <f>HYPERLINK("https://finance.naver.com/item/coinfo.nhn?code=037350", "A037350")</f>
        <v>A037350</v>
      </c>
      <c r="D63" t="str">
        <f>HYPERLINK("http://comp.fnguide.com/SVO2/ASP/SVD_Consensus.asp?pGB=1&amp;gicode=A037350&amp;cID=&amp;MenuYn=Y&amp;ReportGB=&amp;NewMenuID=108&amp;stkGb=701", "성도이엔지")</f>
        <v>성도이엔지</v>
      </c>
      <c r="E63">
        <v>3</v>
      </c>
      <c r="F63">
        <v>4465</v>
      </c>
      <c r="G63">
        <v>0</v>
      </c>
      <c r="I63">
        <v>6051</v>
      </c>
      <c r="J63">
        <v>8101</v>
      </c>
      <c r="K63">
        <v>8683</v>
      </c>
      <c r="L63">
        <v>-35.520000000000003</v>
      </c>
      <c r="M63">
        <v>-81.430000000000007</v>
      </c>
      <c r="N63">
        <v>-94.48</v>
      </c>
      <c r="O63">
        <v>5.08</v>
      </c>
      <c r="P63" t="b">
        <v>0</v>
      </c>
      <c r="Q63">
        <v>0</v>
      </c>
      <c r="R63">
        <v>-4159</v>
      </c>
      <c r="U63" t="s">
        <v>1825</v>
      </c>
      <c r="V63" t="s">
        <v>2689</v>
      </c>
      <c r="W63">
        <v>0</v>
      </c>
      <c r="X63">
        <v>77.8</v>
      </c>
      <c r="Y63" t="s">
        <v>3547</v>
      </c>
      <c r="Z63">
        <v>39.742101306161778</v>
      </c>
      <c r="AA63">
        <v>691</v>
      </c>
      <c r="AB63">
        <v>151472</v>
      </c>
      <c r="AC63" t="s">
        <v>4344</v>
      </c>
      <c r="AD63">
        <v>36.47</v>
      </c>
      <c r="AE63" t="s">
        <v>5208</v>
      </c>
      <c r="AF63" t="s">
        <v>6069</v>
      </c>
      <c r="AG63">
        <v>6957</v>
      </c>
      <c r="AH63">
        <v>190</v>
      </c>
      <c r="AI63">
        <v>773161</v>
      </c>
      <c r="AJ63">
        <v>1.45</v>
      </c>
    </row>
    <row r="64" spans="1:36">
      <c r="A64" s="1" t="s">
        <v>98</v>
      </c>
      <c r="B64" t="s">
        <v>962</v>
      </c>
      <c r="C64" t="str">
        <f>HYPERLINK("https://finance.naver.com/item/coinfo.nhn?code=081580", "A081580")</f>
        <v>A081580</v>
      </c>
      <c r="D64" t="str">
        <f>HYPERLINK("http://comp.fnguide.com/SVO2/ASP/SVD_Consensus.asp?pGB=1&amp;gicode=A081580&amp;cID=&amp;MenuYn=Y&amp;ReportGB=&amp;NewMenuID=108&amp;stkGb=701", "성우전자")</f>
        <v>성우전자</v>
      </c>
      <c r="E64">
        <v>3</v>
      </c>
      <c r="F64">
        <v>2740</v>
      </c>
      <c r="G64">
        <v>0</v>
      </c>
      <c r="I64">
        <v>3254</v>
      </c>
      <c r="J64">
        <v>5344</v>
      </c>
      <c r="K64">
        <v>5938</v>
      </c>
      <c r="L64">
        <v>-18.760000000000002</v>
      </c>
      <c r="M64">
        <v>-95.05</v>
      </c>
      <c r="N64">
        <v>-116.73</v>
      </c>
      <c r="O64">
        <v>3.84</v>
      </c>
      <c r="P64" t="b">
        <v>0</v>
      </c>
      <c r="Q64">
        <v>0</v>
      </c>
      <c r="R64">
        <v>-383</v>
      </c>
      <c r="U64" t="s">
        <v>1826</v>
      </c>
      <c r="V64" t="s">
        <v>2690</v>
      </c>
      <c r="W64">
        <v>0</v>
      </c>
      <c r="X64">
        <v>0</v>
      </c>
      <c r="Y64" t="s">
        <v>3548</v>
      </c>
      <c r="Z64">
        <v>-9.5921589344997393</v>
      </c>
      <c r="AA64">
        <v>425</v>
      </c>
      <c r="AB64">
        <v>384982</v>
      </c>
      <c r="AC64" t="s">
        <v>4345</v>
      </c>
      <c r="AD64">
        <v>41.47</v>
      </c>
      <c r="AE64" t="s">
        <v>5209</v>
      </c>
      <c r="AF64" t="s">
        <v>6070</v>
      </c>
      <c r="AG64">
        <v>1187</v>
      </c>
      <c r="AH64">
        <v>-51</v>
      </c>
      <c r="AI64">
        <v>303444</v>
      </c>
    </row>
    <row r="65" spans="1:36">
      <c r="A65" s="1" t="s">
        <v>99</v>
      </c>
      <c r="B65" t="s">
        <v>963</v>
      </c>
      <c r="C65" t="str">
        <f>HYPERLINK("https://finance.naver.com/item/coinfo.nhn?code=045300", "A045300")</f>
        <v>A045300</v>
      </c>
      <c r="D65" t="str">
        <f>HYPERLINK("http://comp.fnguide.com/SVO2/ASP/SVD_Consensus.asp?pGB=1&amp;gicode=A045300&amp;cID=&amp;MenuYn=Y&amp;ReportGB=&amp;NewMenuID=108&amp;stkGb=701", "성우테크론")</f>
        <v>성우테크론</v>
      </c>
      <c r="E65">
        <v>3</v>
      </c>
      <c r="F65">
        <v>4710</v>
      </c>
      <c r="G65">
        <v>0</v>
      </c>
      <c r="H65">
        <v>8.7899999999999991</v>
      </c>
      <c r="I65">
        <v>7841</v>
      </c>
      <c r="J65">
        <v>6466</v>
      </c>
      <c r="K65">
        <v>6076</v>
      </c>
      <c r="L65">
        <v>-66.48</v>
      </c>
      <c r="M65">
        <v>-37.29</v>
      </c>
      <c r="N65">
        <v>-28.99</v>
      </c>
      <c r="O65">
        <v>11.21</v>
      </c>
      <c r="P65" t="b">
        <v>1</v>
      </c>
      <c r="Q65">
        <v>0</v>
      </c>
      <c r="R65">
        <v>481</v>
      </c>
      <c r="U65" t="s">
        <v>1827</v>
      </c>
      <c r="V65" t="s">
        <v>2691</v>
      </c>
      <c r="W65">
        <v>0</v>
      </c>
      <c r="X65">
        <v>-41.8</v>
      </c>
      <c r="Y65" t="s">
        <v>3549</v>
      </c>
      <c r="Z65">
        <v>173.40267168652289</v>
      </c>
      <c r="AA65">
        <v>443</v>
      </c>
      <c r="AB65">
        <v>52845</v>
      </c>
      <c r="AC65" t="s">
        <v>4346</v>
      </c>
      <c r="AD65">
        <v>41.96</v>
      </c>
      <c r="AE65" t="s">
        <v>5210</v>
      </c>
      <c r="AF65" t="s">
        <v>6071</v>
      </c>
      <c r="AG65">
        <v>330</v>
      </c>
      <c r="AH65">
        <v>22</v>
      </c>
      <c r="AI65">
        <v>352684</v>
      </c>
      <c r="AJ65">
        <v>0.93</v>
      </c>
    </row>
    <row r="66" spans="1:36">
      <c r="A66" s="1" t="s">
        <v>100</v>
      </c>
      <c r="B66" t="s">
        <v>964</v>
      </c>
      <c r="C66" t="str">
        <f>HYPERLINK("https://finance.naver.com/item/coinfo.nhn?code=015750", "A015750")</f>
        <v>A015750</v>
      </c>
      <c r="D66" t="str">
        <f>HYPERLINK("http://comp.fnguide.com/SVO2/ASP/SVD_Consensus.asp?pGB=1&amp;gicode=A015750&amp;cID=&amp;MenuYn=Y&amp;ReportGB=&amp;NewMenuID=108&amp;stkGb=701", "성우하이텍")</f>
        <v>성우하이텍</v>
      </c>
      <c r="E66">
        <v>3</v>
      </c>
      <c r="F66">
        <v>5220</v>
      </c>
      <c r="G66">
        <v>0</v>
      </c>
      <c r="H66">
        <v>7.63</v>
      </c>
      <c r="I66">
        <v>5477</v>
      </c>
      <c r="J66">
        <v>10338</v>
      </c>
      <c r="K66">
        <v>11719</v>
      </c>
      <c r="L66">
        <v>-4.93</v>
      </c>
      <c r="M66">
        <v>-98.04</v>
      </c>
      <c r="N66">
        <v>-124.5</v>
      </c>
      <c r="O66">
        <v>3.21</v>
      </c>
      <c r="P66" t="b">
        <v>1</v>
      </c>
      <c r="Q66">
        <v>0</v>
      </c>
      <c r="R66">
        <v>491</v>
      </c>
      <c r="U66" t="s">
        <v>1828</v>
      </c>
      <c r="V66" t="s">
        <v>2692</v>
      </c>
      <c r="W66">
        <v>0</v>
      </c>
      <c r="X66">
        <v>0</v>
      </c>
      <c r="Y66" t="s">
        <v>3550</v>
      </c>
      <c r="Z66">
        <v>0.55903651706004087</v>
      </c>
      <c r="AA66">
        <v>4176</v>
      </c>
      <c r="AB66">
        <v>30051856</v>
      </c>
      <c r="AC66" t="s">
        <v>4347</v>
      </c>
      <c r="AD66">
        <v>44.87</v>
      </c>
      <c r="AE66" t="s">
        <v>5211</v>
      </c>
      <c r="AF66" t="s">
        <v>6072</v>
      </c>
      <c r="AG66">
        <v>33895</v>
      </c>
      <c r="AH66">
        <v>734</v>
      </c>
      <c r="AI66">
        <v>8407</v>
      </c>
      <c r="AJ66">
        <v>2.13</v>
      </c>
    </row>
    <row r="67" spans="1:36">
      <c r="A67" s="1" t="s">
        <v>101</v>
      </c>
      <c r="B67" t="s">
        <v>965</v>
      </c>
      <c r="C67" t="str">
        <f>HYPERLINK("https://finance.naver.com/item/coinfo.nhn?code=053060", "A053060")</f>
        <v>A053060</v>
      </c>
      <c r="D67" t="str">
        <f>HYPERLINK("http://comp.fnguide.com/SVO2/ASP/SVD_Consensus.asp?pGB=1&amp;gicode=A053060&amp;cID=&amp;MenuYn=Y&amp;ReportGB=&amp;NewMenuID=108&amp;stkGb=701", "세동")</f>
        <v>세동</v>
      </c>
      <c r="E67">
        <v>3</v>
      </c>
      <c r="F67">
        <v>744</v>
      </c>
      <c r="G67">
        <v>0</v>
      </c>
      <c r="I67">
        <v>0</v>
      </c>
      <c r="J67">
        <v>981</v>
      </c>
      <c r="K67">
        <v>1259</v>
      </c>
      <c r="L67">
        <v>100</v>
      </c>
      <c r="M67">
        <v>-31.82</v>
      </c>
      <c r="N67">
        <v>-69.28</v>
      </c>
      <c r="O67">
        <v>0</v>
      </c>
      <c r="P67" t="b">
        <v>0</v>
      </c>
      <c r="Q67">
        <v>0</v>
      </c>
      <c r="R67">
        <v>-210</v>
      </c>
      <c r="U67" t="s">
        <v>1829</v>
      </c>
      <c r="V67" t="s">
        <v>2693</v>
      </c>
      <c r="W67">
        <v>0</v>
      </c>
      <c r="X67">
        <v>0</v>
      </c>
      <c r="Y67" t="s">
        <v>3499</v>
      </c>
      <c r="Z67">
        <v>0</v>
      </c>
      <c r="AA67">
        <v>173</v>
      </c>
      <c r="AB67">
        <v>0</v>
      </c>
      <c r="AC67" t="s">
        <v>4348</v>
      </c>
      <c r="AD67">
        <v>34.340000000000003</v>
      </c>
      <c r="AE67" t="s">
        <v>5212</v>
      </c>
      <c r="AF67" t="s">
        <v>6021</v>
      </c>
      <c r="AG67">
        <v>1473</v>
      </c>
      <c r="AH67">
        <v>-12</v>
      </c>
      <c r="AI67">
        <v>205</v>
      </c>
    </row>
    <row r="68" spans="1:36">
      <c r="A68" s="1" t="s">
        <v>102</v>
      </c>
      <c r="B68" t="s">
        <v>966</v>
      </c>
      <c r="C68" t="str">
        <f>HYPERLINK("https://finance.naver.com/item/coinfo.nhn?code=017510", "A017510")</f>
        <v>A017510</v>
      </c>
      <c r="D68" t="str">
        <f>HYPERLINK("http://comp.fnguide.com/SVO2/ASP/SVD_Consensus.asp?pGB=1&amp;gicode=A017510&amp;cID=&amp;MenuYn=Y&amp;ReportGB=&amp;NewMenuID=108&amp;stkGb=701", "세명전기")</f>
        <v>세명전기</v>
      </c>
      <c r="E68">
        <v>3</v>
      </c>
      <c r="F68">
        <v>4040</v>
      </c>
      <c r="G68">
        <v>0</v>
      </c>
      <c r="H68">
        <v>21.64</v>
      </c>
      <c r="I68">
        <v>3044</v>
      </c>
      <c r="J68">
        <v>4030</v>
      </c>
      <c r="K68">
        <v>4311</v>
      </c>
      <c r="L68">
        <v>24.64</v>
      </c>
      <c r="M68">
        <v>0.24</v>
      </c>
      <c r="N68">
        <v>-6.7</v>
      </c>
      <c r="O68">
        <v>5.16</v>
      </c>
      <c r="P68" t="b">
        <v>1</v>
      </c>
      <c r="Q68">
        <v>0</v>
      </c>
      <c r="R68">
        <v>224</v>
      </c>
      <c r="U68" t="s">
        <v>1830</v>
      </c>
      <c r="V68" t="s">
        <v>2694</v>
      </c>
      <c r="W68">
        <v>0</v>
      </c>
      <c r="X68">
        <v>-33.299999999999997</v>
      </c>
      <c r="Y68" t="s">
        <v>3551</v>
      </c>
      <c r="Z68">
        <v>-10.7808666347397</v>
      </c>
      <c r="AA68">
        <v>616</v>
      </c>
      <c r="AB68">
        <v>54143</v>
      </c>
      <c r="AC68" t="s">
        <v>4349</v>
      </c>
      <c r="AD68">
        <v>38.83</v>
      </c>
      <c r="AE68" t="s">
        <v>5213</v>
      </c>
      <c r="AF68" t="s">
        <v>6073</v>
      </c>
      <c r="AG68">
        <v>185</v>
      </c>
      <c r="AH68">
        <v>17</v>
      </c>
      <c r="AJ68">
        <v>1.65</v>
      </c>
    </row>
    <row r="69" spans="1:36">
      <c r="A69" s="1" t="s">
        <v>103</v>
      </c>
      <c r="B69" t="s">
        <v>967</v>
      </c>
      <c r="C69" t="str">
        <f>HYPERLINK("https://finance.naver.com/item/coinfo.nhn?code=011560", "A011560")</f>
        <v>A011560</v>
      </c>
      <c r="D69" t="str">
        <f>HYPERLINK("http://comp.fnguide.com/SVO2/ASP/SVD_Consensus.asp?pGB=1&amp;gicode=A011560&amp;cID=&amp;MenuYn=Y&amp;ReportGB=&amp;NewMenuID=108&amp;stkGb=701", "세보엠이씨")</f>
        <v>세보엠이씨</v>
      </c>
      <c r="E69">
        <v>3</v>
      </c>
      <c r="F69">
        <v>6040</v>
      </c>
      <c r="G69">
        <v>0</v>
      </c>
      <c r="I69">
        <v>14984</v>
      </c>
      <c r="J69">
        <v>14996</v>
      </c>
      <c r="K69">
        <v>14999</v>
      </c>
      <c r="L69">
        <v>-148.08000000000001</v>
      </c>
      <c r="M69">
        <v>-148.27000000000001</v>
      </c>
      <c r="N69">
        <v>-148.33000000000001</v>
      </c>
      <c r="O69">
        <v>7.93</v>
      </c>
      <c r="P69" t="b">
        <v>0</v>
      </c>
      <c r="Q69">
        <v>0</v>
      </c>
      <c r="R69">
        <v>-770</v>
      </c>
      <c r="U69" t="s">
        <v>1831</v>
      </c>
      <c r="V69" t="s">
        <v>2695</v>
      </c>
      <c r="W69">
        <v>0</v>
      </c>
      <c r="X69">
        <v>-30.5</v>
      </c>
      <c r="Y69" t="s">
        <v>3552</v>
      </c>
      <c r="Z69">
        <v>3.2288783392190319</v>
      </c>
      <c r="AA69">
        <v>636</v>
      </c>
      <c r="AB69">
        <v>25466</v>
      </c>
      <c r="AC69" t="s">
        <v>4350</v>
      </c>
      <c r="AD69">
        <v>47.47</v>
      </c>
      <c r="AE69" t="s">
        <v>5214</v>
      </c>
      <c r="AF69" t="s">
        <v>6074</v>
      </c>
      <c r="AG69">
        <v>6157</v>
      </c>
      <c r="AH69">
        <v>-89</v>
      </c>
      <c r="AI69">
        <v>525432</v>
      </c>
      <c r="AJ69">
        <v>1.88</v>
      </c>
    </row>
    <row r="70" spans="1:36">
      <c r="A70" s="1" t="s">
        <v>104</v>
      </c>
      <c r="B70" t="s">
        <v>968</v>
      </c>
      <c r="C70" t="str">
        <f>HYPERLINK("https://finance.naver.com/item/coinfo.nhn?code=024830", "A024830")</f>
        <v>A024830</v>
      </c>
      <c r="D70" t="str">
        <f>HYPERLINK("http://comp.fnguide.com/SVO2/ASP/SVD_Consensus.asp?pGB=1&amp;gicode=A024830&amp;cID=&amp;MenuYn=Y&amp;ReportGB=&amp;NewMenuID=108&amp;stkGb=701", "세원물산")</f>
        <v>세원물산</v>
      </c>
      <c r="E70">
        <v>3</v>
      </c>
      <c r="F70">
        <v>6280</v>
      </c>
      <c r="G70">
        <v>0</v>
      </c>
      <c r="H70">
        <v>4</v>
      </c>
      <c r="I70">
        <v>14979</v>
      </c>
      <c r="J70">
        <v>19592</v>
      </c>
      <c r="K70">
        <v>20903</v>
      </c>
      <c r="L70">
        <v>-138.52000000000001</v>
      </c>
      <c r="M70">
        <v>-211.98</v>
      </c>
      <c r="N70">
        <v>-232.86</v>
      </c>
      <c r="O70">
        <v>5.25</v>
      </c>
      <c r="P70" t="b">
        <v>1</v>
      </c>
      <c r="Q70">
        <v>0</v>
      </c>
      <c r="R70">
        <v>1572</v>
      </c>
      <c r="U70" t="s">
        <v>1832</v>
      </c>
      <c r="V70" t="s">
        <v>2696</v>
      </c>
      <c r="W70">
        <v>0</v>
      </c>
      <c r="X70">
        <v>14.6</v>
      </c>
      <c r="Y70" t="s">
        <v>3553</v>
      </c>
      <c r="Z70">
        <v>11.44965905981017</v>
      </c>
      <c r="AA70">
        <v>524</v>
      </c>
      <c r="AB70">
        <v>0</v>
      </c>
      <c r="AC70" t="s">
        <v>4351</v>
      </c>
      <c r="AD70">
        <v>78.430000000000007</v>
      </c>
      <c r="AE70" t="s">
        <v>5215</v>
      </c>
      <c r="AF70" t="s">
        <v>6075</v>
      </c>
      <c r="AG70">
        <v>1153</v>
      </c>
      <c r="AH70">
        <v>126</v>
      </c>
      <c r="AJ70">
        <v>0.4</v>
      </c>
    </row>
    <row r="71" spans="1:36">
      <c r="A71" s="1" t="s">
        <v>105</v>
      </c>
      <c r="B71" t="s">
        <v>969</v>
      </c>
      <c r="C71" t="str">
        <f>HYPERLINK("https://finance.naver.com/item/coinfo.nhn?code=039310", "A039310")</f>
        <v>A039310</v>
      </c>
      <c r="D71" t="str">
        <f>HYPERLINK("http://comp.fnguide.com/SVO2/ASP/SVD_Consensus.asp?pGB=1&amp;gicode=A039310&amp;cID=&amp;MenuYn=Y&amp;ReportGB=&amp;NewMenuID=108&amp;stkGb=701", "세중")</f>
        <v>세중</v>
      </c>
      <c r="E71">
        <v>3</v>
      </c>
      <c r="F71">
        <v>2595</v>
      </c>
      <c r="G71">
        <v>0</v>
      </c>
      <c r="H71">
        <v>25.58</v>
      </c>
      <c r="I71">
        <v>784</v>
      </c>
      <c r="J71">
        <v>3054</v>
      </c>
      <c r="K71">
        <v>3700</v>
      </c>
      <c r="L71">
        <v>69.81</v>
      </c>
      <c r="M71">
        <v>-17.7</v>
      </c>
      <c r="N71">
        <v>-42.57</v>
      </c>
      <c r="O71">
        <v>1.36</v>
      </c>
      <c r="P71" t="b">
        <v>0</v>
      </c>
      <c r="Q71">
        <v>0</v>
      </c>
      <c r="R71">
        <v>120</v>
      </c>
      <c r="U71" t="s">
        <v>1833</v>
      </c>
      <c r="V71" t="s">
        <v>2697</v>
      </c>
      <c r="W71">
        <v>0</v>
      </c>
      <c r="X71">
        <v>6.1</v>
      </c>
      <c r="Y71" t="s">
        <v>3554</v>
      </c>
      <c r="Z71">
        <v>17.30801336652155</v>
      </c>
      <c r="AA71">
        <v>470</v>
      </c>
      <c r="AB71">
        <v>56133</v>
      </c>
      <c r="AC71" t="s">
        <v>4352</v>
      </c>
      <c r="AD71">
        <v>26.99</v>
      </c>
      <c r="AE71" t="s">
        <v>5216</v>
      </c>
      <c r="AF71" t="s">
        <v>6076</v>
      </c>
      <c r="AG71">
        <v>1532</v>
      </c>
      <c r="AH71">
        <v>39</v>
      </c>
      <c r="AI71">
        <v>371022</v>
      </c>
    </row>
    <row r="72" spans="1:36">
      <c r="A72" s="1" t="s">
        <v>106</v>
      </c>
      <c r="B72" t="s">
        <v>970</v>
      </c>
      <c r="C72" t="str">
        <f>HYPERLINK("https://finance.naver.com/item/coinfo.nhn?code=053450", "A053450")</f>
        <v>A053450</v>
      </c>
      <c r="D72" t="str">
        <f>HYPERLINK("http://comp.fnguide.com/SVO2/ASP/SVD_Consensus.asp?pGB=1&amp;gicode=A053450&amp;cID=&amp;MenuYn=Y&amp;ReportGB=&amp;NewMenuID=108&amp;stkGb=701", "세코닉스")</f>
        <v>세코닉스</v>
      </c>
      <c r="E72">
        <v>3</v>
      </c>
      <c r="F72">
        <v>6470</v>
      </c>
      <c r="I72">
        <v>0</v>
      </c>
      <c r="J72">
        <v>5229</v>
      </c>
      <c r="K72">
        <v>6714</v>
      </c>
      <c r="L72">
        <v>100</v>
      </c>
      <c r="M72">
        <v>19.190000000000001</v>
      </c>
      <c r="N72">
        <v>-3.78</v>
      </c>
      <c r="O72">
        <v>0</v>
      </c>
      <c r="P72" t="b">
        <v>0</v>
      </c>
      <c r="Q72">
        <v>0</v>
      </c>
      <c r="R72">
        <v>-1483</v>
      </c>
      <c r="S72">
        <v>-1766</v>
      </c>
      <c r="T72">
        <v>19.100000000000001</v>
      </c>
      <c r="U72" t="s">
        <v>1834</v>
      </c>
      <c r="V72" t="s">
        <v>2698</v>
      </c>
      <c r="W72">
        <v>106.7011650988314</v>
      </c>
      <c r="X72">
        <v>0</v>
      </c>
      <c r="Y72" t="s">
        <v>3555</v>
      </c>
      <c r="Z72">
        <v>-4.3000000000000043</v>
      </c>
      <c r="AA72">
        <v>824</v>
      </c>
      <c r="AB72">
        <v>322601</v>
      </c>
      <c r="AC72" t="s">
        <v>4353</v>
      </c>
      <c r="AD72">
        <v>22.66</v>
      </c>
      <c r="AE72" t="s">
        <v>5217</v>
      </c>
      <c r="AF72" t="s">
        <v>6021</v>
      </c>
      <c r="AG72">
        <v>4622</v>
      </c>
      <c r="AH72">
        <v>11</v>
      </c>
      <c r="AI72">
        <v>164506</v>
      </c>
      <c r="AJ72">
        <v>0.76</v>
      </c>
    </row>
    <row r="73" spans="1:36">
      <c r="A73" s="1" t="s">
        <v>107</v>
      </c>
      <c r="B73" t="s">
        <v>971</v>
      </c>
      <c r="C73" t="str">
        <f>HYPERLINK("https://finance.naver.com/item/coinfo.nhn?code=043100", "A043100")</f>
        <v>A043100</v>
      </c>
      <c r="D73" t="str">
        <f>HYPERLINK("http://comp.fnguide.com/SVO2/ASP/SVD_Consensus.asp?pGB=1&amp;gicode=A043100&amp;cID=&amp;MenuYn=Y&amp;ReportGB=&amp;NewMenuID=108&amp;stkGb=701", "솔고바이오")</f>
        <v>솔고바이오</v>
      </c>
      <c r="E73">
        <v>3</v>
      </c>
      <c r="F73">
        <v>392</v>
      </c>
      <c r="G73">
        <v>0</v>
      </c>
      <c r="I73">
        <v>0</v>
      </c>
      <c r="J73">
        <v>341</v>
      </c>
      <c r="K73">
        <v>437</v>
      </c>
      <c r="L73">
        <v>100</v>
      </c>
      <c r="M73">
        <v>13.1</v>
      </c>
      <c r="N73">
        <v>-11.59</v>
      </c>
      <c r="O73">
        <v>0</v>
      </c>
      <c r="P73" t="b">
        <v>0</v>
      </c>
      <c r="Q73">
        <v>0</v>
      </c>
      <c r="R73">
        <v>-325</v>
      </c>
      <c r="U73" t="s">
        <v>1835</v>
      </c>
      <c r="V73" t="s">
        <v>2699</v>
      </c>
      <c r="W73">
        <v>0</v>
      </c>
      <c r="X73">
        <v>0</v>
      </c>
      <c r="Y73" t="s">
        <v>3499</v>
      </c>
      <c r="Z73">
        <v>0</v>
      </c>
      <c r="AA73">
        <v>226</v>
      </c>
      <c r="AB73">
        <v>0</v>
      </c>
      <c r="AC73" t="s">
        <v>4354</v>
      </c>
      <c r="AD73">
        <v>4.22</v>
      </c>
      <c r="AE73" t="s">
        <v>5218</v>
      </c>
      <c r="AF73" t="s">
        <v>6021</v>
      </c>
      <c r="AG73">
        <v>214</v>
      </c>
      <c r="AH73">
        <v>-59</v>
      </c>
      <c r="AI73">
        <v>648</v>
      </c>
    </row>
    <row r="74" spans="1:36">
      <c r="A74" s="1" t="s">
        <v>108</v>
      </c>
      <c r="B74" t="s">
        <v>972</v>
      </c>
      <c r="C74" t="str">
        <f>HYPERLINK("https://finance.naver.com/item/coinfo.nhn?code=043710", "A043710")</f>
        <v>A043710</v>
      </c>
      <c r="D74" t="str">
        <f>HYPERLINK("http://comp.fnguide.com/SVO2/ASP/SVD_Consensus.asp?pGB=1&amp;gicode=A043710&amp;cID=&amp;MenuYn=Y&amp;ReportGB=&amp;NewMenuID=108&amp;stkGb=701", "서울리거")</f>
        <v>서울리거</v>
      </c>
      <c r="E74">
        <v>3</v>
      </c>
      <c r="F74">
        <v>990</v>
      </c>
      <c r="G74">
        <v>0</v>
      </c>
      <c r="I74">
        <v>0</v>
      </c>
      <c r="J74">
        <v>837</v>
      </c>
      <c r="K74">
        <v>1074</v>
      </c>
      <c r="L74">
        <v>100</v>
      </c>
      <c r="M74">
        <v>15.48</v>
      </c>
      <c r="N74">
        <v>-8.5299999999999994</v>
      </c>
      <c r="O74">
        <v>0</v>
      </c>
      <c r="P74" t="b">
        <v>0</v>
      </c>
      <c r="Q74">
        <v>0</v>
      </c>
      <c r="R74">
        <v>-257</v>
      </c>
      <c r="U74" t="s">
        <v>1836</v>
      </c>
      <c r="V74" t="s">
        <v>2700</v>
      </c>
      <c r="W74">
        <v>0</v>
      </c>
      <c r="X74">
        <v>0</v>
      </c>
      <c r="Y74" t="s">
        <v>3499</v>
      </c>
      <c r="Z74">
        <v>0</v>
      </c>
      <c r="AA74">
        <v>360</v>
      </c>
      <c r="AB74">
        <v>249909</v>
      </c>
      <c r="AC74" t="s">
        <v>4355</v>
      </c>
      <c r="AD74">
        <v>30.46</v>
      </c>
      <c r="AE74" t="s">
        <v>5219</v>
      </c>
      <c r="AF74" t="s">
        <v>6021</v>
      </c>
      <c r="AG74">
        <v>784</v>
      </c>
      <c r="AH74">
        <v>-87</v>
      </c>
      <c r="AI74">
        <v>537</v>
      </c>
    </row>
    <row r="75" spans="1:36">
      <c r="A75" s="1" t="s">
        <v>109</v>
      </c>
      <c r="B75" t="s">
        <v>973</v>
      </c>
      <c r="C75" t="str">
        <f>HYPERLINK("https://finance.naver.com/item/coinfo.nhn?code=079650", "A079650")</f>
        <v>A079650</v>
      </c>
      <c r="D75" t="str">
        <f>HYPERLINK("http://comp.fnguide.com/SVO2/ASP/SVD_Consensus.asp?pGB=1&amp;gicode=A079650&amp;cID=&amp;MenuYn=Y&amp;ReportGB=&amp;NewMenuID=108&amp;stkGb=701", "서산")</f>
        <v>서산</v>
      </c>
      <c r="E75">
        <v>3</v>
      </c>
      <c r="F75">
        <v>2340</v>
      </c>
      <c r="G75">
        <v>0</v>
      </c>
      <c r="I75">
        <v>402</v>
      </c>
      <c r="J75">
        <v>2281</v>
      </c>
      <c r="K75">
        <v>2815</v>
      </c>
      <c r="L75">
        <v>82.83</v>
      </c>
      <c r="M75">
        <v>2.52</v>
      </c>
      <c r="N75">
        <v>-20.3</v>
      </c>
      <c r="O75">
        <v>0.9</v>
      </c>
      <c r="P75" t="b">
        <v>0</v>
      </c>
      <c r="Q75">
        <v>0</v>
      </c>
      <c r="R75">
        <v>-60</v>
      </c>
      <c r="U75" t="s">
        <v>1837</v>
      </c>
      <c r="V75" t="s">
        <v>2701</v>
      </c>
      <c r="W75">
        <v>0</v>
      </c>
      <c r="X75">
        <v>0</v>
      </c>
      <c r="Y75" t="s">
        <v>3556</v>
      </c>
      <c r="Z75">
        <v>-34.20486340161608</v>
      </c>
      <c r="AA75">
        <v>468</v>
      </c>
      <c r="AB75">
        <v>77564</v>
      </c>
      <c r="AC75" t="s">
        <v>4356</v>
      </c>
      <c r="AD75">
        <v>67.900000000000006</v>
      </c>
      <c r="AE75" t="s">
        <v>5220</v>
      </c>
      <c r="AF75" t="s">
        <v>6077</v>
      </c>
      <c r="AG75">
        <v>524</v>
      </c>
      <c r="AH75">
        <v>-49</v>
      </c>
    </row>
    <row r="76" spans="1:36">
      <c r="A76" s="1" t="s">
        <v>110</v>
      </c>
      <c r="B76" t="s">
        <v>974</v>
      </c>
      <c r="C76" t="str">
        <f>HYPERLINK("https://finance.naver.com/item/coinfo.nhn?code=006730", "A006730")</f>
        <v>A006730</v>
      </c>
      <c r="D76" t="str">
        <f>HYPERLINK("http://comp.fnguide.com/SVO2/ASP/SVD_Consensus.asp?pGB=1&amp;gicode=A006730&amp;cID=&amp;MenuYn=Y&amp;ReportGB=&amp;NewMenuID=108&amp;stkGb=701", "서부T&amp;D")</f>
        <v>서부T&amp;D</v>
      </c>
      <c r="E76">
        <v>3</v>
      </c>
      <c r="F76">
        <v>7610</v>
      </c>
      <c r="G76">
        <v>163.89</v>
      </c>
      <c r="H76">
        <v>10740.77</v>
      </c>
      <c r="I76">
        <v>8</v>
      </c>
      <c r="J76">
        <v>7237</v>
      </c>
      <c r="K76">
        <v>9291</v>
      </c>
      <c r="L76">
        <v>99.9</v>
      </c>
      <c r="M76">
        <v>4.9000000000000004</v>
      </c>
      <c r="N76">
        <v>-22.09</v>
      </c>
      <c r="O76">
        <v>0.01</v>
      </c>
      <c r="P76" t="b">
        <v>0</v>
      </c>
      <c r="Q76">
        <v>0</v>
      </c>
      <c r="R76">
        <v>1</v>
      </c>
      <c r="S76">
        <v>-654</v>
      </c>
      <c r="T76">
        <v>-65500</v>
      </c>
      <c r="U76" t="s">
        <v>1838</v>
      </c>
      <c r="V76" t="s">
        <v>2702</v>
      </c>
      <c r="W76">
        <v>65.537202262220887</v>
      </c>
      <c r="X76">
        <v>0</v>
      </c>
      <c r="Y76" t="s">
        <v>3499</v>
      </c>
      <c r="Z76">
        <v>0</v>
      </c>
      <c r="AA76">
        <v>4424</v>
      </c>
      <c r="AB76">
        <v>626248</v>
      </c>
      <c r="AC76" t="s">
        <v>4357</v>
      </c>
      <c r="AD76">
        <v>54.5</v>
      </c>
      <c r="AE76" t="s">
        <v>5221</v>
      </c>
      <c r="AF76" t="s">
        <v>6078</v>
      </c>
      <c r="AG76">
        <v>1279</v>
      </c>
      <c r="AH76">
        <v>144</v>
      </c>
      <c r="AI76">
        <v>2212952</v>
      </c>
      <c r="AJ76">
        <v>0</v>
      </c>
    </row>
    <row r="77" spans="1:36">
      <c r="A77" s="1" t="s">
        <v>111</v>
      </c>
      <c r="B77" t="s">
        <v>975</v>
      </c>
      <c r="C77" t="str">
        <f>HYPERLINK("https://finance.naver.com/item/coinfo.nhn?code=072950", "A072950")</f>
        <v>A072950</v>
      </c>
      <c r="D77" t="str">
        <f>HYPERLINK("http://comp.fnguide.com/SVO2/ASP/SVD_Consensus.asp?pGB=1&amp;gicode=A072950&amp;cID=&amp;MenuYn=Y&amp;ReportGB=&amp;NewMenuID=108&amp;stkGb=701", "빛샘전자")</f>
        <v>빛샘전자</v>
      </c>
      <c r="E77">
        <v>3</v>
      </c>
      <c r="F77">
        <v>6010</v>
      </c>
      <c r="G77">
        <v>0</v>
      </c>
      <c r="H77">
        <v>17.100000000000001</v>
      </c>
      <c r="I77">
        <v>4790</v>
      </c>
      <c r="J77">
        <v>7761</v>
      </c>
      <c r="K77">
        <v>8605</v>
      </c>
      <c r="L77">
        <v>20.29</v>
      </c>
      <c r="M77">
        <v>-29.14</v>
      </c>
      <c r="N77">
        <v>-43.18</v>
      </c>
      <c r="O77">
        <v>3.91</v>
      </c>
      <c r="P77" t="b">
        <v>1</v>
      </c>
      <c r="Q77">
        <v>0</v>
      </c>
      <c r="R77">
        <v>319</v>
      </c>
      <c r="U77" t="s">
        <v>1839</v>
      </c>
      <c r="V77" t="s">
        <v>2703</v>
      </c>
      <c r="W77">
        <v>0</v>
      </c>
      <c r="X77">
        <v>-44.4</v>
      </c>
      <c r="Y77" t="s">
        <v>3557</v>
      </c>
      <c r="Z77">
        <v>-17.42306618296514</v>
      </c>
      <c r="AA77">
        <v>361</v>
      </c>
      <c r="AB77">
        <v>68915</v>
      </c>
      <c r="AC77" t="s">
        <v>4358</v>
      </c>
      <c r="AD77">
        <v>36.11</v>
      </c>
      <c r="AE77" t="s">
        <v>5222</v>
      </c>
      <c r="AF77" t="s">
        <v>6079</v>
      </c>
      <c r="AG77">
        <v>464</v>
      </c>
      <c r="AH77">
        <v>19</v>
      </c>
      <c r="AI77">
        <v>253585</v>
      </c>
      <c r="AJ77">
        <v>1.83</v>
      </c>
    </row>
    <row r="78" spans="1:36">
      <c r="A78" s="1" t="s">
        <v>112</v>
      </c>
      <c r="B78" t="s">
        <v>976</v>
      </c>
      <c r="C78" t="str">
        <f>HYPERLINK("https://finance.naver.com/item/coinfo.nhn?code=213090", "A213090")</f>
        <v>A213090</v>
      </c>
      <c r="D78" t="str">
        <f>HYPERLINK("http://comp.fnguide.com/SVO2/ASP/SVD_Consensus.asp?pGB=1&amp;gicode=A213090&amp;cID=&amp;MenuYn=Y&amp;ReportGB=&amp;NewMenuID=108&amp;stkGb=701", "미래테크놀로지")</f>
        <v>미래테크놀로지</v>
      </c>
      <c r="E78">
        <v>3</v>
      </c>
      <c r="F78">
        <v>8060</v>
      </c>
      <c r="G78">
        <v>0</v>
      </c>
      <c r="H78">
        <v>15.54</v>
      </c>
      <c r="I78">
        <v>5516</v>
      </c>
      <c r="J78">
        <v>8114</v>
      </c>
      <c r="K78">
        <v>8853</v>
      </c>
      <c r="L78">
        <v>31.56</v>
      </c>
      <c r="M78">
        <v>-0.68</v>
      </c>
      <c r="N78">
        <v>-9.84</v>
      </c>
      <c r="O78">
        <v>4.45</v>
      </c>
      <c r="P78" t="b">
        <v>1</v>
      </c>
      <c r="Q78">
        <v>0</v>
      </c>
      <c r="R78">
        <v>528</v>
      </c>
      <c r="U78" t="s">
        <v>1840</v>
      </c>
      <c r="V78" t="s">
        <v>2704</v>
      </c>
      <c r="W78">
        <v>0</v>
      </c>
      <c r="X78">
        <v>-47.8</v>
      </c>
      <c r="Y78" t="s">
        <v>3558</v>
      </c>
      <c r="Z78">
        <v>-23.664335338985179</v>
      </c>
      <c r="AA78">
        <v>493</v>
      </c>
      <c r="AB78">
        <v>8029</v>
      </c>
      <c r="AC78" t="s">
        <v>4359</v>
      </c>
      <c r="AD78">
        <v>66.150000000000006</v>
      </c>
      <c r="AE78" t="s">
        <v>5223</v>
      </c>
      <c r="AF78" t="s">
        <v>6080</v>
      </c>
      <c r="AG78">
        <v>359</v>
      </c>
      <c r="AH78">
        <v>37</v>
      </c>
      <c r="AI78">
        <v>335171</v>
      </c>
      <c r="AJ78">
        <v>1.46</v>
      </c>
    </row>
    <row r="79" spans="1:36">
      <c r="A79" s="1" t="s">
        <v>113</v>
      </c>
      <c r="B79" t="s">
        <v>977</v>
      </c>
      <c r="C79" t="str">
        <f>HYPERLINK("https://finance.naver.com/item/coinfo.nhn?code=035620", "A035620")</f>
        <v>A035620</v>
      </c>
      <c r="D79" t="str">
        <f>HYPERLINK("http://comp.fnguide.com/SVO2/ASP/SVD_Consensus.asp?pGB=1&amp;gicode=A035620&amp;cID=&amp;MenuYn=Y&amp;ReportGB=&amp;NewMenuID=108&amp;stkGb=701", "바른손이앤에이")</f>
        <v>바른손이앤에이</v>
      </c>
      <c r="E79">
        <v>3</v>
      </c>
      <c r="F79">
        <v>1420</v>
      </c>
      <c r="G79">
        <v>0</v>
      </c>
      <c r="I79">
        <v>6712</v>
      </c>
      <c r="J79">
        <v>3302</v>
      </c>
      <c r="K79">
        <v>2332</v>
      </c>
      <c r="L79">
        <v>-372.68</v>
      </c>
      <c r="M79">
        <v>-132.5</v>
      </c>
      <c r="N79">
        <v>-64.25</v>
      </c>
      <c r="O79">
        <v>51.06</v>
      </c>
      <c r="P79" t="b">
        <v>0</v>
      </c>
      <c r="Q79">
        <v>0</v>
      </c>
      <c r="R79">
        <v>-267</v>
      </c>
      <c r="U79" t="s">
        <v>1841</v>
      </c>
      <c r="V79" t="s">
        <v>2705</v>
      </c>
      <c r="W79">
        <v>0</v>
      </c>
      <c r="X79">
        <v>0</v>
      </c>
      <c r="Y79" t="s">
        <v>3499</v>
      </c>
      <c r="Z79">
        <v>0</v>
      </c>
      <c r="AA79">
        <v>1044</v>
      </c>
      <c r="AB79">
        <v>598413</v>
      </c>
      <c r="AC79" t="s">
        <v>4360</v>
      </c>
      <c r="AD79">
        <v>28.13</v>
      </c>
      <c r="AE79" t="s">
        <v>5224</v>
      </c>
      <c r="AF79" t="s">
        <v>6081</v>
      </c>
      <c r="AG79">
        <v>170</v>
      </c>
      <c r="AH79">
        <v>-177</v>
      </c>
      <c r="AI79">
        <v>477554</v>
      </c>
    </row>
    <row r="80" spans="1:36">
      <c r="A80" s="1" t="s">
        <v>114</v>
      </c>
      <c r="B80" t="s">
        <v>978</v>
      </c>
      <c r="C80" t="str">
        <f>HYPERLINK("https://finance.naver.com/item/coinfo.nhn?code=208710", "A208710")</f>
        <v>A208710</v>
      </c>
      <c r="D80" t="str">
        <f>HYPERLINK("http://comp.fnguide.com/SVO2/ASP/SVD_Consensus.asp?pGB=1&amp;gicode=A208710&amp;cID=&amp;MenuYn=Y&amp;ReportGB=&amp;NewMenuID=108&amp;stkGb=701", "바이오로그디바이스")</f>
        <v>바이오로그디바이스</v>
      </c>
      <c r="E80">
        <v>3</v>
      </c>
      <c r="F80">
        <v>1575</v>
      </c>
      <c r="G80">
        <v>0</v>
      </c>
      <c r="H80">
        <v>8.74</v>
      </c>
      <c r="I80">
        <v>2921</v>
      </c>
      <c r="J80">
        <v>2338</v>
      </c>
      <c r="K80">
        <v>2173</v>
      </c>
      <c r="L80">
        <v>-85.45</v>
      </c>
      <c r="M80">
        <v>-48.46</v>
      </c>
      <c r="N80">
        <v>-37.94</v>
      </c>
      <c r="O80">
        <v>11.88</v>
      </c>
      <c r="P80" t="b">
        <v>1</v>
      </c>
      <c r="Q80">
        <v>0</v>
      </c>
      <c r="R80">
        <v>213</v>
      </c>
      <c r="U80" t="s">
        <v>1842</v>
      </c>
      <c r="V80" t="s">
        <v>2706</v>
      </c>
      <c r="W80">
        <v>0</v>
      </c>
      <c r="X80">
        <v>0</v>
      </c>
      <c r="Y80" t="s">
        <v>3559</v>
      </c>
      <c r="Z80">
        <v>1.8172086903542879</v>
      </c>
      <c r="AA80">
        <v>455</v>
      </c>
      <c r="AB80">
        <v>210626</v>
      </c>
      <c r="AC80" t="s">
        <v>4361</v>
      </c>
      <c r="AD80">
        <v>24.24</v>
      </c>
      <c r="AE80" t="s">
        <v>5225</v>
      </c>
      <c r="AF80" t="s">
        <v>6082</v>
      </c>
      <c r="AG80">
        <v>904</v>
      </c>
      <c r="AH80">
        <v>70</v>
      </c>
      <c r="AI80">
        <v>137119</v>
      </c>
    </row>
    <row r="81" spans="1:36">
      <c r="A81" s="1" t="s">
        <v>115</v>
      </c>
      <c r="B81" t="s">
        <v>979</v>
      </c>
      <c r="C81" t="str">
        <f>HYPERLINK("https://finance.naver.com/item/coinfo.nhn?code=019010", "A019010")</f>
        <v>A019010</v>
      </c>
      <c r="D81" t="str">
        <f>HYPERLINK("http://comp.fnguide.com/SVO2/ASP/SVD_Consensus.asp?pGB=1&amp;gicode=A019010&amp;cID=&amp;MenuYn=Y&amp;ReportGB=&amp;NewMenuID=108&amp;stkGb=701", "베뉴지")</f>
        <v>베뉴지</v>
      </c>
      <c r="E81">
        <v>3</v>
      </c>
      <c r="F81">
        <v>1780</v>
      </c>
      <c r="G81">
        <v>0</v>
      </c>
      <c r="H81">
        <v>22.67</v>
      </c>
      <c r="I81">
        <v>844</v>
      </c>
      <c r="J81">
        <v>4195</v>
      </c>
      <c r="K81">
        <v>5147</v>
      </c>
      <c r="L81">
        <v>52.58</v>
      </c>
      <c r="M81">
        <v>-135.66</v>
      </c>
      <c r="N81">
        <v>-189.15</v>
      </c>
      <c r="O81">
        <v>1.04</v>
      </c>
      <c r="P81" t="b">
        <v>1</v>
      </c>
      <c r="Q81">
        <v>0</v>
      </c>
      <c r="R81">
        <v>74</v>
      </c>
      <c r="U81" t="s">
        <v>1843</v>
      </c>
      <c r="V81" t="s">
        <v>2707</v>
      </c>
      <c r="W81">
        <v>0</v>
      </c>
      <c r="X81">
        <v>487.3</v>
      </c>
      <c r="Y81" t="s">
        <v>3560</v>
      </c>
      <c r="Z81">
        <v>47.376553658896228</v>
      </c>
      <c r="AA81">
        <v>858</v>
      </c>
      <c r="AB81">
        <v>4971766</v>
      </c>
      <c r="AC81" t="s">
        <v>4362</v>
      </c>
      <c r="AD81">
        <v>39.03</v>
      </c>
      <c r="AE81" t="s">
        <v>5226</v>
      </c>
      <c r="AF81" t="s">
        <v>6083</v>
      </c>
      <c r="AG81">
        <v>590</v>
      </c>
      <c r="AH81">
        <v>60</v>
      </c>
      <c r="AI81">
        <v>8000000</v>
      </c>
      <c r="AJ81">
        <v>1.78</v>
      </c>
    </row>
    <row r="82" spans="1:36">
      <c r="A82" s="1" t="s">
        <v>116</v>
      </c>
      <c r="B82" t="s">
        <v>980</v>
      </c>
      <c r="C82" t="str">
        <f>HYPERLINK("https://finance.naver.com/item/coinfo.nhn?code=014470", "A014470")</f>
        <v>A014470</v>
      </c>
      <c r="D82" t="str">
        <f>HYPERLINK("http://comp.fnguide.com/SVO2/ASP/SVD_Consensus.asp?pGB=1&amp;gicode=A014470&amp;cID=&amp;MenuYn=Y&amp;ReportGB=&amp;NewMenuID=108&amp;stkGb=701", "부방")</f>
        <v>부방</v>
      </c>
      <c r="E82">
        <v>3</v>
      </c>
      <c r="F82">
        <v>2710</v>
      </c>
      <c r="G82">
        <v>0</v>
      </c>
      <c r="I82">
        <v>253</v>
      </c>
      <c r="J82">
        <v>2178</v>
      </c>
      <c r="K82">
        <v>2724</v>
      </c>
      <c r="L82">
        <v>90.67</v>
      </c>
      <c r="M82">
        <v>19.649999999999999</v>
      </c>
      <c r="N82">
        <v>-0.53</v>
      </c>
      <c r="O82">
        <v>0.57999999999999996</v>
      </c>
      <c r="P82" t="b">
        <v>0</v>
      </c>
      <c r="Q82">
        <v>0</v>
      </c>
      <c r="R82">
        <v>-156</v>
      </c>
      <c r="U82" t="s">
        <v>1844</v>
      </c>
      <c r="V82" t="s">
        <v>2708</v>
      </c>
      <c r="W82">
        <v>0</v>
      </c>
      <c r="X82">
        <v>0</v>
      </c>
      <c r="Y82" t="s">
        <v>3561</v>
      </c>
      <c r="Z82">
        <v>-83.691258906941528</v>
      </c>
      <c r="AA82">
        <v>1627</v>
      </c>
      <c r="AB82">
        <v>446396</v>
      </c>
      <c r="AC82" t="s">
        <v>4363</v>
      </c>
      <c r="AD82">
        <v>48.81</v>
      </c>
      <c r="AE82" t="s">
        <v>5227</v>
      </c>
      <c r="AF82" t="s">
        <v>6084</v>
      </c>
      <c r="AG82">
        <v>3303</v>
      </c>
      <c r="AH82">
        <v>-42</v>
      </c>
      <c r="AI82">
        <v>7151193</v>
      </c>
      <c r="AJ82">
        <v>0.78</v>
      </c>
    </row>
    <row r="83" spans="1:36">
      <c r="A83" s="1" t="s">
        <v>117</v>
      </c>
      <c r="B83" t="s">
        <v>981</v>
      </c>
      <c r="C83" t="str">
        <f>HYPERLINK("https://finance.naver.com/item/coinfo.nhn?code=008470", "A008470")</f>
        <v>A008470</v>
      </c>
      <c r="D83" t="str">
        <f>HYPERLINK("http://comp.fnguide.com/SVO2/ASP/SVD_Consensus.asp?pGB=1&amp;gicode=A008470&amp;cID=&amp;MenuYn=Y&amp;ReportGB=&amp;NewMenuID=108&amp;stkGb=701", "부스타")</f>
        <v>부스타</v>
      </c>
      <c r="E83">
        <v>3</v>
      </c>
      <c r="F83">
        <v>5410</v>
      </c>
      <c r="G83">
        <v>0</v>
      </c>
      <c r="H83">
        <v>13.11</v>
      </c>
      <c r="I83">
        <v>5718</v>
      </c>
      <c r="J83">
        <v>7764</v>
      </c>
      <c r="K83">
        <v>8346</v>
      </c>
      <c r="L83">
        <v>-5.69</v>
      </c>
      <c r="M83">
        <v>-43.52</v>
      </c>
      <c r="N83">
        <v>-54.27</v>
      </c>
      <c r="O83">
        <v>4.9800000000000004</v>
      </c>
      <c r="P83" t="b">
        <v>1</v>
      </c>
      <c r="Q83">
        <v>0</v>
      </c>
      <c r="R83">
        <v>416</v>
      </c>
      <c r="U83" t="s">
        <v>1845</v>
      </c>
      <c r="V83" t="s">
        <v>2709</v>
      </c>
      <c r="W83">
        <v>0</v>
      </c>
      <c r="X83">
        <v>70.3</v>
      </c>
      <c r="Y83" t="s">
        <v>3562</v>
      </c>
      <c r="Z83">
        <v>3.3085371904223888</v>
      </c>
      <c r="AA83">
        <v>455</v>
      </c>
      <c r="AB83">
        <v>66178</v>
      </c>
      <c r="AC83" t="s">
        <v>4364</v>
      </c>
      <c r="AD83">
        <v>25.3</v>
      </c>
      <c r="AE83" t="s">
        <v>5228</v>
      </c>
      <c r="AF83" t="s">
        <v>6085</v>
      </c>
      <c r="AG83">
        <v>965</v>
      </c>
      <c r="AH83">
        <v>33</v>
      </c>
      <c r="AI83">
        <v>322989</v>
      </c>
      <c r="AJ83">
        <v>1.65</v>
      </c>
    </row>
    <row r="84" spans="1:36">
      <c r="A84" s="1" t="s">
        <v>118</v>
      </c>
      <c r="B84" t="s">
        <v>982</v>
      </c>
      <c r="C84" t="str">
        <f>HYPERLINK("https://finance.naver.com/item/coinfo.nhn?code=033560", "A033560")</f>
        <v>A033560</v>
      </c>
      <c r="D84" t="str">
        <f>HYPERLINK("http://comp.fnguide.com/SVO2/ASP/SVD_Consensus.asp?pGB=1&amp;gicode=A033560&amp;cID=&amp;MenuYn=Y&amp;ReportGB=&amp;NewMenuID=108&amp;stkGb=701", "블루콤")</f>
        <v>블루콤</v>
      </c>
      <c r="E84">
        <v>3</v>
      </c>
      <c r="F84">
        <v>5110</v>
      </c>
      <c r="G84">
        <v>0</v>
      </c>
      <c r="H84">
        <v>33.82</v>
      </c>
      <c r="I84">
        <v>1442</v>
      </c>
      <c r="J84">
        <v>6123</v>
      </c>
      <c r="K84">
        <v>7453</v>
      </c>
      <c r="L84">
        <v>71.78</v>
      </c>
      <c r="M84">
        <v>-19.82</v>
      </c>
      <c r="N84">
        <v>-45.85</v>
      </c>
      <c r="O84">
        <v>1.24</v>
      </c>
      <c r="P84" t="b">
        <v>1</v>
      </c>
      <c r="Q84">
        <v>0</v>
      </c>
      <c r="R84">
        <v>101</v>
      </c>
      <c r="U84" t="s">
        <v>1846</v>
      </c>
      <c r="V84" t="s">
        <v>2710</v>
      </c>
      <c r="W84">
        <v>0</v>
      </c>
      <c r="X84">
        <v>0</v>
      </c>
      <c r="Y84" t="s">
        <v>3563</v>
      </c>
      <c r="Z84">
        <v>-50.007192703900841</v>
      </c>
      <c r="AA84">
        <v>924</v>
      </c>
      <c r="AB84">
        <v>149363</v>
      </c>
      <c r="AC84" t="s">
        <v>4365</v>
      </c>
      <c r="AD84">
        <v>45.02</v>
      </c>
      <c r="AE84" t="s">
        <v>5229</v>
      </c>
      <c r="AF84" t="s">
        <v>6086</v>
      </c>
      <c r="AG84">
        <v>286</v>
      </c>
      <c r="AH84">
        <v>-121</v>
      </c>
    </row>
    <row r="85" spans="1:36">
      <c r="A85" s="1" t="s">
        <v>119</v>
      </c>
      <c r="B85" t="s">
        <v>983</v>
      </c>
      <c r="C85" t="str">
        <f>HYPERLINK("https://finance.naver.com/item/coinfo.nhn?code=141000", "A141000")</f>
        <v>A141000</v>
      </c>
      <c r="D85" t="str">
        <f>HYPERLINK("http://comp.fnguide.com/SVO2/ASP/SVD_Consensus.asp?pGB=1&amp;gicode=A141000&amp;cID=&amp;MenuYn=Y&amp;ReportGB=&amp;NewMenuID=108&amp;stkGb=701", "비아트론")</f>
        <v>비아트론</v>
      </c>
      <c r="E85">
        <v>3</v>
      </c>
      <c r="F85">
        <v>10550</v>
      </c>
      <c r="G85">
        <v>0</v>
      </c>
      <c r="H85">
        <v>27.38</v>
      </c>
      <c r="I85">
        <v>15044</v>
      </c>
      <c r="J85">
        <v>12740</v>
      </c>
      <c r="K85">
        <v>12085</v>
      </c>
      <c r="L85">
        <v>-42.6</v>
      </c>
      <c r="M85">
        <v>-20.76</v>
      </c>
      <c r="N85">
        <v>-14.55</v>
      </c>
      <c r="O85">
        <v>10.65</v>
      </c>
      <c r="P85" t="b">
        <v>1</v>
      </c>
      <c r="Q85">
        <v>0</v>
      </c>
      <c r="R85">
        <v>396</v>
      </c>
      <c r="U85" t="s">
        <v>1847</v>
      </c>
      <c r="V85" t="s">
        <v>2711</v>
      </c>
      <c r="W85">
        <v>0</v>
      </c>
      <c r="X85">
        <v>139.1</v>
      </c>
      <c r="Y85" t="s">
        <v>3564</v>
      </c>
      <c r="Z85">
        <v>8.0796304120285924</v>
      </c>
      <c r="AA85">
        <v>1278</v>
      </c>
      <c r="AB85">
        <v>138587</v>
      </c>
      <c r="AC85" t="s">
        <v>4366</v>
      </c>
      <c r="AD85">
        <v>19.07</v>
      </c>
      <c r="AE85" t="s">
        <v>5230</v>
      </c>
      <c r="AF85" t="s">
        <v>6087</v>
      </c>
      <c r="AG85">
        <v>500</v>
      </c>
      <c r="AH85">
        <v>38</v>
      </c>
      <c r="AI85">
        <v>281420</v>
      </c>
    </row>
    <row r="86" spans="1:36">
      <c r="A86" s="1" t="s">
        <v>120</v>
      </c>
      <c r="B86" t="s">
        <v>984</v>
      </c>
      <c r="C86" t="str">
        <f>HYPERLINK("https://finance.naver.com/item/coinfo.nhn?code=093190", "A093190")</f>
        <v>A093190</v>
      </c>
      <c r="D86" t="str">
        <f>HYPERLINK("http://comp.fnguide.com/SVO2/ASP/SVD_Consensus.asp?pGB=1&amp;gicode=A093190&amp;cID=&amp;MenuYn=Y&amp;ReportGB=&amp;NewMenuID=108&amp;stkGb=701", "빅솔론")</f>
        <v>빅솔론</v>
      </c>
      <c r="E86">
        <v>3</v>
      </c>
      <c r="F86">
        <v>4515</v>
      </c>
      <c r="G86">
        <v>0</v>
      </c>
      <c r="H86">
        <v>11.2</v>
      </c>
      <c r="I86">
        <v>10605</v>
      </c>
      <c r="J86">
        <v>9601</v>
      </c>
      <c r="K86">
        <v>9316</v>
      </c>
      <c r="L86">
        <v>-134.88</v>
      </c>
      <c r="M86">
        <v>-112.66</v>
      </c>
      <c r="N86">
        <v>-106.34</v>
      </c>
      <c r="O86">
        <v>9.42</v>
      </c>
      <c r="P86" t="b">
        <v>1</v>
      </c>
      <c r="Q86">
        <v>0</v>
      </c>
      <c r="R86">
        <v>499</v>
      </c>
      <c r="U86" t="s">
        <v>1848</v>
      </c>
      <c r="V86" t="s">
        <v>2712</v>
      </c>
      <c r="W86">
        <v>0</v>
      </c>
      <c r="X86">
        <v>-33.6</v>
      </c>
      <c r="Y86" t="s">
        <v>3565</v>
      </c>
      <c r="Z86">
        <v>-19.975741797558751</v>
      </c>
      <c r="AA86">
        <v>869</v>
      </c>
      <c r="AB86">
        <v>32662</v>
      </c>
      <c r="AC86" t="s">
        <v>4367</v>
      </c>
      <c r="AD86">
        <v>40.880000000000003</v>
      </c>
      <c r="AE86" t="s">
        <v>5231</v>
      </c>
      <c r="AF86" t="s">
        <v>6088</v>
      </c>
      <c r="AG86">
        <v>848</v>
      </c>
      <c r="AH86">
        <v>95</v>
      </c>
      <c r="AI86">
        <v>2846707</v>
      </c>
      <c r="AJ86">
        <v>3.4</v>
      </c>
    </row>
    <row r="87" spans="1:36">
      <c r="A87" s="1" t="s">
        <v>121</v>
      </c>
      <c r="B87" t="s">
        <v>985</v>
      </c>
      <c r="C87" t="str">
        <f>HYPERLINK("https://finance.naver.com/item/coinfo.nhn?code=018310", "A018310")</f>
        <v>A018310</v>
      </c>
      <c r="D87" t="str">
        <f>HYPERLINK("http://comp.fnguide.com/SVO2/ASP/SVD_Consensus.asp?pGB=1&amp;gicode=A018310&amp;cID=&amp;MenuYn=Y&amp;ReportGB=&amp;NewMenuID=108&amp;stkGb=701", "삼목에스폼")</f>
        <v>삼목에스폼</v>
      </c>
      <c r="E87">
        <v>3</v>
      </c>
      <c r="F87">
        <v>8340</v>
      </c>
      <c r="G87">
        <v>0</v>
      </c>
      <c r="H87">
        <v>8.9700000000000006</v>
      </c>
      <c r="I87">
        <v>28907</v>
      </c>
      <c r="J87">
        <v>28798</v>
      </c>
      <c r="K87">
        <v>28767</v>
      </c>
      <c r="L87">
        <v>-246.6</v>
      </c>
      <c r="M87">
        <v>-245.3</v>
      </c>
      <c r="N87">
        <v>-244.93</v>
      </c>
      <c r="O87">
        <v>7.99</v>
      </c>
      <c r="P87" t="b">
        <v>1</v>
      </c>
      <c r="Q87">
        <v>0</v>
      </c>
      <c r="R87">
        <v>932</v>
      </c>
      <c r="U87" t="s">
        <v>1849</v>
      </c>
      <c r="V87" t="s">
        <v>2713</v>
      </c>
      <c r="W87">
        <v>0</v>
      </c>
      <c r="X87">
        <v>0</v>
      </c>
      <c r="Y87" t="s">
        <v>3566</v>
      </c>
      <c r="Z87">
        <v>-26.11158320682037</v>
      </c>
      <c r="AA87">
        <v>1226</v>
      </c>
      <c r="AB87">
        <v>32347</v>
      </c>
      <c r="AC87" t="s">
        <v>4368</v>
      </c>
      <c r="AD87">
        <v>50.66</v>
      </c>
      <c r="AE87" t="s">
        <v>5232</v>
      </c>
      <c r="AF87" t="s">
        <v>6089</v>
      </c>
      <c r="AG87">
        <v>1442</v>
      </c>
      <c r="AH87">
        <v>114</v>
      </c>
      <c r="AI87">
        <v>2783927</v>
      </c>
      <c r="AJ87">
        <v>1.2</v>
      </c>
    </row>
    <row r="88" spans="1:36">
      <c r="A88" s="1" t="s">
        <v>122</v>
      </c>
      <c r="B88" t="s">
        <v>986</v>
      </c>
      <c r="C88" t="str">
        <f>HYPERLINK("https://finance.naver.com/item/coinfo.nhn?code=038540", "A038540")</f>
        <v>A038540</v>
      </c>
      <c r="D88" t="str">
        <f>HYPERLINK("http://comp.fnguide.com/SVO2/ASP/SVD_Consensus.asp?pGB=1&amp;gicode=A038540&amp;cID=&amp;MenuYn=Y&amp;ReportGB=&amp;NewMenuID=108&amp;stkGb=701", "상상인")</f>
        <v>상상인</v>
      </c>
      <c r="E88">
        <v>3</v>
      </c>
      <c r="F88">
        <v>6460</v>
      </c>
      <c r="G88">
        <v>0</v>
      </c>
      <c r="H88">
        <v>3.85</v>
      </c>
      <c r="I88">
        <v>39599</v>
      </c>
      <c r="J88">
        <v>21553</v>
      </c>
      <c r="K88">
        <v>16425</v>
      </c>
      <c r="L88">
        <v>-512.99</v>
      </c>
      <c r="M88">
        <v>-233.64</v>
      </c>
      <c r="N88">
        <v>-154.26</v>
      </c>
      <c r="O88">
        <v>32.729999999999997</v>
      </c>
      <c r="P88" t="b">
        <v>1</v>
      </c>
      <c r="Q88">
        <v>0</v>
      </c>
      <c r="R88">
        <v>2254</v>
      </c>
      <c r="U88" t="s">
        <v>1850</v>
      </c>
      <c r="V88" t="s">
        <v>2714</v>
      </c>
      <c r="W88">
        <v>0</v>
      </c>
      <c r="X88">
        <v>-54.9</v>
      </c>
      <c r="Y88" t="s">
        <v>3567</v>
      </c>
      <c r="Z88">
        <v>12.537512819645441</v>
      </c>
      <c r="AA88">
        <v>3574</v>
      </c>
      <c r="AB88">
        <v>188426</v>
      </c>
      <c r="AC88" t="s">
        <v>4369</v>
      </c>
      <c r="AD88">
        <v>31.93</v>
      </c>
      <c r="AE88" t="s">
        <v>5233</v>
      </c>
      <c r="AF88" t="s">
        <v>6090</v>
      </c>
      <c r="AG88">
        <v>5413</v>
      </c>
      <c r="AH88">
        <v>1824</v>
      </c>
      <c r="AI88">
        <v>604037</v>
      </c>
      <c r="AJ88">
        <v>2.31</v>
      </c>
    </row>
    <row r="89" spans="1:36">
      <c r="A89" s="1" t="s">
        <v>123</v>
      </c>
      <c r="B89" t="s">
        <v>987</v>
      </c>
      <c r="C89" t="str">
        <f>HYPERLINK("https://finance.naver.com/item/coinfo.nhn?code=053700", "A053700")</f>
        <v>A053700</v>
      </c>
      <c r="D89" t="str">
        <f>HYPERLINK("http://comp.fnguide.com/SVO2/ASP/SVD_Consensus.asp?pGB=1&amp;gicode=A053700&amp;cID=&amp;MenuYn=Y&amp;ReportGB=&amp;NewMenuID=108&amp;stkGb=701", "삼보모터스")</f>
        <v>삼보모터스</v>
      </c>
      <c r="E89">
        <v>3</v>
      </c>
      <c r="F89">
        <v>6300</v>
      </c>
      <c r="G89">
        <v>0</v>
      </c>
      <c r="I89">
        <v>1870</v>
      </c>
      <c r="J89">
        <v>7843</v>
      </c>
      <c r="K89">
        <v>9540</v>
      </c>
      <c r="L89">
        <v>70.319999999999993</v>
      </c>
      <c r="M89">
        <v>-24.49</v>
      </c>
      <c r="N89">
        <v>-51.43</v>
      </c>
      <c r="O89">
        <v>1.26</v>
      </c>
      <c r="P89" t="b">
        <v>0</v>
      </c>
      <c r="Q89">
        <v>0</v>
      </c>
      <c r="R89">
        <v>-909</v>
      </c>
      <c r="U89" t="s">
        <v>1851</v>
      </c>
      <c r="V89" t="s">
        <v>2715</v>
      </c>
      <c r="W89">
        <v>0</v>
      </c>
      <c r="X89">
        <v>0</v>
      </c>
      <c r="Y89" t="s">
        <v>3568</v>
      </c>
      <c r="Z89">
        <v>-41.692803930821647</v>
      </c>
      <c r="AA89">
        <v>1076</v>
      </c>
      <c r="AB89">
        <v>219511</v>
      </c>
      <c r="AC89" t="s">
        <v>4370</v>
      </c>
      <c r="AD89">
        <v>38.270000000000003</v>
      </c>
      <c r="AE89" t="s">
        <v>5234</v>
      </c>
      <c r="AF89" t="s">
        <v>6091</v>
      </c>
      <c r="AG89">
        <v>9395</v>
      </c>
      <c r="AH89">
        <v>-107</v>
      </c>
      <c r="AI89">
        <v>648234</v>
      </c>
    </row>
    <row r="90" spans="1:36">
      <c r="A90" s="1" t="s">
        <v>124</v>
      </c>
      <c r="B90" t="s">
        <v>988</v>
      </c>
      <c r="C90" t="str">
        <f>HYPERLINK("https://finance.naver.com/item/coinfo.nhn?code=023600", "A023600")</f>
        <v>A023600</v>
      </c>
      <c r="D90" t="str">
        <f>HYPERLINK("http://comp.fnguide.com/SVO2/ASP/SVD_Consensus.asp?pGB=1&amp;gicode=A023600&amp;cID=&amp;MenuYn=Y&amp;ReportGB=&amp;NewMenuID=108&amp;stkGb=701", "삼보판지")</f>
        <v>삼보판지</v>
      </c>
      <c r="E90">
        <v>3</v>
      </c>
      <c r="F90">
        <v>11900</v>
      </c>
      <c r="G90">
        <v>0</v>
      </c>
      <c r="H90">
        <v>4.62</v>
      </c>
      <c r="I90">
        <v>31135</v>
      </c>
      <c r="J90">
        <v>25790</v>
      </c>
      <c r="K90">
        <v>24271</v>
      </c>
      <c r="L90">
        <v>-161.63999999999999</v>
      </c>
      <c r="M90">
        <v>-116.72</v>
      </c>
      <c r="N90">
        <v>-103.96</v>
      </c>
      <c r="O90">
        <v>11.11</v>
      </c>
      <c r="P90" t="b">
        <v>1</v>
      </c>
      <c r="Q90">
        <v>0</v>
      </c>
      <c r="R90">
        <v>1779</v>
      </c>
      <c r="U90" t="s">
        <v>1852</v>
      </c>
      <c r="V90" t="s">
        <v>2716</v>
      </c>
      <c r="W90">
        <v>0</v>
      </c>
      <c r="X90">
        <v>-5.3</v>
      </c>
      <c r="Y90" t="s">
        <v>3569</v>
      </c>
      <c r="Z90">
        <v>-3.1635530707421871</v>
      </c>
      <c r="AA90">
        <v>1924</v>
      </c>
      <c r="AB90">
        <v>484975</v>
      </c>
      <c r="AC90" t="s">
        <v>4371</v>
      </c>
      <c r="AD90">
        <v>63.54</v>
      </c>
      <c r="AE90" t="s">
        <v>5235</v>
      </c>
      <c r="AF90" t="s">
        <v>6092</v>
      </c>
      <c r="AG90">
        <v>3670</v>
      </c>
      <c r="AH90">
        <v>457</v>
      </c>
      <c r="AI90">
        <v>202211</v>
      </c>
      <c r="AJ90">
        <v>1.52</v>
      </c>
    </row>
    <row r="91" spans="1:36">
      <c r="A91" s="1" t="s">
        <v>125</v>
      </c>
      <c r="B91" t="s">
        <v>989</v>
      </c>
      <c r="C91" t="str">
        <f>HYPERLINK("https://finance.naver.com/item/coinfo.nhn?code=009300", "A009300")</f>
        <v>A009300</v>
      </c>
      <c r="D91" t="str">
        <f>HYPERLINK("http://comp.fnguide.com/SVO2/ASP/SVD_Consensus.asp?pGB=1&amp;gicode=A009300&amp;cID=&amp;MenuYn=Y&amp;ReportGB=&amp;NewMenuID=108&amp;stkGb=701", "삼아제약")</f>
        <v>삼아제약</v>
      </c>
      <c r="E91">
        <v>3</v>
      </c>
      <c r="F91">
        <v>16750</v>
      </c>
      <c r="G91">
        <v>0</v>
      </c>
      <c r="H91">
        <v>9.9600000000000009</v>
      </c>
      <c r="I91">
        <v>19367</v>
      </c>
      <c r="J91">
        <v>24286</v>
      </c>
      <c r="K91">
        <v>25684</v>
      </c>
      <c r="L91">
        <v>-15.63</v>
      </c>
      <c r="M91">
        <v>-44.99</v>
      </c>
      <c r="N91">
        <v>-53.34</v>
      </c>
      <c r="O91">
        <v>5.58</v>
      </c>
      <c r="P91" t="b">
        <v>1</v>
      </c>
      <c r="Q91">
        <v>0</v>
      </c>
      <c r="R91">
        <v>1601</v>
      </c>
      <c r="U91" t="s">
        <v>1853</v>
      </c>
      <c r="V91" t="s">
        <v>2717</v>
      </c>
      <c r="W91">
        <v>0</v>
      </c>
      <c r="X91">
        <v>-95.8</v>
      </c>
      <c r="Y91" t="s">
        <v>3570</v>
      </c>
      <c r="Z91">
        <v>-43.06373552609962</v>
      </c>
      <c r="AA91">
        <v>1067</v>
      </c>
      <c r="AB91">
        <v>13663</v>
      </c>
      <c r="AC91" t="s">
        <v>4372</v>
      </c>
      <c r="AD91">
        <v>65.58</v>
      </c>
      <c r="AE91" t="s">
        <v>5236</v>
      </c>
      <c r="AF91" t="s">
        <v>6093</v>
      </c>
      <c r="AG91">
        <v>716</v>
      </c>
      <c r="AH91">
        <v>104</v>
      </c>
      <c r="AI91">
        <v>266658</v>
      </c>
      <c r="AJ91">
        <v>1.88</v>
      </c>
    </row>
    <row r="92" spans="1:36">
      <c r="A92" s="1" t="s">
        <v>126</v>
      </c>
      <c r="B92" t="s">
        <v>990</v>
      </c>
      <c r="C92" t="str">
        <f>HYPERLINK("https://finance.naver.com/item/coinfo.nhn?code=054540", "A054540")</f>
        <v>A054540</v>
      </c>
      <c r="D92" t="str">
        <f>HYPERLINK("http://comp.fnguide.com/SVO2/ASP/SVD_Consensus.asp?pGB=1&amp;gicode=A054540&amp;cID=&amp;MenuYn=Y&amp;ReportGB=&amp;NewMenuID=108&amp;stkGb=701", "삼영엠텍")</f>
        <v>삼영엠텍</v>
      </c>
      <c r="E92">
        <v>3</v>
      </c>
      <c r="F92">
        <v>5600</v>
      </c>
      <c r="G92">
        <v>0</v>
      </c>
      <c r="H92">
        <v>13.73</v>
      </c>
      <c r="I92">
        <v>2875</v>
      </c>
      <c r="J92">
        <v>5305</v>
      </c>
      <c r="K92">
        <v>5995</v>
      </c>
      <c r="L92">
        <v>48.66</v>
      </c>
      <c r="M92">
        <v>5.27</v>
      </c>
      <c r="N92">
        <v>-7.06</v>
      </c>
      <c r="O92">
        <v>3.3</v>
      </c>
      <c r="P92" t="b">
        <v>1</v>
      </c>
      <c r="Q92">
        <v>0</v>
      </c>
      <c r="R92">
        <v>269</v>
      </c>
      <c r="U92" t="s">
        <v>1854</v>
      </c>
      <c r="V92" t="s">
        <v>2718</v>
      </c>
      <c r="W92">
        <v>0</v>
      </c>
      <c r="X92">
        <v>342.3</v>
      </c>
      <c r="Y92" t="s">
        <v>3571</v>
      </c>
      <c r="Z92">
        <v>74.666252783047639</v>
      </c>
      <c r="AA92">
        <v>728</v>
      </c>
      <c r="AB92">
        <v>327368</v>
      </c>
      <c r="AC92" t="s">
        <v>4373</v>
      </c>
      <c r="AD92">
        <v>17.510000000000002</v>
      </c>
      <c r="AE92" t="s">
        <v>5237</v>
      </c>
      <c r="AF92" t="s">
        <v>6094</v>
      </c>
      <c r="AG92">
        <v>698</v>
      </c>
      <c r="AH92">
        <v>31</v>
      </c>
      <c r="AI92">
        <v>1790000</v>
      </c>
      <c r="AJ92">
        <v>2.71</v>
      </c>
    </row>
    <row r="93" spans="1:36">
      <c r="A93" s="1" t="s">
        <v>127</v>
      </c>
      <c r="B93" t="s">
        <v>991</v>
      </c>
      <c r="C93" t="str">
        <f>HYPERLINK("https://finance.naver.com/item/coinfo.nhn?code=032280", "A032280")</f>
        <v>A032280</v>
      </c>
      <c r="D93" t="str">
        <f>HYPERLINK("http://comp.fnguide.com/SVO2/ASP/SVD_Consensus.asp?pGB=1&amp;gicode=A032280&amp;cID=&amp;MenuYn=Y&amp;ReportGB=&amp;NewMenuID=108&amp;stkGb=701", "삼일")</f>
        <v>삼일</v>
      </c>
      <c r="E93">
        <v>3</v>
      </c>
      <c r="F93">
        <v>2030</v>
      </c>
      <c r="G93">
        <v>0</v>
      </c>
      <c r="H93">
        <v>9.82</v>
      </c>
      <c r="I93">
        <v>2468</v>
      </c>
      <c r="J93">
        <v>3584</v>
      </c>
      <c r="K93">
        <v>3902</v>
      </c>
      <c r="L93">
        <v>-21.56</v>
      </c>
      <c r="M93">
        <v>-76.569999999999993</v>
      </c>
      <c r="N93">
        <v>-92.2</v>
      </c>
      <c r="O93">
        <v>4.53</v>
      </c>
      <c r="P93" t="b">
        <v>1</v>
      </c>
      <c r="Q93">
        <v>0</v>
      </c>
      <c r="R93">
        <v>204</v>
      </c>
      <c r="U93" t="s">
        <v>1855</v>
      </c>
      <c r="V93" t="s">
        <v>2719</v>
      </c>
      <c r="W93">
        <v>0</v>
      </c>
      <c r="X93">
        <v>0</v>
      </c>
      <c r="Y93" t="s">
        <v>3572</v>
      </c>
      <c r="Z93">
        <v>-36.652962590609043</v>
      </c>
      <c r="AA93">
        <v>329</v>
      </c>
      <c r="AB93">
        <v>124028</v>
      </c>
      <c r="AC93" t="s">
        <v>4374</v>
      </c>
      <c r="AD93">
        <v>39.21</v>
      </c>
      <c r="AE93" t="s">
        <v>5238</v>
      </c>
      <c r="AF93" t="s">
        <v>6095</v>
      </c>
      <c r="AG93">
        <v>961</v>
      </c>
      <c r="AH93">
        <v>25</v>
      </c>
      <c r="AI93">
        <v>1202870</v>
      </c>
      <c r="AJ93">
        <v>2.5</v>
      </c>
    </row>
    <row r="94" spans="1:36">
      <c r="A94" s="1" t="s">
        <v>128</v>
      </c>
      <c r="B94" t="s">
        <v>992</v>
      </c>
      <c r="C94" t="str">
        <f>HYPERLINK("https://finance.naver.com/item/coinfo.nhn?code=037460", "A037460")</f>
        <v>A037460</v>
      </c>
      <c r="D94" t="str">
        <f>HYPERLINK("http://comp.fnguide.com/SVO2/ASP/SVD_Consensus.asp?pGB=1&amp;gicode=A037460&amp;cID=&amp;MenuYn=Y&amp;ReportGB=&amp;NewMenuID=108&amp;stkGb=701", "삼지전자")</f>
        <v>삼지전자</v>
      </c>
      <c r="E94">
        <v>3</v>
      </c>
      <c r="F94">
        <v>11900</v>
      </c>
      <c r="G94">
        <v>0</v>
      </c>
      <c r="H94">
        <v>11.59</v>
      </c>
      <c r="I94">
        <v>14875</v>
      </c>
      <c r="J94">
        <v>13839</v>
      </c>
      <c r="K94">
        <v>13544</v>
      </c>
      <c r="L94">
        <v>-25</v>
      </c>
      <c r="M94">
        <v>-16.29</v>
      </c>
      <c r="N94">
        <v>-13.82</v>
      </c>
      <c r="O94">
        <v>8.98</v>
      </c>
      <c r="P94" t="b">
        <v>1</v>
      </c>
      <c r="Q94">
        <v>0</v>
      </c>
      <c r="R94">
        <v>849</v>
      </c>
      <c r="U94" t="s">
        <v>1856</v>
      </c>
      <c r="V94" t="s">
        <v>2720</v>
      </c>
      <c r="W94">
        <v>0</v>
      </c>
      <c r="X94">
        <v>98.5</v>
      </c>
      <c r="Y94" t="s">
        <v>3573</v>
      </c>
      <c r="Z94">
        <v>9.957284308027269</v>
      </c>
      <c r="AA94">
        <v>1942</v>
      </c>
      <c r="AB94">
        <v>139175</v>
      </c>
      <c r="AC94" t="s">
        <v>4375</v>
      </c>
      <c r="AD94">
        <v>46.69</v>
      </c>
      <c r="AE94" t="s">
        <v>5239</v>
      </c>
      <c r="AF94" t="s">
        <v>6096</v>
      </c>
      <c r="AG94">
        <v>14950</v>
      </c>
      <c r="AH94">
        <v>362</v>
      </c>
      <c r="AI94">
        <v>983010</v>
      </c>
      <c r="AJ94">
        <v>1.42</v>
      </c>
    </row>
    <row r="95" spans="1:36">
      <c r="A95" s="1" t="s">
        <v>129</v>
      </c>
      <c r="B95" t="s">
        <v>993</v>
      </c>
      <c r="C95" t="str">
        <f>HYPERLINK("https://finance.naver.com/item/coinfo.nhn?code=032750", "A032750")</f>
        <v>A032750</v>
      </c>
      <c r="D95" t="str">
        <f>HYPERLINK("http://comp.fnguide.com/SVO2/ASP/SVD_Consensus.asp?pGB=1&amp;gicode=A032750&amp;cID=&amp;MenuYn=Y&amp;ReportGB=&amp;NewMenuID=108&amp;stkGb=701", "삼진")</f>
        <v>삼진</v>
      </c>
      <c r="E95">
        <v>3</v>
      </c>
      <c r="F95">
        <v>11000</v>
      </c>
      <c r="G95">
        <v>0</v>
      </c>
      <c r="H95">
        <v>5.67</v>
      </c>
      <c r="I95">
        <v>16296</v>
      </c>
      <c r="J95">
        <v>14172</v>
      </c>
      <c r="K95">
        <v>13569</v>
      </c>
      <c r="L95">
        <v>-48.15</v>
      </c>
      <c r="M95">
        <v>-28.84</v>
      </c>
      <c r="N95">
        <v>-23.35</v>
      </c>
      <c r="O95">
        <v>10.130000000000001</v>
      </c>
      <c r="P95" t="b">
        <v>1</v>
      </c>
      <c r="Q95">
        <v>0</v>
      </c>
      <c r="R95">
        <v>2019</v>
      </c>
      <c r="U95" t="s">
        <v>1857</v>
      </c>
      <c r="V95" t="s">
        <v>2721</v>
      </c>
      <c r="W95">
        <v>0</v>
      </c>
      <c r="X95">
        <v>-35.1</v>
      </c>
      <c r="Y95" t="s">
        <v>3574</v>
      </c>
      <c r="Z95">
        <v>8.9424881613860983</v>
      </c>
      <c r="AA95">
        <v>660</v>
      </c>
      <c r="AB95">
        <v>172405</v>
      </c>
      <c r="AC95" t="s">
        <v>4376</v>
      </c>
      <c r="AD95">
        <v>44.13</v>
      </c>
      <c r="AE95" t="s">
        <v>5240</v>
      </c>
      <c r="AF95" t="s">
        <v>6097</v>
      </c>
      <c r="AG95">
        <v>1352</v>
      </c>
      <c r="AH95">
        <v>117</v>
      </c>
      <c r="AJ95">
        <v>1.75</v>
      </c>
    </row>
    <row r="96" spans="1:36">
      <c r="A96" s="1" t="s">
        <v>130</v>
      </c>
      <c r="B96" t="s">
        <v>994</v>
      </c>
      <c r="C96" t="str">
        <f>HYPERLINK("https://finance.naver.com/item/coinfo.nhn?code=038500", "A038500")</f>
        <v>A038500</v>
      </c>
      <c r="D96" t="str">
        <f>HYPERLINK("http://comp.fnguide.com/SVO2/ASP/SVD_Consensus.asp?pGB=1&amp;gicode=A038500&amp;cID=&amp;MenuYn=Y&amp;ReportGB=&amp;NewMenuID=108&amp;stkGb=701", "삼표시멘트")</f>
        <v>삼표시멘트</v>
      </c>
      <c r="E96">
        <v>3</v>
      </c>
      <c r="F96">
        <v>3935</v>
      </c>
      <c r="G96">
        <v>-1.7</v>
      </c>
      <c r="H96">
        <v>21.9</v>
      </c>
      <c r="I96">
        <v>1835</v>
      </c>
      <c r="J96">
        <v>4291</v>
      </c>
      <c r="K96">
        <v>4988</v>
      </c>
      <c r="L96">
        <v>53.36</v>
      </c>
      <c r="M96">
        <v>-9.0399999999999991</v>
      </c>
      <c r="N96">
        <v>-26.77</v>
      </c>
      <c r="O96">
        <v>2.46</v>
      </c>
      <c r="P96" t="b">
        <v>1</v>
      </c>
      <c r="Q96">
        <v>2</v>
      </c>
      <c r="R96">
        <v>173</v>
      </c>
      <c r="S96">
        <v>224</v>
      </c>
      <c r="T96">
        <v>29.5</v>
      </c>
      <c r="U96" t="s">
        <v>1858</v>
      </c>
      <c r="V96" t="s">
        <v>2722</v>
      </c>
      <c r="W96">
        <v>-12.89442288371386</v>
      </c>
      <c r="X96">
        <v>-45.4</v>
      </c>
      <c r="Y96" t="s">
        <v>3575</v>
      </c>
      <c r="Z96">
        <v>-37.257191647169627</v>
      </c>
      <c r="AA96">
        <v>4225</v>
      </c>
      <c r="AB96">
        <v>766080</v>
      </c>
      <c r="AC96" t="s">
        <v>4377</v>
      </c>
      <c r="AD96">
        <v>65.02</v>
      </c>
      <c r="AE96" t="s">
        <v>5241</v>
      </c>
      <c r="AF96" t="s">
        <v>6098</v>
      </c>
      <c r="AG96">
        <v>5955</v>
      </c>
      <c r="AH96">
        <v>481</v>
      </c>
      <c r="AI96">
        <v>3621</v>
      </c>
      <c r="AJ96">
        <v>1.32</v>
      </c>
    </row>
    <row r="97" spans="1:36">
      <c r="A97" s="1" t="s">
        <v>131</v>
      </c>
      <c r="B97" t="s">
        <v>995</v>
      </c>
      <c r="C97" t="str">
        <f>HYPERLINK("https://finance.naver.com/item/coinfo.nhn?code=017480", "A017480")</f>
        <v>A017480</v>
      </c>
      <c r="D97" t="str">
        <f>HYPERLINK("http://comp.fnguide.com/SVO2/ASP/SVD_Consensus.asp?pGB=1&amp;gicode=A017480&amp;cID=&amp;MenuYn=Y&amp;ReportGB=&amp;NewMenuID=108&amp;stkGb=701", "삼현철강")</f>
        <v>삼현철강</v>
      </c>
      <c r="E97">
        <v>3</v>
      </c>
      <c r="F97">
        <v>4240</v>
      </c>
      <c r="G97">
        <v>0</v>
      </c>
      <c r="H97">
        <v>9.5</v>
      </c>
      <c r="I97">
        <v>5681</v>
      </c>
      <c r="J97">
        <v>8072</v>
      </c>
      <c r="K97">
        <v>8751</v>
      </c>
      <c r="L97">
        <v>-33.979999999999997</v>
      </c>
      <c r="M97">
        <v>-90.37</v>
      </c>
      <c r="N97">
        <v>-106.4</v>
      </c>
      <c r="O97">
        <v>4.67</v>
      </c>
      <c r="P97" t="b">
        <v>1</v>
      </c>
      <c r="Q97">
        <v>0</v>
      </c>
      <c r="R97">
        <v>417</v>
      </c>
      <c r="U97" t="s">
        <v>1859</v>
      </c>
      <c r="V97" t="s">
        <v>2723</v>
      </c>
      <c r="W97">
        <v>0</v>
      </c>
      <c r="X97">
        <v>-5.4</v>
      </c>
      <c r="Y97" t="s">
        <v>3576</v>
      </c>
      <c r="Z97">
        <v>-10.554350319186399</v>
      </c>
      <c r="AA97">
        <v>666</v>
      </c>
      <c r="AB97">
        <v>33991</v>
      </c>
      <c r="AC97" t="s">
        <v>4378</v>
      </c>
      <c r="AD97">
        <v>58.27</v>
      </c>
      <c r="AE97" t="s">
        <v>5242</v>
      </c>
      <c r="AF97" t="s">
        <v>6099</v>
      </c>
      <c r="AG97">
        <v>2376</v>
      </c>
      <c r="AH97">
        <v>79</v>
      </c>
      <c r="AI97">
        <v>260000</v>
      </c>
      <c r="AJ97">
        <v>3.79</v>
      </c>
    </row>
    <row r="98" spans="1:36">
      <c r="A98" s="1" t="s">
        <v>132</v>
      </c>
      <c r="B98" t="s">
        <v>996</v>
      </c>
      <c r="C98" t="str">
        <f>HYPERLINK("https://finance.naver.com/item/coinfo.nhn?code=032190", "A032190")</f>
        <v>A032190</v>
      </c>
      <c r="D98" t="str">
        <f>HYPERLINK("http://comp.fnguide.com/SVO2/ASP/SVD_Consensus.asp?pGB=1&amp;gicode=A032190&amp;cID=&amp;MenuYn=Y&amp;ReportGB=&amp;NewMenuID=108&amp;stkGb=701", "다우데이타")</f>
        <v>다우데이타</v>
      </c>
      <c r="E98">
        <v>3</v>
      </c>
      <c r="F98">
        <v>13000</v>
      </c>
      <c r="G98">
        <v>0</v>
      </c>
      <c r="H98">
        <v>4.66</v>
      </c>
      <c r="I98">
        <v>20573</v>
      </c>
      <c r="J98">
        <v>17753</v>
      </c>
      <c r="K98">
        <v>16951</v>
      </c>
      <c r="L98">
        <v>-58.26</v>
      </c>
      <c r="M98">
        <v>-36.56</v>
      </c>
      <c r="N98">
        <v>-30.39</v>
      </c>
      <c r="O98">
        <v>10.28</v>
      </c>
      <c r="P98" t="b">
        <v>1</v>
      </c>
      <c r="Q98">
        <v>0</v>
      </c>
      <c r="R98">
        <v>1782</v>
      </c>
      <c r="U98" t="s">
        <v>1860</v>
      </c>
      <c r="V98" t="s">
        <v>2724</v>
      </c>
      <c r="W98">
        <v>0</v>
      </c>
      <c r="X98">
        <v>79.2</v>
      </c>
      <c r="Y98" t="s">
        <v>3577</v>
      </c>
      <c r="Z98">
        <v>5.6008265667423229</v>
      </c>
      <c r="AA98">
        <v>4979</v>
      </c>
      <c r="AB98">
        <v>416966</v>
      </c>
      <c r="AC98" t="s">
        <v>4379</v>
      </c>
      <c r="AD98">
        <v>67.349999999999994</v>
      </c>
      <c r="AE98" t="s">
        <v>5243</v>
      </c>
      <c r="AF98" t="s">
        <v>6100</v>
      </c>
      <c r="AG98">
        <v>36056</v>
      </c>
      <c r="AH98">
        <v>5590</v>
      </c>
      <c r="AJ98">
        <v>2.17</v>
      </c>
    </row>
    <row r="99" spans="1:36">
      <c r="A99" s="1" t="s">
        <v>133</v>
      </c>
      <c r="B99" t="s">
        <v>997</v>
      </c>
      <c r="C99" t="str">
        <f>HYPERLINK("https://finance.naver.com/item/coinfo.nhn?code=042420", "A042420")</f>
        <v>A042420</v>
      </c>
      <c r="D99" t="str">
        <f>HYPERLINK("http://comp.fnguide.com/SVO2/ASP/SVD_Consensus.asp?pGB=1&amp;gicode=A042420&amp;cID=&amp;MenuYn=Y&amp;ReportGB=&amp;NewMenuID=108&amp;stkGb=701", "네오위즈홀딩스")</f>
        <v>네오위즈홀딩스</v>
      </c>
      <c r="E99">
        <v>3</v>
      </c>
      <c r="F99">
        <v>16150</v>
      </c>
      <c r="G99">
        <v>0</v>
      </c>
      <c r="H99">
        <v>6.01</v>
      </c>
      <c r="I99">
        <v>30247</v>
      </c>
      <c r="J99">
        <v>38393</v>
      </c>
      <c r="K99">
        <v>40707</v>
      </c>
      <c r="L99">
        <v>-87.29</v>
      </c>
      <c r="M99">
        <v>-137.72</v>
      </c>
      <c r="N99">
        <v>-152.06</v>
      </c>
      <c r="O99">
        <v>5.48</v>
      </c>
      <c r="P99" t="b">
        <v>1</v>
      </c>
      <c r="Q99">
        <v>0</v>
      </c>
      <c r="R99">
        <v>2345</v>
      </c>
      <c r="U99" t="s">
        <v>1861</v>
      </c>
      <c r="V99" t="s">
        <v>2725</v>
      </c>
      <c r="W99">
        <v>0</v>
      </c>
      <c r="X99">
        <v>117</v>
      </c>
      <c r="Y99" t="s">
        <v>3578</v>
      </c>
      <c r="Z99">
        <v>51.090701236045653</v>
      </c>
      <c r="AA99">
        <v>1430</v>
      </c>
      <c r="AB99">
        <v>23671</v>
      </c>
      <c r="AC99" t="s">
        <v>4380</v>
      </c>
      <c r="AD99">
        <v>42.57</v>
      </c>
      <c r="AE99" t="s">
        <v>5244</v>
      </c>
      <c r="AF99" t="s">
        <v>6101</v>
      </c>
      <c r="AG99">
        <v>2539</v>
      </c>
      <c r="AH99">
        <v>294</v>
      </c>
      <c r="AI99">
        <v>1461659</v>
      </c>
      <c r="AJ99">
        <v>0.87</v>
      </c>
    </row>
    <row r="100" spans="1:36">
      <c r="A100" s="1" t="s">
        <v>134</v>
      </c>
      <c r="B100" t="s">
        <v>998</v>
      </c>
      <c r="C100" t="str">
        <f>HYPERLINK("https://finance.naver.com/item/coinfo.nhn?code=161390", "A161390")</f>
        <v>A161390</v>
      </c>
      <c r="D100" t="str">
        <f>HYPERLINK("http://comp.fnguide.com/SVO2/ASP/SVD_Consensus.asp?pGB=1&amp;gicode=A161390&amp;cID=&amp;MenuYn=Y&amp;ReportGB=&amp;NewMenuID=108&amp;stkGb=701", "한국타이어앤테크놀로지")</f>
        <v>한국타이어앤테크놀로지</v>
      </c>
      <c r="E100">
        <v>3</v>
      </c>
      <c r="F100">
        <v>39650</v>
      </c>
      <c r="G100">
        <v>-0.71</v>
      </c>
      <c r="H100">
        <v>9.91</v>
      </c>
      <c r="I100">
        <v>53865</v>
      </c>
      <c r="J100">
        <v>56755</v>
      </c>
      <c r="K100">
        <v>57576</v>
      </c>
      <c r="L100">
        <v>-35.85</v>
      </c>
      <c r="M100">
        <v>-43.14</v>
      </c>
      <c r="N100">
        <v>-45.21</v>
      </c>
      <c r="O100">
        <v>7.29</v>
      </c>
      <c r="P100" t="b">
        <v>1</v>
      </c>
      <c r="Q100">
        <v>0</v>
      </c>
      <c r="R100">
        <v>3387</v>
      </c>
      <c r="S100">
        <v>3090</v>
      </c>
      <c r="T100">
        <v>-8.8000000000000007</v>
      </c>
      <c r="U100" t="s">
        <v>1862</v>
      </c>
      <c r="V100" t="s">
        <v>2726</v>
      </c>
      <c r="W100">
        <v>-13.885631160792659</v>
      </c>
      <c r="X100">
        <v>-41.5</v>
      </c>
      <c r="Y100" t="s">
        <v>3579</v>
      </c>
      <c r="Z100">
        <v>-17.843250664414981</v>
      </c>
      <c r="AA100">
        <v>49116</v>
      </c>
      <c r="AB100">
        <v>206382</v>
      </c>
      <c r="AC100" t="s">
        <v>4381</v>
      </c>
      <c r="AD100">
        <v>43.24</v>
      </c>
      <c r="AE100" t="s">
        <v>5245</v>
      </c>
      <c r="AF100" t="s">
        <v>6102</v>
      </c>
      <c r="AG100">
        <v>68833</v>
      </c>
      <c r="AH100">
        <v>5440</v>
      </c>
      <c r="AI100">
        <v>1886316</v>
      </c>
      <c r="AJ100">
        <v>1.64</v>
      </c>
    </row>
    <row r="101" spans="1:36">
      <c r="A101" s="1" t="s">
        <v>135</v>
      </c>
      <c r="B101" t="s">
        <v>999</v>
      </c>
      <c r="C101" t="str">
        <f>HYPERLINK("https://finance.naver.com/item/coinfo.nhn?code=010690", "A010690")</f>
        <v>A010690</v>
      </c>
      <c r="D101" t="str">
        <f>HYPERLINK("http://comp.fnguide.com/SVO2/ASP/SVD_Consensus.asp?pGB=1&amp;gicode=A010690&amp;cID=&amp;MenuYn=Y&amp;ReportGB=&amp;NewMenuID=108&amp;stkGb=701", "화신")</f>
        <v>화신</v>
      </c>
      <c r="E101">
        <v>3</v>
      </c>
      <c r="F101">
        <v>3335</v>
      </c>
      <c r="G101">
        <v>0</v>
      </c>
      <c r="H101">
        <v>17.190000000000001</v>
      </c>
      <c r="I101">
        <v>1284</v>
      </c>
      <c r="J101">
        <v>5988</v>
      </c>
      <c r="K101">
        <v>7325</v>
      </c>
      <c r="L101">
        <v>61.5</v>
      </c>
      <c r="M101">
        <v>-79.56</v>
      </c>
      <c r="N101">
        <v>-119.64</v>
      </c>
      <c r="O101">
        <v>1.1200000000000001</v>
      </c>
      <c r="P101" t="b">
        <v>1</v>
      </c>
      <c r="Q101">
        <v>0</v>
      </c>
      <c r="R101">
        <v>190</v>
      </c>
      <c r="U101" t="s">
        <v>1863</v>
      </c>
      <c r="V101" t="s">
        <v>2727</v>
      </c>
      <c r="W101">
        <v>0</v>
      </c>
      <c r="X101">
        <v>0</v>
      </c>
      <c r="Y101" t="s">
        <v>3499</v>
      </c>
      <c r="Z101">
        <v>0</v>
      </c>
      <c r="AA101">
        <v>1165</v>
      </c>
      <c r="AB101">
        <v>4433064</v>
      </c>
      <c r="AC101" t="s">
        <v>4382</v>
      </c>
      <c r="AD101">
        <v>50.41</v>
      </c>
      <c r="AE101" t="s">
        <v>5246</v>
      </c>
      <c r="AF101" t="s">
        <v>6103</v>
      </c>
      <c r="AG101">
        <v>11643</v>
      </c>
      <c r="AH101">
        <v>19</v>
      </c>
      <c r="AI101">
        <v>1995600</v>
      </c>
      <c r="AJ101">
        <v>1.53</v>
      </c>
    </row>
    <row r="102" spans="1:36">
      <c r="A102" s="1" t="s">
        <v>136</v>
      </c>
      <c r="B102" t="s">
        <v>1000</v>
      </c>
      <c r="C102" t="str">
        <f>HYPERLINK("https://finance.naver.com/item/coinfo.nhn?code=267270", "A267270")</f>
        <v>A267270</v>
      </c>
      <c r="D102" t="str">
        <f>HYPERLINK("http://comp.fnguide.com/SVO2/ASP/SVD_Consensus.asp?pGB=1&amp;gicode=A267270&amp;cID=&amp;MenuYn=Y&amp;ReportGB=&amp;NewMenuID=108&amp;stkGb=701", "현대건설기계")</f>
        <v>현대건설기계</v>
      </c>
      <c r="E102">
        <v>3</v>
      </c>
      <c r="F102">
        <v>32900</v>
      </c>
      <c r="G102">
        <v>-6.09</v>
      </c>
      <c r="H102">
        <v>182.52</v>
      </c>
      <c r="I102">
        <v>20963</v>
      </c>
      <c r="J102">
        <v>46575</v>
      </c>
      <c r="K102">
        <v>53853</v>
      </c>
      <c r="L102">
        <v>36.28</v>
      </c>
      <c r="M102">
        <v>-41.56</v>
      </c>
      <c r="N102">
        <v>-63.69</v>
      </c>
      <c r="O102">
        <v>2.62</v>
      </c>
      <c r="P102" t="b">
        <v>0</v>
      </c>
      <c r="Q102">
        <v>1</v>
      </c>
      <c r="R102">
        <v>164</v>
      </c>
      <c r="S102">
        <v>1071</v>
      </c>
      <c r="T102">
        <v>553</v>
      </c>
      <c r="U102" t="s">
        <v>1864</v>
      </c>
      <c r="V102" t="s">
        <v>2728</v>
      </c>
      <c r="W102">
        <v>-29.953299190790862</v>
      </c>
      <c r="X102">
        <v>-64.7</v>
      </c>
      <c r="Y102" t="s">
        <v>3580</v>
      </c>
      <c r="Z102">
        <v>0</v>
      </c>
      <c r="AA102">
        <v>6482</v>
      </c>
      <c r="AB102">
        <v>195735</v>
      </c>
      <c r="AC102" t="s">
        <v>4383</v>
      </c>
      <c r="AD102">
        <v>36.19</v>
      </c>
      <c r="AE102" t="s">
        <v>5247</v>
      </c>
      <c r="AF102" t="s">
        <v>6104</v>
      </c>
      <c r="AG102">
        <v>28521</v>
      </c>
      <c r="AH102">
        <v>1578</v>
      </c>
      <c r="AI102">
        <v>643797</v>
      </c>
    </row>
    <row r="103" spans="1:36">
      <c r="A103" s="1" t="s">
        <v>137</v>
      </c>
      <c r="B103" t="s">
        <v>1001</v>
      </c>
      <c r="C103" t="str">
        <f>HYPERLINK("https://finance.naver.com/item/coinfo.nhn?code=005440", "A005440")</f>
        <v>A005440</v>
      </c>
      <c r="D103" t="str">
        <f>HYPERLINK("http://comp.fnguide.com/SVO2/ASP/SVD_Consensus.asp?pGB=1&amp;gicode=A005440&amp;cID=&amp;MenuYn=Y&amp;ReportGB=&amp;NewMenuID=108&amp;stkGb=701", "현대그린푸드")</f>
        <v>현대그린푸드</v>
      </c>
      <c r="E103">
        <v>3</v>
      </c>
      <c r="F103">
        <v>8910</v>
      </c>
      <c r="G103">
        <v>-2.35</v>
      </c>
      <c r="H103">
        <v>21.13</v>
      </c>
      <c r="I103">
        <v>11940</v>
      </c>
      <c r="J103">
        <v>16590</v>
      </c>
      <c r="K103">
        <v>17911</v>
      </c>
      <c r="L103">
        <v>-34.01</v>
      </c>
      <c r="M103">
        <v>-86.2</v>
      </c>
      <c r="N103">
        <v>-101.03</v>
      </c>
      <c r="O103">
        <v>4.82</v>
      </c>
      <c r="P103" t="b">
        <v>1</v>
      </c>
      <c r="Q103">
        <v>1</v>
      </c>
      <c r="R103">
        <v>561</v>
      </c>
      <c r="S103">
        <v>875</v>
      </c>
      <c r="T103">
        <v>56</v>
      </c>
      <c r="U103" t="s">
        <v>1865</v>
      </c>
      <c r="V103" t="s">
        <v>2729</v>
      </c>
      <c r="W103">
        <v>-8.99047718703806</v>
      </c>
      <c r="X103">
        <v>-15.1</v>
      </c>
      <c r="Y103" t="s">
        <v>3581</v>
      </c>
      <c r="Z103">
        <v>-12.5206474927973</v>
      </c>
      <c r="AA103">
        <v>8705</v>
      </c>
      <c r="AB103">
        <v>510186</v>
      </c>
      <c r="AC103" t="s">
        <v>4384</v>
      </c>
      <c r="AD103">
        <v>38.44</v>
      </c>
      <c r="AE103" t="s">
        <v>5248</v>
      </c>
      <c r="AF103" t="s">
        <v>6105</v>
      </c>
      <c r="AG103">
        <v>31243</v>
      </c>
      <c r="AH103">
        <v>899</v>
      </c>
      <c r="AI103">
        <v>10397555</v>
      </c>
      <c r="AJ103">
        <v>1.77</v>
      </c>
    </row>
    <row r="104" spans="1:36">
      <c r="A104" s="1" t="s">
        <v>138</v>
      </c>
      <c r="B104" t="s">
        <v>1002</v>
      </c>
      <c r="C104" t="str">
        <f>HYPERLINK("https://finance.naver.com/item/coinfo.nhn?code=079430", "A079430")</f>
        <v>A079430</v>
      </c>
      <c r="D104" t="str">
        <f>HYPERLINK("http://comp.fnguide.com/SVO2/ASP/SVD_Consensus.asp?pGB=1&amp;gicode=A079430&amp;cID=&amp;MenuYn=Y&amp;ReportGB=&amp;NewMenuID=108&amp;stkGb=701", "현대리바트")</f>
        <v>현대리바트</v>
      </c>
      <c r="E104">
        <v>3</v>
      </c>
      <c r="F104">
        <v>15300</v>
      </c>
      <c r="G104">
        <v>-1.39</v>
      </c>
      <c r="H104">
        <v>14.08</v>
      </c>
      <c r="I104">
        <v>19907</v>
      </c>
      <c r="J104">
        <v>21630</v>
      </c>
      <c r="K104">
        <v>22119</v>
      </c>
      <c r="L104">
        <v>-30.11</v>
      </c>
      <c r="M104">
        <v>-41.37</v>
      </c>
      <c r="N104">
        <v>-44.57</v>
      </c>
      <c r="O104">
        <v>6.94</v>
      </c>
      <c r="P104" t="b">
        <v>1</v>
      </c>
      <c r="Q104">
        <v>1</v>
      </c>
      <c r="R104">
        <v>948</v>
      </c>
      <c r="S104">
        <v>1532</v>
      </c>
      <c r="T104">
        <v>61.6</v>
      </c>
      <c r="U104" t="s">
        <v>1866</v>
      </c>
      <c r="V104" t="s">
        <v>2730</v>
      </c>
      <c r="W104">
        <v>-10.114319965046761</v>
      </c>
      <c r="X104">
        <v>28.2</v>
      </c>
      <c r="Y104" t="s">
        <v>3582</v>
      </c>
      <c r="Z104">
        <v>-6.1481699775009284</v>
      </c>
      <c r="AA104">
        <v>3142</v>
      </c>
      <c r="AB104">
        <v>106398</v>
      </c>
      <c r="AC104" t="s">
        <v>4385</v>
      </c>
      <c r="AD104">
        <v>41.16</v>
      </c>
      <c r="AE104" t="s">
        <v>5249</v>
      </c>
      <c r="AF104" t="s">
        <v>6106</v>
      </c>
      <c r="AG104">
        <v>12376</v>
      </c>
      <c r="AH104">
        <v>239</v>
      </c>
      <c r="AI104">
        <v>421080</v>
      </c>
      <c r="AJ104">
        <v>1.1200000000000001</v>
      </c>
    </row>
    <row r="105" spans="1:36">
      <c r="A105" s="1" t="s">
        <v>139</v>
      </c>
      <c r="B105" t="s">
        <v>1003</v>
      </c>
      <c r="C105" t="str">
        <f>HYPERLINK("https://finance.naver.com/item/coinfo.nhn?code=012330", "A012330")</f>
        <v>A012330</v>
      </c>
      <c r="D105" t="str">
        <f>HYPERLINK("http://comp.fnguide.com/SVO2/ASP/SVD_Consensus.asp?pGB=1&amp;gicode=A012330&amp;cID=&amp;MenuYn=Y&amp;ReportGB=&amp;NewMenuID=108&amp;stkGb=701", "현대모비스")</f>
        <v>현대모비스</v>
      </c>
      <c r="E105">
        <v>3</v>
      </c>
      <c r="F105">
        <v>251000</v>
      </c>
      <c r="G105">
        <v>2.5499999999999998</v>
      </c>
      <c r="H105">
        <v>10.73</v>
      </c>
      <c r="I105">
        <v>292439</v>
      </c>
      <c r="J105">
        <v>326729</v>
      </c>
      <c r="K105">
        <v>336473</v>
      </c>
      <c r="L105">
        <v>-16.510000000000002</v>
      </c>
      <c r="M105">
        <v>-30.17</v>
      </c>
      <c r="N105">
        <v>-34.049999999999997</v>
      </c>
      <c r="O105">
        <v>6.65</v>
      </c>
      <c r="P105" t="b">
        <v>1</v>
      </c>
      <c r="Q105">
        <v>0</v>
      </c>
      <c r="R105">
        <v>23867</v>
      </c>
      <c r="S105">
        <v>18229</v>
      </c>
      <c r="T105">
        <v>-23.6</v>
      </c>
      <c r="U105" t="s">
        <v>1867</v>
      </c>
      <c r="V105" t="s">
        <v>2731</v>
      </c>
      <c r="W105">
        <v>4.2017435050265783</v>
      </c>
      <c r="X105">
        <v>-42.2</v>
      </c>
      <c r="Y105" t="s">
        <v>3583</v>
      </c>
      <c r="Z105">
        <v>-15.165751589689499</v>
      </c>
      <c r="AA105">
        <v>238587</v>
      </c>
      <c r="AB105">
        <v>286108</v>
      </c>
      <c r="AC105" t="s">
        <v>4386</v>
      </c>
      <c r="AD105">
        <v>31.22</v>
      </c>
      <c r="AE105" t="s">
        <v>5250</v>
      </c>
      <c r="AF105" t="s">
        <v>6107</v>
      </c>
      <c r="AG105">
        <v>380488</v>
      </c>
      <c r="AH105">
        <v>23593</v>
      </c>
      <c r="AI105">
        <v>2532600</v>
      </c>
      <c r="AJ105">
        <v>1.56</v>
      </c>
    </row>
    <row r="106" spans="1:36">
      <c r="A106" s="1" t="s">
        <v>140</v>
      </c>
      <c r="B106" t="s">
        <v>1004</v>
      </c>
      <c r="C106" t="str">
        <f>HYPERLINK("https://finance.naver.com/item/coinfo.nhn?code=010620", "A010620")</f>
        <v>A010620</v>
      </c>
      <c r="D106" t="str">
        <f>HYPERLINK("http://comp.fnguide.com/SVO2/ASP/SVD_Consensus.asp?pGB=1&amp;gicode=A010620&amp;cID=&amp;MenuYn=Y&amp;ReportGB=&amp;NewMenuID=108&amp;stkGb=701", "현대미포조선")</f>
        <v>현대미포조선</v>
      </c>
      <c r="E106">
        <v>3</v>
      </c>
      <c r="F106">
        <v>48350</v>
      </c>
      <c r="G106">
        <v>-0.74</v>
      </c>
      <c r="H106">
        <v>34.54</v>
      </c>
      <c r="I106">
        <v>42103</v>
      </c>
      <c r="J106">
        <v>51731</v>
      </c>
      <c r="K106">
        <v>54468</v>
      </c>
      <c r="L106">
        <v>12.92</v>
      </c>
      <c r="M106">
        <v>-6.99</v>
      </c>
      <c r="N106">
        <v>-12.65</v>
      </c>
      <c r="O106">
        <v>5.75</v>
      </c>
      <c r="P106" t="b">
        <v>0</v>
      </c>
      <c r="Q106">
        <v>1</v>
      </c>
      <c r="R106">
        <v>1333</v>
      </c>
      <c r="S106">
        <v>1655</v>
      </c>
      <c r="T106">
        <v>24.2</v>
      </c>
      <c r="U106" t="s">
        <v>1868</v>
      </c>
      <c r="V106" t="s">
        <v>2732</v>
      </c>
      <c r="W106">
        <v>-46.677539629693648</v>
      </c>
      <c r="X106">
        <v>-11.3</v>
      </c>
      <c r="Y106" t="s">
        <v>3584</v>
      </c>
      <c r="Z106">
        <v>4.3690905003354708</v>
      </c>
      <c r="AA106">
        <v>19312</v>
      </c>
      <c r="AB106">
        <v>350400</v>
      </c>
      <c r="AC106" t="s">
        <v>4387</v>
      </c>
      <c r="AD106">
        <v>42.86</v>
      </c>
      <c r="AE106" t="s">
        <v>5251</v>
      </c>
      <c r="AF106" t="s">
        <v>6108</v>
      </c>
      <c r="AG106">
        <v>29941</v>
      </c>
      <c r="AH106">
        <v>926</v>
      </c>
      <c r="AI106">
        <v>57851</v>
      </c>
      <c r="AJ106">
        <v>0.76</v>
      </c>
    </row>
    <row r="107" spans="1:36">
      <c r="A107" s="1" t="s">
        <v>141</v>
      </c>
      <c r="B107" t="s">
        <v>1005</v>
      </c>
      <c r="C107" t="str">
        <f>HYPERLINK("https://finance.naver.com/item/coinfo.nhn?code=069960", "A069960")</f>
        <v>A069960</v>
      </c>
      <c r="D107" t="str">
        <f>HYPERLINK("http://comp.fnguide.com/SVO2/ASP/SVD_Consensus.asp?pGB=1&amp;gicode=A069960&amp;cID=&amp;MenuYn=Y&amp;ReportGB=&amp;NewMenuID=108&amp;stkGb=701", "현대백화점")</f>
        <v>현대백화점</v>
      </c>
      <c r="E107">
        <v>3</v>
      </c>
      <c r="F107">
        <v>70500</v>
      </c>
      <c r="G107">
        <v>-0.43</v>
      </c>
      <c r="H107">
        <v>10.02</v>
      </c>
      <c r="I107">
        <v>130485</v>
      </c>
      <c r="J107">
        <v>167521</v>
      </c>
      <c r="K107">
        <v>178046</v>
      </c>
      <c r="L107">
        <v>-85.09</v>
      </c>
      <c r="M107">
        <v>-137.62</v>
      </c>
      <c r="N107">
        <v>-152.55000000000001</v>
      </c>
      <c r="O107">
        <v>5.39</v>
      </c>
      <c r="P107" t="b">
        <v>1</v>
      </c>
      <c r="Q107">
        <v>0</v>
      </c>
      <c r="R107">
        <v>8296</v>
      </c>
      <c r="S107">
        <v>4881</v>
      </c>
      <c r="T107">
        <v>-41.2</v>
      </c>
      <c r="U107" t="s">
        <v>1869</v>
      </c>
      <c r="V107" t="s">
        <v>2733</v>
      </c>
      <c r="W107">
        <v>-23.382480766361049</v>
      </c>
      <c r="X107">
        <v>-60.1</v>
      </c>
      <c r="Y107" t="s">
        <v>3585</v>
      </c>
      <c r="Z107">
        <v>-20.304347935487961</v>
      </c>
      <c r="AA107">
        <v>16499</v>
      </c>
      <c r="AB107">
        <v>142672</v>
      </c>
      <c r="AC107" t="s">
        <v>4388</v>
      </c>
      <c r="AD107">
        <v>36.08</v>
      </c>
      <c r="AE107" t="s">
        <v>5252</v>
      </c>
      <c r="AF107" t="s">
        <v>6109</v>
      </c>
      <c r="AG107">
        <v>21989</v>
      </c>
      <c r="AH107">
        <v>2922</v>
      </c>
      <c r="AI107">
        <v>1313255</v>
      </c>
      <c r="AJ107">
        <v>1.2</v>
      </c>
    </row>
    <row r="108" spans="1:36">
      <c r="A108" s="1" t="s">
        <v>142</v>
      </c>
      <c r="B108" t="s">
        <v>1006</v>
      </c>
      <c r="C108" t="str">
        <f>HYPERLINK("https://finance.naver.com/item/coinfo.nhn?code=004560", "A004560")</f>
        <v>A004560</v>
      </c>
      <c r="D108" t="str">
        <f>HYPERLINK("http://comp.fnguide.com/SVO2/ASP/SVD_Consensus.asp?pGB=1&amp;gicode=A004560&amp;cID=&amp;MenuYn=Y&amp;ReportGB=&amp;NewMenuID=108&amp;stkGb=701", "현대비앤지스틸")</f>
        <v>현대비앤지스틸</v>
      </c>
      <c r="E108">
        <v>3</v>
      </c>
      <c r="F108">
        <v>9500</v>
      </c>
      <c r="G108">
        <v>0</v>
      </c>
      <c r="H108">
        <v>6.28</v>
      </c>
      <c r="I108">
        <v>18289</v>
      </c>
      <c r="J108">
        <v>23365</v>
      </c>
      <c r="K108">
        <v>24808</v>
      </c>
      <c r="L108">
        <v>-92.51</v>
      </c>
      <c r="M108">
        <v>-145.94999999999999</v>
      </c>
      <c r="N108">
        <v>-161.13999999999999</v>
      </c>
      <c r="O108">
        <v>5.43</v>
      </c>
      <c r="P108" t="b">
        <v>1</v>
      </c>
      <c r="Q108">
        <v>0</v>
      </c>
      <c r="R108">
        <v>1434</v>
      </c>
      <c r="U108" t="s">
        <v>1870</v>
      </c>
      <c r="V108" t="s">
        <v>2734</v>
      </c>
      <c r="W108">
        <v>0</v>
      </c>
      <c r="X108">
        <v>-23.1</v>
      </c>
      <c r="Y108" t="s">
        <v>3586</v>
      </c>
      <c r="Z108">
        <v>34.497470234759398</v>
      </c>
      <c r="AA108">
        <v>1432</v>
      </c>
      <c r="AB108">
        <v>53177</v>
      </c>
      <c r="AC108" t="s">
        <v>4389</v>
      </c>
      <c r="AD108">
        <v>46.1</v>
      </c>
      <c r="AE108" t="s">
        <v>5253</v>
      </c>
      <c r="AF108" t="s">
        <v>6110</v>
      </c>
      <c r="AG108">
        <v>7333</v>
      </c>
      <c r="AH108">
        <v>365</v>
      </c>
      <c r="AJ108">
        <v>1.1100000000000001</v>
      </c>
    </row>
    <row r="109" spans="1:36">
      <c r="A109" s="1" t="s">
        <v>143</v>
      </c>
      <c r="B109" t="s">
        <v>1007</v>
      </c>
      <c r="C109" t="str">
        <f>HYPERLINK("https://finance.naver.com/item/coinfo.nhn?code=011760", "A011760")</f>
        <v>A011760</v>
      </c>
      <c r="D109" t="str">
        <f>HYPERLINK("http://comp.fnguide.com/SVO2/ASP/SVD_Consensus.asp?pGB=1&amp;gicode=A011760&amp;cID=&amp;MenuYn=Y&amp;ReportGB=&amp;NewMenuID=108&amp;stkGb=701", "현대상사")</f>
        <v>현대상사</v>
      </c>
      <c r="E109">
        <v>3</v>
      </c>
      <c r="F109">
        <v>16200</v>
      </c>
      <c r="G109">
        <v>1.29</v>
      </c>
      <c r="H109">
        <v>14.48</v>
      </c>
      <c r="I109">
        <v>12786</v>
      </c>
      <c r="J109">
        <v>22140</v>
      </c>
      <c r="K109">
        <v>24798</v>
      </c>
      <c r="L109">
        <v>21.07</v>
      </c>
      <c r="M109">
        <v>-36.67</v>
      </c>
      <c r="N109">
        <v>-53.08</v>
      </c>
      <c r="O109">
        <v>3.58</v>
      </c>
      <c r="P109" t="b">
        <v>1</v>
      </c>
      <c r="Q109">
        <v>2</v>
      </c>
      <c r="R109">
        <v>1236</v>
      </c>
      <c r="S109">
        <v>2598</v>
      </c>
      <c r="T109">
        <v>110.2</v>
      </c>
      <c r="U109" t="s">
        <v>1871</v>
      </c>
      <c r="V109" t="s">
        <v>2735</v>
      </c>
      <c r="W109">
        <v>11.25728635692111</v>
      </c>
      <c r="X109">
        <v>50.2</v>
      </c>
      <c r="Y109" t="s">
        <v>3587</v>
      </c>
      <c r="Z109">
        <v>-27.150758618929931</v>
      </c>
      <c r="AA109">
        <v>2143</v>
      </c>
      <c r="AB109">
        <v>118854</v>
      </c>
      <c r="AC109" t="s">
        <v>4390</v>
      </c>
      <c r="AD109">
        <v>24.96</v>
      </c>
      <c r="AE109" t="s">
        <v>5254</v>
      </c>
      <c r="AF109" t="s">
        <v>6111</v>
      </c>
      <c r="AG109">
        <v>42634</v>
      </c>
      <c r="AH109">
        <v>435</v>
      </c>
      <c r="AI109">
        <v>1218000</v>
      </c>
      <c r="AJ109">
        <v>3.35</v>
      </c>
    </row>
    <row r="110" spans="1:36">
      <c r="A110" s="1" t="s">
        <v>144</v>
      </c>
      <c r="B110" t="s">
        <v>1008</v>
      </c>
      <c r="C110" t="str">
        <f>HYPERLINK("https://finance.naver.com/item/coinfo.nhn?code=011210", "A011210")</f>
        <v>A011210</v>
      </c>
      <c r="D110" t="str">
        <f>HYPERLINK("http://comp.fnguide.com/SVO2/ASP/SVD_Consensus.asp?pGB=1&amp;gicode=A011210&amp;cID=&amp;MenuYn=Y&amp;ReportGB=&amp;NewMenuID=108&amp;stkGb=701", "현대위아")</f>
        <v>현대위아</v>
      </c>
      <c r="E110">
        <v>3</v>
      </c>
      <c r="F110">
        <v>47700</v>
      </c>
      <c r="G110">
        <v>0</v>
      </c>
      <c r="H110">
        <v>24.73</v>
      </c>
      <c r="I110">
        <v>13194</v>
      </c>
      <c r="J110">
        <v>75291</v>
      </c>
      <c r="K110">
        <v>92937</v>
      </c>
      <c r="L110">
        <v>72.34</v>
      </c>
      <c r="M110">
        <v>-57.84</v>
      </c>
      <c r="N110">
        <v>-94.84</v>
      </c>
      <c r="O110">
        <v>0.9</v>
      </c>
      <c r="P110" t="b">
        <v>0</v>
      </c>
      <c r="Q110">
        <v>3</v>
      </c>
      <c r="R110">
        <v>2030</v>
      </c>
      <c r="S110">
        <v>4606</v>
      </c>
      <c r="T110">
        <v>126.9</v>
      </c>
      <c r="U110" t="s">
        <v>1872</v>
      </c>
      <c r="V110" t="s">
        <v>2736</v>
      </c>
      <c r="W110">
        <v>0</v>
      </c>
      <c r="X110">
        <v>176.5</v>
      </c>
      <c r="Y110" t="s">
        <v>3588</v>
      </c>
      <c r="Z110">
        <v>5.1665346010792534</v>
      </c>
      <c r="AA110">
        <v>12972</v>
      </c>
      <c r="AB110">
        <v>154810</v>
      </c>
      <c r="AC110" t="s">
        <v>4391</v>
      </c>
      <c r="AD110">
        <v>40.75</v>
      </c>
      <c r="AE110" t="s">
        <v>5255</v>
      </c>
      <c r="AF110" t="s">
        <v>6112</v>
      </c>
      <c r="AG110">
        <v>73146</v>
      </c>
      <c r="AH110">
        <v>1019</v>
      </c>
      <c r="AI110">
        <v>633354</v>
      </c>
      <c r="AJ110">
        <v>1.39</v>
      </c>
    </row>
    <row r="111" spans="1:36">
      <c r="A111" s="1" t="s">
        <v>145</v>
      </c>
      <c r="B111" t="s">
        <v>1009</v>
      </c>
      <c r="C111" t="str">
        <f>HYPERLINK("https://finance.naver.com/item/coinfo.nhn?code=004020", "A004020")</f>
        <v>A004020</v>
      </c>
      <c r="D111" t="str">
        <f>HYPERLINK("http://comp.fnguide.com/SVO2/ASP/SVD_Consensus.asp?pGB=1&amp;gicode=A004020&amp;cID=&amp;MenuYn=Y&amp;ReportGB=&amp;NewMenuID=108&amp;stkGb=701", "현대제철")</f>
        <v>현대제철</v>
      </c>
      <c r="E111">
        <v>3</v>
      </c>
      <c r="F111">
        <v>38300</v>
      </c>
      <c r="G111">
        <v>0</v>
      </c>
      <c r="H111">
        <v>245.36</v>
      </c>
      <c r="I111">
        <v>25428</v>
      </c>
      <c r="J111">
        <v>87420</v>
      </c>
      <c r="K111">
        <v>105036</v>
      </c>
      <c r="L111">
        <v>33.61</v>
      </c>
      <c r="M111">
        <v>-128.25</v>
      </c>
      <c r="N111">
        <v>-174.25</v>
      </c>
      <c r="O111">
        <v>1.57</v>
      </c>
      <c r="P111" t="b">
        <v>0</v>
      </c>
      <c r="Q111">
        <v>0</v>
      </c>
      <c r="R111">
        <v>128</v>
      </c>
      <c r="S111">
        <v>-1121</v>
      </c>
      <c r="T111">
        <v>-975.8</v>
      </c>
      <c r="U111" t="s">
        <v>1873</v>
      </c>
      <c r="V111" t="s">
        <v>2737</v>
      </c>
      <c r="W111">
        <v>0</v>
      </c>
      <c r="X111">
        <v>0</v>
      </c>
      <c r="Y111" t="s">
        <v>3589</v>
      </c>
      <c r="Z111">
        <v>-61.530513269816844</v>
      </c>
      <c r="AA111">
        <v>51110</v>
      </c>
      <c r="AB111">
        <v>954349</v>
      </c>
      <c r="AC111" t="s">
        <v>4392</v>
      </c>
      <c r="AD111">
        <v>35.97</v>
      </c>
      <c r="AE111" t="s">
        <v>5256</v>
      </c>
      <c r="AF111" t="s">
        <v>6113</v>
      </c>
      <c r="AG111">
        <v>205126</v>
      </c>
      <c r="AH111">
        <v>3313</v>
      </c>
      <c r="AI111">
        <v>1900046</v>
      </c>
      <c r="AJ111">
        <v>2.38</v>
      </c>
    </row>
    <row r="112" spans="1:36">
      <c r="A112" s="1" t="s">
        <v>146</v>
      </c>
      <c r="B112" t="s">
        <v>1010</v>
      </c>
      <c r="C112" t="str">
        <f>HYPERLINK("https://finance.naver.com/item/coinfo.nhn?code=267250", "A267250")</f>
        <v>A267250</v>
      </c>
      <c r="D112" t="str">
        <f>HYPERLINK("http://comp.fnguide.com/SVO2/ASP/SVD_Consensus.asp?pGB=1&amp;gicode=A267250&amp;cID=&amp;MenuYn=Y&amp;ReportGB=&amp;NewMenuID=108&amp;stkGb=701", "현대중공업지주")</f>
        <v>현대중공업지주</v>
      </c>
      <c r="E112">
        <v>3</v>
      </c>
      <c r="F112">
        <v>313500</v>
      </c>
      <c r="G112">
        <v>0</v>
      </c>
      <c r="H112">
        <v>31.78</v>
      </c>
      <c r="I112">
        <v>162136</v>
      </c>
      <c r="J112">
        <v>404803</v>
      </c>
      <c r="K112">
        <v>473765</v>
      </c>
      <c r="L112">
        <v>48.28</v>
      </c>
      <c r="M112">
        <v>-29.12</v>
      </c>
      <c r="N112">
        <v>-51.12</v>
      </c>
      <c r="O112">
        <v>2.2799999999999998</v>
      </c>
      <c r="P112" t="b">
        <v>1</v>
      </c>
      <c r="Q112">
        <v>0</v>
      </c>
      <c r="R112">
        <v>10636</v>
      </c>
      <c r="S112">
        <v>-12383</v>
      </c>
      <c r="T112">
        <v>-216.4</v>
      </c>
      <c r="U112" t="s">
        <v>1874</v>
      </c>
      <c r="V112" t="s">
        <v>2738</v>
      </c>
      <c r="W112">
        <v>0</v>
      </c>
      <c r="X112">
        <v>0</v>
      </c>
      <c r="Y112" t="s">
        <v>3590</v>
      </c>
      <c r="Z112">
        <v>0</v>
      </c>
      <c r="AA112">
        <v>49529</v>
      </c>
      <c r="AB112">
        <v>61431</v>
      </c>
      <c r="AC112" t="s">
        <v>4393</v>
      </c>
      <c r="AD112">
        <v>34.340000000000003</v>
      </c>
      <c r="AE112" t="s">
        <v>5257</v>
      </c>
      <c r="AF112" t="s">
        <v>6114</v>
      </c>
      <c r="AG112">
        <v>266303</v>
      </c>
      <c r="AH112">
        <v>6666</v>
      </c>
      <c r="AI112">
        <v>1664931</v>
      </c>
      <c r="AJ112">
        <v>5.47</v>
      </c>
    </row>
    <row r="113" spans="1:36">
      <c r="A113" s="1" t="s">
        <v>147</v>
      </c>
      <c r="B113" t="s">
        <v>1011</v>
      </c>
      <c r="C113" t="str">
        <f>HYPERLINK("https://finance.naver.com/item/coinfo.nhn?code=005380", "A005380")</f>
        <v>A005380</v>
      </c>
      <c r="D113" t="str">
        <f>HYPERLINK("http://comp.fnguide.com/SVO2/ASP/SVD_Consensus.asp?pGB=1&amp;gicode=A005380&amp;cID=&amp;MenuYn=Y&amp;ReportGB=&amp;NewMenuID=108&amp;stkGb=701", "현대차")</f>
        <v>현대차</v>
      </c>
      <c r="E113">
        <v>3</v>
      </c>
      <c r="F113">
        <v>187000</v>
      </c>
      <c r="G113">
        <v>-0.5</v>
      </c>
      <c r="H113">
        <v>11.2</v>
      </c>
      <c r="I113">
        <v>170701</v>
      </c>
      <c r="J113">
        <v>278172</v>
      </c>
      <c r="K113">
        <v>308713</v>
      </c>
      <c r="L113">
        <v>8.7200000000000006</v>
      </c>
      <c r="M113">
        <v>-48.76</v>
      </c>
      <c r="N113">
        <v>-65.09</v>
      </c>
      <c r="O113">
        <v>3.88</v>
      </c>
      <c r="P113" t="b">
        <v>1</v>
      </c>
      <c r="Q113">
        <v>0</v>
      </c>
      <c r="R113">
        <v>10761</v>
      </c>
      <c r="S113">
        <v>6544</v>
      </c>
      <c r="T113">
        <v>-39.200000000000003</v>
      </c>
      <c r="U113" t="s">
        <v>1875</v>
      </c>
      <c r="V113" t="s">
        <v>2739</v>
      </c>
      <c r="W113">
        <v>-22.615920676242439</v>
      </c>
      <c r="X113">
        <v>-83.7</v>
      </c>
      <c r="Y113" t="s">
        <v>3591</v>
      </c>
      <c r="Z113">
        <v>-39.957611425461657</v>
      </c>
      <c r="AA113">
        <v>399560</v>
      </c>
      <c r="AB113">
        <v>1061140</v>
      </c>
      <c r="AC113" t="s">
        <v>4394</v>
      </c>
      <c r="AD113">
        <v>29.38</v>
      </c>
      <c r="AE113" t="s">
        <v>5258</v>
      </c>
      <c r="AF113" t="s">
        <v>6115</v>
      </c>
      <c r="AG113">
        <v>1057464</v>
      </c>
      <c r="AH113">
        <v>36055</v>
      </c>
      <c r="AI113">
        <v>13091418</v>
      </c>
      <c r="AJ113">
        <v>3.32</v>
      </c>
    </row>
    <row r="114" spans="1:36">
      <c r="A114" s="1" t="s">
        <v>148</v>
      </c>
      <c r="B114" t="s">
        <v>1012</v>
      </c>
      <c r="C114" t="str">
        <f>HYPERLINK("https://finance.naver.com/item/coinfo.nhn?code=001500", "A001500")</f>
        <v>A001500</v>
      </c>
      <c r="D114" t="str">
        <f>HYPERLINK("http://comp.fnguide.com/SVO2/ASP/SVD_Consensus.asp?pGB=1&amp;gicode=A001500&amp;cID=&amp;MenuYn=Y&amp;ReportGB=&amp;NewMenuID=108&amp;stkGb=701", "현대차증권")</f>
        <v>현대차증권</v>
      </c>
      <c r="E114">
        <v>3</v>
      </c>
      <c r="F114">
        <v>13450</v>
      </c>
      <c r="G114">
        <v>0</v>
      </c>
      <c r="H114">
        <v>4.32</v>
      </c>
      <c r="I114">
        <v>29691</v>
      </c>
      <c r="J114">
        <v>32114</v>
      </c>
      <c r="K114">
        <v>32803</v>
      </c>
      <c r="L114">
        <v>-120.75</v>
      </c>
      <c r="M114">
        <v>-138.77000000000001</v>
      </c>
      <c r="N114">
        <v>-143.88999999999999</v>
      </c>
      <c r="O114">
        <v>6.99</v>
      </c>
      <c r="P114" t="b">
        <v>1</v>
      </c>
      <c r="Q114">
        <v>0</v>
      </c>
      <c r="R114">
        <v>2324</v>
      </c>
      <c r="U114" t="s">
        <v>1876</v>
      </c>
      <c r="V114" t="s">
        <v>2740</v>
      </c>
      <c r="W114">
        <v>0</v>
      </c>
      <c r="X114">
        <v>12.1</v>
      </c>
      <c r="Y114" t="s">
        <v>3592</v>
      </c>
      <c r="Z114">
        <v>7.431789347185247</v>
      </c>
      <c r="AA114">
        <v>3946</v>
      </c>
      <c r="AB114">
        <v>261968</v>
      </c>
      <c r="AC114" t="s">
        <v>4395</v>
      </c>
      <c r="AD114">
        <v>49.46</v>
      </c>
      <c r="AE114" t="s">
        <v>5259</v>
      </c>
      <c r="AF114" t="s">
        <v>6116</v>
      </c>
      <c r="AG114">
        <v>2529</v>
      </c>
      <c r="AH114">
        <v>984</v>
      </c>
      <c r="AJ114">
        <v>5.97</v>
      </c>
    </row>
    <row r="115" spans="1:36">
      <c r="A115" s="1" t="s">
        <v>149</v>
      </c>
      <c r="B115" t="s">
        <v>1013</v>
      </c>
      <c r="C115" t="str">
        <f>HYPERLINK("https://finance.naver.com/item/coinfo.nhn?code=006840", "A006840")</f>
        <v>A006840</v>
      </c>
      <c r="D115" t="str">
        <f>HYPERLINK("http://comp.fnguide.com/SVO2/ASP/SVD_Consensus.asp?pGB=1&amp;gicode=A006840&amp;cID=&amp;MenuYn=Y&amp;ReportGB=&amp;NewMenuID=108&amp;stkGb=701", "AK홀딩스")</f>
        <v>AK홀딩스</v>
      </c>
      <c r="E115">
        <v>3</v>
      </c>
      <c r="F115">
        <v>25200</v>
      </c>
      <c r="G115">
        <v>0</v>
      </c>
      <c r="H115">
        <v>16.21</v>
      </c>
      <c r="I115">
        <v>70365</v>
      </c>
      <c r="J115">
        <v>66184</v>
      </c>
      <c r="K115">
        <v>64996</v>
      </c>
      <c r="L115">
        <v>-179.23</v>
      </c>
      <c r="M115">
        <v>-162.63999999999999</v>
      </c>
      <c r="N115">
        <v>-157.91999999999999</v>
      </c>
      <c r="O115">
        <v>8.81</v>
      </c>
      <c r="P115" t="b">
        <v>0</v>
      </c>
      <c r="Q115">
        <v>0</v>
      </c>
      <c r="R115">
        <v>2135</v>
      </c>
      <c r="U115" t="s">
        <v>1877</v>
      </c>
      <c r="V115" t="s">
        <v>2741</v>
      </c>
      <c r="W115">
        <v>0</v>
      </c>
      <c r="X115">
        <v>0</v>
      </c>
      <c r="Y115" t="s">
        <v>3593</v>
      </c>
      <c r="Z115">
        <v>-26.810870854985499</v>
      </c>
      <c r="AA115">
        <v>3338</v>
      </c>
      <c r="AB115">
        <v>112401</v>
      </c>
      <c r="AC115" t="s">
        <v>4396</v>
      </c>
      <c r="AD115">
        <v>64.930000000000007</v>
      </c>
      <c r="AE115" t="s">
        <v>5260</v>
      </c>
      <c r="AF115" t="s">
        <v>6117</v>
      </c>
      <c r="AG115">
        <v>37595</v>
      </c>
      <c r="AH115">
        <v>1313</v>
      </c>
      <c r="AI115">
        <v>202066</v>
      </c>
      <c r="AJ115">
        <v>2.17</v>
      </c>
    </row>
    <row r="116" spans="1:36">
      <c r="A116" s="1" t="s">
        <v>150</v>
      </c>
      <c r="B116" t="s">
        <v>1014</v>
      </c>
      <c r="C116" t="str">
        <f>HYPERLINK("https://finance.naver.com/item/coinfo.nhn?code=126560", "A126560")</f>
        <v>A126560</v>
      </c>
      <c r="D116" t="str">
        <f>HYPERLINK("http://comp.fnguide.com/SVO2/ASP/SVD_Consensus.asp?pGB=1&amp;gicode=A126560&amp;cID=&amp;MenuYn=Y&amp;ReportGB=&amp;NewMenuID=108&amp;stkGb=701", "현대퓨처넷")</f>
        <v>현대퓨처넷</v>
      </c>
      <c r="E116">
        <v>3</v>
      </c>
      <c r="F116">
        <v>4010</v>
      </c>
      <c r="G116">
        <v>0</v>
      </c>
      <c r="H116">
        <v>10.18</v>
      </c>
      <c r="I116">
        <v>4779</v>
      </c>
      <c r="J116">
        <v>5954</v>
      </c>
      <c r="K116">
        <v>6288</v>
      </c>
      <c r="L116">
        <v>-19.170000000000002</v>
      </c>
      <c r="M116">
        <v>-48.47</v>
      </c>
      <c r="N116">
        <v>-56.8</v>
      </c>
      <c r="O116">
        <v>5.64</v>
      </c>
      <c r="P116" t="b">
        <v>1</v>
      </c>
      <c r="Q116">
        <v>0</v>
      </c>
      <c r="R116">
        <v>335</v>
      </c>
      <c r="U116" t="s">
        <v>1878</v>
      </c>
      <c r="V116" t="s">
        <v>2742</v>
      </c>
      <c r="W116">
        <v>0</v>
      </c>
      <c r="X116">
        <v>-14.8</v>
      </c>
      <c r="Y116" t="s">
        <v>3594</v>
      </c>
      <c r="Z116">
        <v>-3.6020395943558552</v>
      </c>
      <c r="AA116">
        <v>4526</v>
      </c>
      <c r="AB116">
        <v>11730922</v>
      </c>
      <c r="AC116" t="s">
        <v>4397</v>
      </c>
      <c r="AD116">
        <v>66.209999999999994</v>
      </c>
      <c r="AE116" t="s">
        <v>5261</v>
      </c>
      <c r="AF116" t="s">
        <v>6118</v>
      </c>
      <c r="AG116">
        <v>2929</v>
      </c>
      <c r="AH116">
        <v>408</v>
      </c>
      <c r="AI116">
        <v>2723241</v>
      </c>
      <c r="AJ116">
        <v>1.76</v>
      </c>
    </row>
    <row r="117" spans="1:36">
      <c r="A117" s="1" t="s">
        <v>151</v>
      </c>
      <c r="B117" t="s">
        <v>1015</v>
      </c>
      <c r="C117" t="str">
        <f>HYPERLINK("https://finance.naver.com/item/coinfo.nhn?code=001450", "A001450")</f>
        <v>A001450</v>
      </c>
      <c r="D117" t="str">
        <f>HYPERLINK("http://comp.fnguide.com/SVO2/ASP/SVD_Consensus.asp?pGB=1&amp;gicode=A001450&amp;cID=&amp;MenuYn=Y&amp;ReportGB=&amp;NewMenuID=108&amp;stkGb=701", "현대해상")</f>
        <v>현대해상</v>
      </c>
      <c r="E117">
        <v>3</v>
      </c>
      <c r="F117">
        <v>23450</v>
      </c>
      <c r="G117">
        <v>-2.16</v>
      </c>
      <c r="H117">
        <v>8.9499999999999993</v>
      </c>
      <c r="I117">
        <v>65522</v>
      </c>
      <c r="J117">
        <v>60272</v>
      </c>
      <c r="K117">
        <v>58780</v>
      </c>
      <c r="L117">
        <v>-179.41</v>
      </c>
      <c r="M117">
        <v>-157.02000000000001</v>
      </c>
      <c r="N117">
        <v>-150.66</v>
      </c>
      <c r="O117">
        <v>9.16</v>
      </c>
      <c r="P117" t="b">
        <v>1</v>
      </c>
      <c r="Q117">
        <v>1</v>
      </c>
      <c r="R117">
        <v>3011</v>
      </c>
      <c r="S117">
        <v>4575</v>
      </c>
      <c r="T117">
        <v>51.9</v>
      </c>
      <c r="U117" t="s">
        <v>1879</v>
      </c>
      <c r="V117" t="s">
        <v>2743</v>
      </c>
      <c r="W117">
        <v>-4.1520057488108613</v>
      </c>
      <c r="X117">
        <v>9.5</v>
      </c>
      <c r="Y117" t="s">
        <v>3595</v>
      </c>
      <c r="Z117">
        <v>11.321809733902359</v>
      </c>
      <c r="AA117">
        <v>20964</v>
      </c>
      <c r="AB117">
        <v>388174</v>
      </c>
      <c r="AC117" t="s">
        <v>4398</v>
      </c>
      <c r="AD117">
        <v>22.53</v>
      </c>
      <c r="AE117" t="s">
        <v>5262</v>
      </c>
      <c r="AF117" t="s">
        <v>6119</v>
      </c>
      <c r="AG117">
        <v>134844</v>
      </c>
      <c r="AH117">
        <v>3953</v>
      </c>
      <c r="AI117">
        <v>9985500</v>
      </c>
      <c r="AJ117">
        <v>3.27</v>
      </c>
    </row>
    <row r="118" spans="1:36">
      <c r="A118" s="1" t="s">
        <v>152</v>
      </c>
      <c r="B118" t="s">
        <v>1016</v>
      </c>
      <c r="C118" t="str">
        <f>HYPERLINK("https://finance.naver.com/item/coinfo.nhn?code=057050", "A057050")</f>
        <v>A057050</v>
      </c>
      <c r="D118" t="str">
        <f>HYPERLINK("http://comp.fnguide.com/SVO2/ASP/SVD_Consensus.asp?pGB=1&amp;gicode=A057050&amp;cID=&amp;MenuYn=Y&amp;ReportGB=&amp;NewMenuID=108&amp;stkGb=701", "현대홈쇼핑")</f>
        <v>현대홈쇼핑</v>
      </c>
      <c r="E118">
        <v>3</v>
      </c>
      <c r="F118">
        <v>83600</v>
      </c>
      <c r="G118">
        <v>1.85</v>
      </c>
      <c r="H118">
        <v>11.24</v>
      </c>
      <c r="I118">
        <v>139371</v>
      </c>
      <c r="J118">
        <v>146535</v>
      </c>
      <c r="K118">
        <v>148571</v>
      </c>
      <c r="L118">
        <v>-66.709999999999994</v>
      </c>
      <c r="M118">
        <v>-75.28</v>
      </c>
      <c r="N118">
        <v>-77.72</v>
      </c>
      <c r="O118">
        <v>7.32</v>
      </c>
      <c r="P118" t="b">
        <v>1</v>
      </c>
      <c r="Q118">
        <v>1</v>
      </c>
      <c r="R118">
        <v>7162</v>
      </c>
      <c r="S118">
        <v>12179</v>
      </c>
      <c r="T118">
        <v>70.099999999999994</v>
      </c>
      <c r="U118" t="s">
        <v>1880</v>
      </c>
      <c r="V118" t="s">
        <v>2744</v>
      </c>
      <c r="W118">
        <v>6.0793804349473568</v>
      </c>
      <c r="X118">
        <v>3.7</v>
      </c>
      <c r="Y118" t="s">
        <v>3596</v>
      </c>
      <c r="Z118">
        <v>-4.3165368664924486</v>
      </c>
      <c r="AA118">
        <v>10032</v>
      </c>
      <c r="AB118">
        <v>22911</v>
      </c>
      <c r="AC118" t="s">
        <v>4399</v>
      </c>
      <c r="AD118">
        <v>40.82</v>
      </c>
      <c r="AE118" t="s">
        <v>5263</v>
      </c>
      <c r="AF118" t="s">
        <v>6120</v>
      </c>
      <c r="AG118">
        <v>22070</v>
      </c>
      <c r="AH118">
        <v>1297</v>
      </c>
      <c r="AI118">
        <v>552250</v>
      </c>
      <c r="AJ118">
        <v>2.48</v>
      </c>
    </row>
    <row r="119" spans="1:36">
      <c r="A119" s="1" t="s">
        <v>153</v>
      </c>
      <c r="B119" t="s">
        <v>1017</v>
      </c>
      <c r="C119" t="str">
        <f>HYPERLINK("https://finance.naver.com/item/coinfo.nhn?code=003010", "A003010")</f>
        <v>A003010</v>
      </c>
      <c r="D119" t="str">
        <f>HYPERLINK("http://comp.fnguide.com/SVO2/ASP/SVD_Consensus.asp?pGB=1&amp;gicode=A003010&amp;cID=&amp;MenuYn=Y&amp;ReportGB=&amp;NewMenuID=108&amp;stkGb=701", "혜인")</f>
        <v>혜인</v>
      </c>
      <c r="E119">
        <v>3</v>
      </c>
      <c r="F119">
        <v>5160</v>
      </c>
      <c r="G119">
        <v>0</v>
      </c>
      <c r="H119">
        <v>11.83</v>
      </c>
      <c r="I119">
        <v>3180</v>
      </c>
      <c r="J119">
        <v>7094</v>
      </c>
      <c r="K119">
        <v>8206</v>
      </c>
      <c r="L119">
        <v>38.380000000000003</v>
      </c>
      <c r="M119">
        <v>-37.479999999999997</v>
      </c>
      <c r="N119">
        <v>-59.04</v>
      </c>
      <c r="O119">
        <v>2.61</v>
      </c>
      <c r="P119" t="b">
        <v>1</v>
      </c>
      <c r="Q119">
        <v>0</v>
      </c>
      <c r="R119">
        <v>365</v>
      </c>
      <c r="U119" t="s">
        <v>1881</v>
      </c>
      <c r="V119" t="s">
        <v>2745</v>
      </c>
      <c r="W119">
        <v>0</v>
      </c>
      <c r="X119">
        <v>-58.7</v>
      </c>
      <c r="Y119" t="s">
        <v>3597</v>
      </c>
      <c r="Z119">
        <v>-6.4286368593467591</v>
      </c>
      <c r="AA119">
        <v>656</v>
      </c>
      <c r="AB119">
        <v>88791</v>
      </c>
      <c r="AC119" t="s">
        <v>4400</v>
      </c>
      <c r="AD119">
        <v>24.74</v>
      </c>
      <c r="AE119" t="s">
        <v>5264</v>
      </c>
      <c r="AF119" t="s">
        <v>6121</v>
      </c>
      <c r="AG119">
        <v>2609</v>
      </c>
      <c r="AH119">
        <v>118</v>
      </c>
      <c r="AI119">
        <v>1964424</v>
      </c>
      <c r="AJ119">
        <v>1.39</v>
      </c>
    </row>
    <row r="120" spans="1:36">
      <c r="A120" s="1" t="s">
        <v>154</v>
      </c>
      <c r="B120" t="s">
        <v>1018</v>
      </c>
      <c r="C120" t="str">
        <f>HYPERLINK("https://finance.naver.com/item/coinfo.nhn?code=111110", "A111110")</f>
        <v>A111110</v>
      </c>
      <c r="D120" t="str">
        <f>HYPERLINK("http://comp.fnguide.com/SVO2/ASP/SVD_Consensus.asp?pGB=1&amp;gicode=A111110&amp;cID=&amp;MenuYn=Y&amp;ReportGB=&amp;NewMenuID=108&amp;stkGb=701", "호전실업")</f>
        <v>호전실업</v>
      </c>
      <c r="E120">
        <v>3</v>
      </c>
      <c r="F120">
        <v>9260</v>
      </c>
      <c r="G120">
        <v>0</v>
      </c>
      <c r="H120">
        <v>44.41</v>
      </c>
      <c r="I120">
        <v>6533</v>
      </c>
      <c r="J120">
        <v>12546</v>
      </c>
      <c r="K120">
        <v>14255</v>
      </c>
      <c r="L120">
        <v>29.45</v>
      </c>
      <c r="M120">
        <v>-35.49</v>
      </c>
      <c r="N120">
        <v>-53.95</v>
      </c>
      <c r="O120">
        <v>3.14</v>
      </c>
      <c r="P120" t="b">
        <v>1</v>
      </c>
      <c r="Q120">
        <v>0</v>
      </c>
      <c r="R120">
        <v>327</v>
      </c>
      <c r="S120">
        <v>-671</v>
      </c>
      <c r="T120">
        <v>-305.2</v>
      </c>
      <c r="U120" t="s">
        <v>1882</v>
      </c>
      <c r="V120" t="s">
        <v>2746</v>
      </c>
      <c r="W120">
        <v>0</v>
      </c>
      <c r="X120">
        <v>0</v>
      </c>
      <c r="Y120" t="s">
        <v>3598</v>
      </c>
      <c r="Z120">
        <v>-47.607889785393951</v>
      </c>
      <c r="AA120">
        <v>741</v>
      </c>
      <c r="AB120">
        <v>33821</v>
      </c>
      <c r="AC120" t="s">
        <v>4401</v>
      </c>
      <c r="AD120">
        <v>51.06</v>
      </c>
      <c r="AE120" t="s">
        <v>5265</v>
      </c>
      <c r="AF120" t="s">
        <v>6122</v>
      </c>
      <c r="AG120">
        <v>3098</v>
      </c>
      <c r="AH120">
        <v>193</v>
      </c>
      <c r="AI120">
        <v>497472</v>
      </c>
      <c r="AJ120">
        <v>1.72</v>
      </c>
    </row>
    <row r="121" spans="1:36">
      <c r="A121" s="1" t="s">
        <v>155</v>
      </c>
      <c r="B121" t="s">
        <v>1019</v>
      </c>
      <c r="C121" t="str">
        <f>HYPERLINK("https://finance.naver.com/item/coinfo.nhn?code=002460", "A002460")</f>
        <v>A002460</v>
      </c>
      <c r="D121" t="str">
        <f>HYPERLINK("http://comp.fnguide.com/SVO2/ASP/SVD_Consensus.asp?pGB=1&amp;gicode=A002460&amp;cID=&amp;MenuYn=Y&amp;ReportGB=&amp;NewMenuID=108&amp;stkGb=701", "화성산업")</f>
        <v>화성산업</v>
      </c>
      <c r="E121">
        <v>3</v>
      </c>
      <c r="F121">
        <v>13000</v>
      </c>
      <c r="G121">
        <v>0</v>
      </c>
      <c r="H121">
        <v>18.899999999999999</v>
      </c>
      <c r="I121">
        <v>30160</v>
      </c>
      <c r="J121">
        <v>30446</v>
      </c>
      <c r="K121">
        <v>30527</v>
      </c>
      <c r="L121">
        <v>-132</v>
      </c>
      <c r="M121">
        <v>-134.19999999999999</v>
      </c>
      <c r="N121">
        <v>-134.82</v>
      </c>
      <c r="O121">
        <v>7.82</v>
      </c>
      <c r="P121" t="b">
        <v>0</v>
      </c>
      <c r="Q121">
        <v>0</v>
      </c>
      <c r="R121">
        <v>616</v>
      </c>
      <c r="U121" t="s">
        <v>1883</v>
      </c>
      <c r="V121" t="s">
        <v>2747</v>
      </c>
      <c r="W121">
        <v>0</v>
      </c>
      <c r="X121">
        <v>0</v>
      </c>
      <c r="Y121" t="s">
        <v>3599</v>
      </c>
      <c r="Z121">
        <v>-25.010282716091741</v>
      </c>
      <c r="AA121">
        <v>1619</v>
      </c>
      <c r="AB121">
        <v>137172</v>
      </c>
      <c r="AC121" t="s">
        <v>4402</v>
      </c>
      <c r="AD121">
        <v>41.41</v>
      </c>
      <c r="AE121" t="s">
        <v>5266</v>
      </c>
      <c r="AF121" t="s">
        <v>6123</v>
      </c>
      <c r="AG121">
        <v>4514</v>
      </c>
      <c r="AH121">
        <v>296</v>
      </c>
      <c r="AI121">
        <v>340638</v>
      </c>
      <c r="AJ121">
        <v>4.29</v>
      </c>
    </row>
    <row r="122" spans="1:36">
      <c r="A122" s="1" t="s">
        <v>156</v>
      </c>
      <c r="B122" t="s">
        <v>1020</v>
      </c>
      <c r="C122" t="str">
        <f>HYPERLINK("https://finance.naver.com/item/coinfo.nhn?code=013520", "A013520")</f>
        <v>A013520</v>
      </c>
      <c r="D122" t="str">
        <f>HYPERLINK("http://comp.fnguide.com/SVO2/ASP/SVD_Consensus.asp?pGB=1&amp;gicode=A013520&amp;cID=&amp;MenuYn=Y&amp;ReportGB=&amp;NewMenuID=108&amp;stkGb=701", "화승알앤에이")</f>
        <v>화승알앤에이</v>
      </c>
      <c r="E122">
        <v>3</v>
      </c>
      <c r="F122">
        <v>2175</v>
      </c>
      <c r="G122">
        <v>0</v>
      </c>
      <c r="H122">
        <v>5.93</v>
      </c>
      <c r="I122">
        <v>2583</v>
      </c>
      <c r="J122">
        <v>3594</v>
      </c>
      <c r="K122">
        <v>3882</v>
      </c>
      <c r="L122">
        <v>-18.760000000000002</v>
      </c>
      <c r="M122">
        <v>-65.25</v>
      </c>
      <c r="N122">
        <v>-78.459999999999994</v>
      </c>
      <c r="O122">
        <v>4.8099999999999996</v>
      </c>
      <c r="P122" t="b">
        <v>1</v>
      </c>
      <c r="Q122">
        <v>0</v>
      </c>
      <c r="R122">
        <v>357</v>
      </c>
      <c r="U122" t="s">
        <v>1884</v>
      </c>
      <c r="V122" t="s">
        <v>2748</v>
      </c>
      <c r="W122">
        <v>0</v>
      </c>
      <c r="X122">
        <v>0</v>
      </c>
      <c r="Y122" t="s">
        <v>3600</v>
      </c>
      <c r="Z122">
        <v>-24.3</v>
      </c>
      <c r="AA122">
        <v>1502</v>
      </c>
      <c r="AB122">
        <v>355400</v>
      </c>
      <c r="AC122" t="s">
        <v>4403</v>
      </c>
      <c r="AD122">
        <v>44.69</v>
      </c>
      <c r="AE122" t="s">
        <v>5267</v>
      </c>
      <c r="AF122" t="s">
        <v>6124</v>
      </c>
      <c r="AG122">
        <v>15520</v>
      </c>
      <c r="AH122">
        <v>650</v>
      </c>
      <c r="AI122">
        <v>7783665</v>
      </c>
      <c r="AJ122">
        <v>1.18</v>
      </c>
    </row>
    <row r="123" spans="1:36">
      <c r="A123" s="1" t="s">
        <v>157</v>
      </c>
      <c r="B123" t="s">
        <v>1021</v>
      </c>
      <c r="C123" t="str">
        <f>HYPERLINK("https://finance.naver.com/item/coinfo.nhn?code=000720", "A000720")</f>
        <v>A000720</v>
      </c>
      <c r="D123" t="str">
        <f>HYPERLINK("http://comp.fnguide.com/SVO2/ASP/SVD_Consensus.asp?pGB=1&amp;gicode=A000720&amp;cID=&amp;MenuYn=Y&amp;ReportGB=&amp;NewMenuID=108&amp;stkGb=701", "현대건설")</f>
        <v>현대건설</v>
      </c>
      <c r="E123">
        <v>3</v>
      </c>
      <c r="F123">
        <v>36650</v>
      </c>
      <c r="G123">
        <v>0.75</v>
      </c>
      <c r="H123">
        <v>11.57</v>
      </c>
      <c r="I123">
        <v>42739</v>
      </c>
      <c r="J123">
        <v>53023</v>
      </c>
      <c r="K123">
        <v>55946</v>
      </c>
      <c r="L123">
        <v>-16.61</v>
      </c>
      <c r="M123">
        <v>-44.67</v>
      </c>
      <c r="N123">
        <v>-52.65</v>
      </c>
      <c r="O123">
        <v>5.67</v>
      </c>
      <c r="P123" t="b">
        <v>0</v>
      </c>
      <c r="Q123">
        <v>0</v>
      </c>
      <c r="R123">
        <v>3656</v>
      </c>
      <c r="S123">
        <v>2777</v>
      </c>
      <c r="T123">
        <v>-24</v>
      </c>
      <c r="U123" t="s">
        <v>1885</v>
      </c>
      <c r="V123" t="s">
        <v>2749</v>
      </c>
      <c r="W123">
        <v>15.372417358037429</v>
      </c>
      <c r="X123">
        <v>-43.1</v>
      </c>
      <c r="Y123" t="s">
        <v>3601</v>
      </c>
      <c r="Z123">
        <v>-11.26941307038493</v>
      </c>
      <c r="AA123">
        <v>40812</v>
      </c>
      <c r="AB123">
        <v>1089750</v>
      </c>
      <c r="AC123" t="s">
        <v>4404</v>
      </c>
      <c r="AD123">
        <v>34.92</v>
      </c>
      <c r="AE123" t="s">
        <v>5268</v>
      </c>
      <c r="AF123" t="s">
        <v>6125</v>
      </c>
      <c r="AG123">
        <v>172788</v>
      </c>
      <c r="AH123">
        <v>8597</v>
      </c>
      <c r="AJ123">
        <v>1.42</v>
      </c>
    </row>
    <row r="124" spans="1:36">
      <c r="A124" s="1" t="s">
        <v>158</v>
      </c>
      <c r="B124" t="s">
        <v>1022</v>
      </c>
      <c r="C124" t="str">
        <f>HYPERLINK("https://finance.naver.com/item/coinfo.nhn?code=143210", "A143210")</f>
        <v>A143210</v>
      </c>
      <c r="D124" t="str">
        <f>HYPERLINK("http://comp.fnguide.com/SVO2/ASP/SVD_Consensus.asp?pGB=1&amp;gicode=A143210&amp;cID=&amp;MenuYn=Y&amp;ReportGB=&amp;NewMenuID=108&amp;stkGb=701", "핸즈코퍼레이션")</f>
        <v>핸즈코퍼레이션</v>
      </c>
      <c r="E124">
        <v>3</v>
      </c>
      <c r="F124">
        <v>8050</v>
      </c>
      <c r="G124">
        <v>0</v>
      </c>
      <c r="H124">
        <v>21.78</v>
      </c>
      <c r="I124">
        <v>5206</v>
      </c>
      <c r="J124">
        <v>11140</v>
      </c>
      <c r="K124">
        <v>12827</v>
      </c>
      <c r="L124">
        <v>35.32</v>
      </c>
      <c r="M124">
        <v>-38.39</v>
      </c>
      <c r="N124">
        <v>-59.34</v>
      </c>
      <c r="O124">
        <v>2.74</v>
      </c>
      <c r="P124" t="b">
        <v>0</v>
      </c>
      <c r="Q124">
        <v>0</v>
      </c>
      <c r="R124">
        <v>314</v>
      </c>
      <c r="U124" t="s">
        <v>1886</v>
      </c>
      <c r="V124" t="s">
        <v>2750</v>
      </c>
      <c r="W124">
        <v>0</v>
      </c>
      <c r="X124">
        <v>-54.1</v>
      </c>
      <c r="Y124" t="s">
        <v>3602</v>
      </c>
      <c r="Z124">
        <v>-36.285114935612071</v>
      </c>
      <c r="AA124">
        <v>1760</v>
      </c>
      <c r="AB124">
        <v>226825</v>
      </c>
      <c r="AC124" t="s">
        <v>4405</v>
      </c>
      <c r="AD124">
        <v>60.27</v>
      </c>
      <c r="AE124" t="s">
        <v>5269</v>
      </c>
      <c r="AF124" t="s">
        <v>6126</v>
      </c>
      <c r="AG124">
        <v>6177</v>
      </c>
      <c r="AH124">
        <v>187</v>
      </c>
      <c r="AI124">
        <v>382042</v>
      </c>
      <c r="AJ124">
        <v>1.9</v>
      </c>
    </row>
    <row r="125" spans="1:36">
      <c r="A125" s="1" t="s">
        <v>159</v>
      </c>
      <c r="B125" t="s">
        <v>1023</v>
      </c>
      <c r="C125" t="str">
        <f>HYPERLINK("https://finance.naver.com/item/coinfo.nhn?code=003530", "A003530")</f>
        <v>A003530</v>
      </c>
      <c r="D125" t="str">
        <f>HYPERLINK("http://comp.fnguide.com/SVO2/ASP/SVD_Consensus.asp?pGB=1&amp;gicode=A003530&amp;cID=&amp;MenuYn=Y&amp;ReportGB=&amp;NewMenuID=108&amp;stkGb=701", "한화투자증권")</f>
        <v>한화투자증권</v>
      </c>
      <c r="E125">
        <v>3</v>
      </c>
      <c r="F125">
        <v>2100</v>
      </c>
      <c r="G125">
        <v>0</v>
      </c>
      <c r="H125">
        <v>4.09</v>
      </c>
      <c r="I125">
        <v>5730</v>
      </c>
      <c r="J125">
        <v>5531</v>
      </c>
      <c r="K125">
        <v>5475</v>
      </c>
      <c r="L125">
        <v>-172.85</v>
      </c>
      <c r="M125">
        <v>-163.4</v>
      </c>
      <c r="N125">
        <v>-160.71</v>
      </c>
      <c r="O125">
        <v>8.42</v>
      </c>
      <c r="P125" t="b">
        <v>1</v>
      </c>
      <c r="Q125">
        <v>0</v>
      </c>
      <c r="R125">
        <v>505</v>
      </c>
      <c r="U125" t="s">
        <v>1887</v>
      </c>
      <c r="V125" t="s">
        <v>2751</v>
      </c>
      <c r="W125">
        <v>0</v>
      </c>
      <c r="X125">
        <v>4.5999999999999996</v>
      </c>
      <c r="Y125" t="s">
        <v>3603</v>
      </c>
      <c r="Z125">
        <v>1.0058602046308041</v>
      </c>
      <c r="AA125">
        <v>4506</v>
      </c>
      <c r="AB125">
        <v>1000245</v>
      </c>
      <c r="AC125" t="s">
        <v>4406</v>
      </c>
      <c r="AD125">
        <v>46.24</v>
      </c>
      <c r="AE125" t="s">
        <v>5270</v>
      </c>
      <c r="AF125" t="s">
        <v>6127</v>
      </c>
      <c r="AG125">
        <v>3483</v>
      </c>
      <c r="AH125">
        <v>1119</v>
      </c>
      <c r="AI125">
        <v>677387</v>
      </c>
    </row>
    <row r="126" spans="1:36">
      <c r="A126" s="1" t="s">
        <v>160</v>
      </c>
      <c r="B126" t="s">
        <v>1024</v>
      </c>
      <c r="C126" t="str">
        <f>HYPERLINK("https://finance.naver.com/item/coinfo.nhn?code=004150", "A004150")</f>
        <v>A004150</v>
      </c>
      <c r="D126" t="str">
        <f>HYPERLINK("http://comp.fnguide.com/SVO2/ASP/SVD_Consensus.asp?pGB=1&amp;gicode=A004150&amp;cID=&amp;MenuYn=Y&amp;ReportGB=&amp;NewMenuID=108&amp;stkGb=701", "한솔홀딩스")</f>
        <v>한솔홀딩스</v>
      </c>
      <c r="E126">
        <v>3</v>
      </c>
      <c r="F126">
        <v>3710</v>
      </c>
      <c r="G126">
        <v>0</v>
      </c>
      <c r="H126">
        <v>7.81</v>
      </c>
      <c r="I126">
        <v>3903</v>
      </c>
      <c r="J126">
        <v>7769</v>
      </c>
      <c r="K126">
        <v>8868</v>
      </c>
      <c r="L126">
        <v>-5.19</v>
      </c>
      <c r="M126">
        <v>-109.41</v>
      </c>
      <c r="N126">
        <v>-139.03</v>
      </c>
      <c r="O126">
        <v>3</v>
      </c>
      <c r="P126" t="b">
        <v>1</v>
      </c>
      <c r="Q126">
        <v>3</v>
      </c>
      <c r="R126">
        <v>536</v>
      </c>
      <c r="S126">
        <v>800</v>
      </c>
      <c r="T126">
        <v>49.3</v>
      </c>
      <c r="U126" t="s">
        <v>1888</v>
      </c>
      <c r="V126" t="s">
        <v>2752</v>
      </c>
      <c r="W126">
        <v>0</v>
      </c>
      <c r="X126">
        <v>-10.1</v>
      </c>
      <c r="Y126" t="s">
        <v>3604</v>
      </c>
      <c r="Z126">
        <v>-10.1</v>
      </c>
      <c r="AA126">
        <v>1559</v>
      </c>
      <c r="AB126">
        <v>782817</v>
      </c>
      <c r="AC126" t="s">
        <v>4407</v>
      </c>
      <c r="AD126">
        <v>30.28</v>
      </c>
      <c r="AE126" t="s">
        <v>5271</v>
      </c>
      <c r="AF126" t="s">
        <v>6128</v>
      </c>
      <c r="AG126">
        <v>5416</v>
      </c>
      <c r="AH126">
        <v>118</v>
      </c>
    </row>
    <row r="127" spans="1:36">
      <c r="A127" s="1" t="s">
        <v>161</v>
      </c>
      <c r="B127" t="s">
        <v>1025</v>
      </c>
      <c r="C127" t="str">
        <f>HYPERLINK("https://finance.naver.com/item/coinfo.nhn?code=034830", "A034830")</f>
        <v>A034830</v>
      </c>
      <c r="D127" t="str">
        <f>HYPERLINK("http://comp.fnguide.com/SVO2/ASP/SVD_Consensus.asp?pGB=1&amp;gicode=A034830&amp;cID=&amp;MenuYn=Y&amp;ReportGB=&amp;NewMenuID=108&amp;stkGb=701", "한국토지신탁")</f>
        <v>한국토지신탁</v>
      </c>
      <c r="E127">
        <v>3</v>
      </c>
      <c r="F127">
        <v>2085</v>
      </c>
      <c r="G127">
        <v>-0.19</v>
      </c>
      <c r="H127">
        <v>4.91</v>
      </c>
      <c r="I127">
        <v>8670</v>
      </c>
      <c r="J127">
        <v>5769</v>
      </c>
      <c r="K127">
        <v>4945</v>
      </c>
      <c r="L127">
        <v>-315.85000000000002</v>
      </c>
      <c r="M127">
        <v>-176.71</v>
      </c>
      <c r="N127">
        <v>-137.16999999999999</v>
      </c>
      <c r="O127">
        <v>17.89</v>
      </c>
      <c r="P127" t="b">
        <v>1</v>
      </c>
      <c r="Q127">
        <v>0</v>
      </c>
      <c r="R127">
        <v>428</v>
      </c>
      <c r="S127">
        <v>363</v>
      </c>
      <c r="T127">
        <v>-15.2</v>
      </c>
      <c r="U127" t="s">
        <v>1889</v>
      </c>
      <c r="V127" t="s">
        <v>2753</v>
      </c>
      <c r="W127">
        <v>-25.928683014273339</v>
      </c>
      <c r="Y127" t="s">
        <v>3605</v>
      </c>
      <c r="Z127">
        <v>-8.9654129010534369</v>
      </c>
      <c r="AA127">
        <v>5264</v>
      </c>
      <c r="AB127">
        <v>1372689</v>
      </c>
      <c r="AC127" t="s">
        <v>4408</v>
      </c>
      <c r="AD127">
        <v>35.46</v>
      </c>
      <c r="AE127" t="s">
        <v>5272</v>
      </c>
      <c r="AF127" t="s">
        <v>6129</v>
      </c>
      <c r="AG127">
        <v>2557</v>
      </c>
      <c r="AH127">
        <v>1193</v>
      </c>
      <c r="AI127">
        <v>24446793</v>
      </c>
      <c r="AJ127">
        <v>5.24</v>
      </c>
    </row>
    <row r="128" spans="1:36">
      <c r="A128" s="1" t="s">
        <v>162</v>
      </c>
      <c r="B128" t="s">
        <v>1026</v>
      </c>
      <c r="C128" t="str">
        <f>HYPERLINK("https://finance.naver.com/item/coinfo.nhn?code=010100", "A010100")</f>
        <v>A010100</v>
      </c>
      <c r="D128" t="str">
        <f>HYPERLINK("http://comp.fnguide.com/SVO2/ASP/SVD_Consensus.asp?pGB=1&amp;gicode=A010100&amp;cID=&amp;MenuYn=Y&amp;ReportGB=&amp;NewMenuID=108&amp;stkGb=701", "한국프랜지")</f>
        <v>한국프랜지</v>
      </c>
      <c r="E128">
        <v>3</v>
      </c>
      <c r="F128">
        <v>2825</v>
      </c>
      <c r="G128">
        <v>0</v>
      </c>
      <c r="H128">
        <v>5.9</v>
      </c>
      <c r="I128">
        <v>2604</v>
      </c>
      <c r="J128">
        <v>5305</v>
      </c>
      <c r="K128">
        <v>6073</v>
      </c>
      <c r="L128">
        <v>7.82</v>
      </c>
      <c r="M128">
        <v>-87.8</v>
      </c>
      <c r="N128">
        <v>-114.97</v>
      </c>
      <c r="O128">
        <v>2.91</v>
      </c>
      <c r="P128" t="b">
        <v>1</v>
      </c>
      <c r="Q128">
        <v>0</v>
      </c>
      <c r="R128">
        <v>373</v>
      </c>
      <c r="U128" t="s">
        <v>1890</v>
      </c>
      <c r="V128" t="s">
        <v>2754</v>
      </c>
      <c r="W128">
        <v>0</v>
      </c>
      <c r="X128">
        <v>-35.299999999999997</v>
      </c>
      <c r="Y128" t="s">
        <v>3606</v>
      </c>
      <c r="Z128">
        <v>73.791185968892805</v>
      </c>
      <c r="AA128">
        <v>860</v>
      </c>
      <c r="AB128">
        <v>5970763</v>
      </c>
      <c r="AC128" t="s">
        <v>4409</v>
      </c>
      <c r="AD128">
        <v>42.09</v>
      </c>
      <c r="AE128" t="s">
        <v>5273</v>
      </c>
      <c r="AF128" t="s">
        <v>6130</v>
      </c>
      <c r="AG128">
        <v>9540</v>
      </c>
      <c r="AH128">
        <v>149</v>
      </c>
      <c r="AJ128">
        <v>2.27</v>
      </c>
    </row>
    <row r="129" spans="1:36">
      <c r="A129" s="1" t="s">
        <v>163</v>
      </c>
      <c r="B129" t="s">
        <v>1027</v>
      </c>
      <c r="C129" t="str">
        <f>HYPERLINK("https://finance.naver.com/item/coinfo.nhn?code=014790", "A014790")</f>
        <v>A014790</v>
      </c>
      <c r="D129" t="str">
        <f>HYPERLINK("http://comp.fnguide.com/SVO2/ASP/SVD_Consensus.asp?pGB=1&amp;gicode=A014790&amp;cID=&amp;MenuYn=Y&amp;ReportGB=&amp;NewMenuID=108&amp;stkGb=701", "한라")</f>
        <v>한라</v>
      </c>
      <c r="E129">
        <v>3</v>
      </c>
      <c r="F129">
        <v>4810</v>
      </c>
      <c r="G129">
        <v>3.83</v>
      </c>
      <c r="H129">
        <v>58.86</v>
      </c>
      <c r="I129">
        <v>2274</v>
      </c>
      <c r="J129">
        <v>5055</v>
      </c>
      <c r="K129">
        <v>5846</v>
      </c>
      <c r="L129">
        <v>52.72</v>
      </c>
      <c r="M129">
        <v>-5.0999999999999996</v>
      </c>
      <c r="N129">
        <v>-21.54</v>
      </c>
      <c r="O129">
        <v>2.62</v>
      </c>
      <c r="P129" t="b">
        <v>0</v>
      </c>
      <c r="Q129">
        <v>2</v>
      </c>
      <c r="R129">
        <v>51</v>
      </c>
      <c r="S129">
        <v>1527</v>
      </c>
      <c r="T129">
        <v>2894.1</v>
      </c>
      <c r="U129" t="s">
        <v>1891</v>
      </c>
      <c r="V129" t="s">
        <v>2755</v>
      </c>
      <c r="W129">
        <v>15.37479868435916</v>
      </c>
      <c r="X129">
        <v>0</v>
      </c>
      <c r="Y129" t="s">
        <v>3607</v>
      </c>
      <c r="Z129">
        <v>329.8</v>
      </c>
      <c r="AA129">
        <v>1870</v>
      </c>
      <c r="AB129">
        <v>224194</v>
      </c>
      <c r="AC129" t="s">
        <v>4410</v>
      </c>
      <c r="AD129">
        <v>45.32</v>
      </c>
      <c r="AE129" t="s">
        <v>5274</v>
      </c>
      <c r="AF129" t="s">
        <v>6131</v>
      </c>
      <c r="AG129">
        <v>13049</v>
      </c>
      <c r="AH129">
        <v>677</v>
      </c>
      <c r="AI129">
        <v>1016341</v>
      </c>
    </row>
    <row r="130" spans="1:36">
      <c r="A130" s="1" t="s">
        <v>164</v>
      </c>
      <c r="B130" t="s">
        <v>1028</v>
      </c>
      <c r="C130" t="str">
        <f>HYPERLINK("https://finance.naver.com/item/coinfo.nhn?code=060980", "A060980")</f>
        <v>A060980</v>
      </c>
      <c r="D130" t="str">
        <f>HYPERLINK("http://comp.fnguide.com/SVO2/ASP/SVD_Consensus.asp?pGB=1&amp;gicode=A060980&amp;cID=&amp;MenuYn=Y&amp;ReportGB=&amp;NewMenuID=108&amp;stkGb=701", "한라홀딩스")</f>
        <v>한라홀딩스</v>
      </c>
      <c r="E130">
        <v>3</v>
      </c>
      <c r="F130">
        <v>39100</v>
      </c>
      <c r="G130">
        <v>-2.14</v>
      </c>
      <c r="H130">
        <v>11.72</v>
      </c>
      <c r="I130">
        <v>39754</v>
      </c>
      <c r="J130">
        <v>68516</v>
      </c>
      <c r="K130">
        <v>76690</v>
      </c>
      <c r="L130">
        <v>-1.67</v>
      </c>
      <c r="M130">
        <v>-75.23</v>
      </c>
      <c r="N130">
        <v>-96.14</v>
      </c>
      <c r="O130">
        <v>3.6</v>
      </c>
      <c r="P130" t="b">
        <v>0</v>
      </c>
      <c r="Q130">
        <v>0</v>
      </c>
      <c r="R130">
        <v>3918</v>
      </c>
      <c r="S130">
        <v>3361</v>
      </c>
      <c r="T130">
        <v>-14.2</v>
      </c>
      <c r="U130" t="s">
        <v>1892</v>
      </c>
      <c r="V130" t="s">
        <v>2756</v>
      </c>
      <c r="W130">
        <v>-5.4789151496403843</v>
      </c>
      <c r="X130">
        <v>-38.700000000000003</v>
      </c>
      <c r="Y130" t="s">
        <v>3608</v>
      </c>
      <c r="Z130">
        <v>-19.15753748576488</v>
      </c>
      <c r="AA130">
        <v>4095</v>
      </c>
      <c r="AB130">
        <v>56512</v>
      </c>
      <c r="AC130" t="s">
        <v>4411</v>
      </c>
      <c r="AD130">
        <v>28.48</v>
      </c>
      <c r="AE130" t="s">
        <v>5275</v>
      </c>
      <c r="AF130" t="s">
        <v>6132</v>
      </c>
      <c r="AG130">
        <v>7984</v>
      </c>
      <c r="AH130">
        <v>754</v>
      </c>
      <c r="AI130">
        <v>351915</v>
      </c>
      <c r="AJ130">
        <v>4.3600000000000003</v>
      </c>
    </row>
    <row r="131" spans="1:36">
      <c r="A131" s="1" t="s">
        <v>165</v>
      </c>
      <c r="B131" t="s">
        <v>1029</v>
      </c>
      <c r="C131" t="str">
        <f>HYPERLINK("https://finance.naver.com/item/coinfo.nhn?code=053690", "A053690")</f>
        <v>A053690</v>
      </c>
      <c r="D131" t="str">
        <f>HYPERLINK("http://comp.fnguide.com/SVO2/ASP/SVD_Consensus.asp?pGB=1&amp;gicode=A053690&amp;cID=&amp;MenuYn=Y&amp;ReportGB=&amp;NewMenuID=108&amp;stkGb=701", "한미글로벌")</f>
        <v>한미글로벌</v>
      </c>
      <c r="E131">
        <v>3</v>
      </c>
      <c r="F131">
        <v>10200</v>
      </c>
      <c r="G131">
        <v>0.34</v>
      </c>
      <c r="H131">
        <v>4.71</v>
      </c>
      <c r="I131">
        <v>21877</v>
      </c>
      <c r="J131">
        <v>16081</v>
      </c>
      <c r="K131">
        <v>14434</v>
      </c>
      <c r="L131">
        <v>-114.48</v>
      </c>
      <c r="M131">
        <v>-57.66</v>
      </c>
      <c r="N131">
        <v>-41.51</v>
      </c>
      <c r="O131">
        <v>14.19</v>
      </c>
      <c r="P131" t="b">
        <v>1</v>
      </c>
      <c r="Q131">
        <v>0</v>
      </c>
      <c r="R131">
        <v>2038</v>
      </c>
      <c r="S131">
        <v>1214</v>
      </c>
      <c r="T131">
        <v>-40.4</v>
      </c>
      <c r="U131" t="s">
        <v>1893</v>
      </c>
      <c r="V131" t="s">
        <v>2757</v>
      </c>
      <c r="W131">
        <v>13.79085939619493</v>
      </c>
      <c r="X131">
        <v>-68.900000000000006</v>
      </c>
      <c r="Y131" t="s">
        <v>3609</v>
      </c>
      <c r="Z131">
        <v>-3.051656094564636</v>
      </c>
      <c r="AA131">
        <v>1118</v>
      </c>
      <c r="AB131">
        <v>98703</v>
      </c>
      <c r="AC131" t="s">
        <v>4412</v>
      </c>
      <c r="AD131">
        <v>27.06</v>
      </c>
      <c r="AE131" t="s">
        <v>5276</v>
      </c>
      <c r="AF131" t="s">
        <v>6133</v>
      </c>
      <c r="AG131">
        <v>2947</v>
      </c>
      <c r="AH131">
        <v>244</v>
      </c>
      <c r="AI131">
        <v>1312240</v>
      </c>
      <c r="AJ131">
        <v>2.08</v>
      </c>
    </row>
    <row r="132" spans="1:36">
      <c r="A132" s="1" t="s">
        <v>166</v>
      </c>
      <c r="B132" t="s">
        <v>1030</v>
      </c>
      <c r="C132" t="str">
        <f>HYPERLINK("https://finance.naver.com/item/coinfo.nhn?code=020000", "A020000")</f>
        <v>A020000</v>
      </c>
      <c r="D132" t="str">
        <f>HYPERLINK("http://comp.fnguide.com/SVO2/ASP/SVD_Consensus.asp?pGB=1&amp;gicode=A020000&amp;cID=&amp;MenuYn=Y&amp;ReportGB=&amp;NewMenuID=108&amp;stkGb=701", "한섬")</f>
        <v>한섬</v>
      </c>
      <c r="E132">
        <v>3</v>
      </c>
      <c r="F132">
        <v>29450</v>
      </c>
      <c r="G132">
        <v>0.6</v>
      </c>
      <c r="H132">
        <v>9.11</v>
      </c>
      <c r="I132">
        <v>46144</v>
      </c>
      <c r="J132">
        <v>47016</v>
      </c>
      <c r="K132">
        <v>47264</v>
      </c>
      <c r="L132">
        <v>-56.69</v>
      </c>
      <c r="M132">
        <v>-59.65</v>
      </c>
      <c r="N132">
        <v>-60.49</v>
      </c>
      <c r="O132">
        <v>7.7</v>
      </c>
      <c r="P132" t="b">
        <v>1</v>
      </c>
      <c r="Q132">
        <v>0</v>
      </c>
      <c r="R132">
        <v>3462</v>
      </c>
      <c r="S132">
        <v>3348</v>
      </c>
      <c r="T132">
        <v>-3.3</v>
      </c>
      <c r="U132" t="s">
        <v>1894</v>
      </c>
      <c r="V132" t="s">
        <v>2758</v>
      </c>
      <c r="W132">
        <v>15.254266485508611</v>
      </c>
      <c r="X132">
        <v>-2</v>
      </c>
      <c r="Y132" t="s">
        <v>3610</v>
      </c>
      <c r="Z132">
        <v>2.353569913537545</v>
      </c>
      <c r="AA132">
        <v>7254</v>
      </c>
      <c r="AB132">
        <v>76591</v>
      </c>
      <c r="AC132" t="s">
        <v>4413</v>
      </c>
      <c r="AD132">
        <v>34.64</v>
      </c>
      <c r="AE132" t="s">
        <v>5277</v>
      </c>
      <c r="AF132" t="s">
        <v>6134</v>
      </c>
      <c r="AG132">
        <v>12598</v>
      </c>
      <c r="AH132">
        <v>1065</v>
      </c>
      <c r="AI132">
        <v>2660406</v>
      </c>
      <c r="AJ132">
        <v>1.43</v>
      </c>
    </row>
    <row r="133" spans="1:36">
      <c r="A133" s="1" t="s">
        <v>167</v>
      </c>
      <c r="B133" t="s">
        <v>1031</v>
      </c>
      <c r="C133" t="str">
        <f>HYPERLINK("https://finance.naver.com/item/coinfo.nhn?code=069640", "A069640")</f>
        <v>A069640</v>
      </c>
      <c r="D133" t="str">
        <f>HYPERLINK("http://comp.fnguide.com/SVO2/ASP/SVD_Consensus.asp?pGB=1&amp;gicode=A069640&amp;cID=&amp;MenuYn=Y&amp;ReportGB=&amp;NewMenuID=108&amp;stkGb=701", "한세엠케이")</f>
        <v>한세엠케이</v>
      </c>
      <c r="E133">
        <v>3</v>
      </c>
      <c r="F133">
        <v>4000</v>
      </c>
      <c r="G133">
        <v>0</v>
      </c>
      <c r="I133">
        <v>1927</v>
      </c>
      <c r="J133">
        <v>6306</v>
      </c>
      <c r="K133">
        <v>7551</v>
      </c>
      <c r="L133">
        <v>51.83</v>
      </c>
      <c r="M133">
        <v>-57.66</v>
      </c>
      <c r="N133">
        <v>-88.78</v>
      </c>
      <c r="O133">
        <v>1.66</v>
      </c>
      <c r="P133" t="b">
        <v>0</v>
      </c>
      <c r="Q133">
        <v>0</v>
      </c>
      <c r="R133">
        <v>-3391</v>
      </c>
      <c r="U133" t="s">
        <v>1895</v>
      </c>
      <c r="V133" t="s">
        <v>2759</v>
      </c>
      <c r="W133">
        <v>0</v>
      </c>
      <c r="X133">
        <v>0</v>
      </c>
      <c r="Y133" t="s">
        <v>3611</v>
      </c>
      <c r="Z133">
        <v>2.4848235154740772</v>
      </c>
      <c r="AA133">
        <v>516</v>
      </c>
      <c r="AB133">
        <v>585859</v>
      </c>
      <c r="AC133" t="s">
        <v>4414</v>
      </c>
      <c r="AD133">
        <v>51.82</v>
      </c>
      <c r="AE133" t="s">
        <v>5278</v>
      </c>
      <c r="AF133" t="s">
        <v>6135</v>
      </c>
      <c r="AG133">
        <v>3075</v>
      </c>
      <c r="AH133">
        <v>-239</v>
      </c>
      <c r="AI133">
        <v>1981657</v>
      </c>
    </row>
    <row r="134" spans="1:36">
      <c r="A134" s="1" t="s">
        <v>168</v>
      </c>
      <c r="B134" t="s">
        <v>1032</v>
      </c>
      <c r="C134" t="str">
        <f>HYPERLINK("https://finance.naver.com/item/coinfo.nhn?code=010420", "A010420")</f>
        <v>A010420</v>
      </c>
      <c r="D134" t="str">
        <f>HYPERLINK("http://comp.fnguide.com/SVO2/ASP/SVD_Consensus.asp?pGB=1&amp;gicode=A010420&amp;cID=&amp;MenuYn=Y&amp;ReportGB=&amp;NewMenuID=108&amp;stkGb=701", "한솔PNS")</f>
        <v>한솔PNS</v>
      </c>
      <c r="E134">
        <v>3</v>
      </c>
      <c r="F134">
        <v>1665</v>
      </c>
      <c r="G134">
        <v>0</v>
      </c>
      <c r="H134">
        <v>11.26</v>
      </c>
      <c r="I134">
        <v>2112</v>
      </c>
      <c r="J134">
        <v>2048</v>
      </c>
      <c r="K134">
        <v>2030</v>
      </c>
      <c r="L134">
        <v>-26.85</v>
      </c>
      <c r="M134">
        <v>-23</v>
      </c>
      <c r="N134">
        <v>-21.91</v>
      </c>
      <c r="O134">
        <v>8.36</v>
      </c>
      <c r="P134" t="b">
        <v>1</v>
      </c>
      <c r="Q134">
        <v>0</v>
      </c>
      <c r="R134">
        <v>154</v>
      </c>
      <c r="U134" t="s">
        <v>1896</v>
      </c>
      <c r="V134" t="s">
        <v>2760</v>
      </c>
      <c r="W134">
        <v>0</v>
      </c>
      <c r="X134">
        <v>12</v>
      </c>
      <c r="Y134" t="s">
        <v>3612</v>
      </c>
      <c r="Z134">
        <v>18.834958767900801</v>
      </c>
      <c r="AA134">
        <v>341</v>
      </c>
      <c r="AB134">
        <v>90402</v>
      </c>
      <c r="AC134" t="s">
        <v>4415</v>
      </c>
      <c r="AD134">
        <v>46.07</v>
      </c>
      <c r="AE134" t="s">
        <v>5279</v>
      </c>
      <c r="AF134" t="s">
        <v>6136</v>
      </c>
      <c r="AG134">
        <v>2339</v>
      </c>
      <c r="AH134">
        <v>40</v>
      </c>
      <c r="AJ134">
        <v>1.44</v>
      </c>
    </row>
    <row r="135" spans="1:36">
      <c r="A135" s="1" t="s">
        <v>169</v>
      </c>
      <c r="B135" t="s">
        <v>1033</v>
      </c>
      <c r="C135" t="str">
        <f>HYPERLINK("https://finance.naver.com/item/coinfo.nhn?code=213500", "A213500")</f>
        <v>A213500</v>
      </c>
      <c r="D135" t="str">
        <f>HYPERLINK("http://comp.fnguide.com/SVO2/ASP/SVD_Consensus.asp?pGB=1&amp;gicode=A213500&amp;cID=&amp;MenuYn=Y&amp;ReportGB=&amp;NewMenuID=108&amp;stkGb=701", "한솔제지")</f>
        <v>한솔제지</v>
      </c>
      <c r="E135">
        <v>3</v>
      </c>
      <c r="F135">
        <v>14100</v>
      </c>
      <c r="G135">
        <v>0</v>
      </c>
      <c r="H135">
        <v>8.59</v>
      </c>
      <c r="I135">
        <v>23228</v>
      </c>
      <c r="J135">
        <v>24198</v>
      </c>
      <c r="K135">
        <v>24473</v>
      </c>
      <c r="L135">
        <v>-64.739999999999995</v>
      </c>
      <c r="M135">
        <v>-71.61</v>
      </c>
      <c r="N135">
        <v>-73.569999999999993</v>
      </c>
      <c r="O135">
        <v>7.42</v>
      </c>
      <c r="P135" t="b">
        <v>1</v>
      </c>
      <c r="Q135">
        <v>0</v>
      </c>
      <c r="R135">
        <v>1681</v>
      </c>
      <c r="U135" t="s">
        <v>1897</v>
      </c>
      <c r="V135" t="s">
        <v>2761</v>
      </c>
      <c r="W135">
        <v>0</v>
      </c>
      <c r="X135">
        <v>101.9</v>
      </c>
      <c r="Y135" t="s">
        <v>3613</v>
      </c>
      <c r="Z135">
        <v>18.999250803450199</v>
      </c>
      <c r="AA135">
        <v>3356</v>
      </c>
      <c r="AB135">
        <v>159723</v>
      </c>
      <c r="AC135" t="s">
        <v>4416</v>
      </c>
      <c r="AD135">
        <v>30.59</v>
      </c>
      <c r="AE135" t="s">
        <v>5280</v>
      </c>
      <c r="AF135" t="s">
        <v>6137</v>
      </c>
      <c r="AG135">
        <v>19126</v>
      </c>
      <c r="AH135">
        <v>1053</v>
      </c>
      <c r="AI135">
        <v>23708</v>
      </c>
      <c r="AJ135">
        <v>4.1500000000000004</v>
      </c>
    </row>
    <row r="136" spans="1:36">
      <c r="A136" s="1" t="s">
        <v>170</v>
      </c>
      <c r="B136" t="s">
        <v>1034</v>
      </c>
      <c r="C136" t="str">
        <f>HYPERLINK("https://finance.naver.com/item/coinfo.nhn?code=004960", "A004960")</f>
        <v>A004960</v>
      </c>
      <c r="D136" t="str">
        <f>HYPERLINK("http://comp.fnguide.com/SVO2/ASP/SVD_Consensus.asp?pGB=1&amp;gicode=A004960&amp;cID=&amp;MenuYn=Y&amp;ReportGB=&amp;NewMenuID=108&amp;stkGb=701", "한신공영")</f>
        <v>한신공영</v>
      </c>
      <c r="E136">
        <v>3</v>
      </c>
      <c r="F136">
        <v>16250</v>
      </c>
      <c r="G136">
        <v>0</v>
      </c>
      <c r="H136">
        <v>2.38</v>
      </c>
      <c r="I136">
        <v>139299</v>
      </c>
      <c r="J136">
        <v>81783</v>
      </c>
      <c r="K136">
        <v>65438</v>
      </c>
      <c r="L136">
        <v>-757.22</v>
      </c>
      <c r="M136">
        <v>-403.28</v>
      </c>
      <c r="N136">
        <v>-302.69</v>
      </c>
      <c r="O136">
        <v>25.31</v>
      </c>
      <c r="P136" t="b">
        <v>1</v>
      </c>
      <c r="Q136">
        <v>0</v>
      </c>
      <c r="R136">
        <v>6210</v>
      </c>
      <c r="U136" t="s">
        <v>1898</v>
      </c>
      <c r="V136" t="s">
        <v>2762</v>
      </c>
      <c r="W136">
        <v>0</v>
      </c>
      <c r="X136">
        <v>6.7</v>
      </c>
      <c r="Y136" t="s">
        <v>3614</v>
      </c>
      <c r="Z136">
        <v>26.111117238758869</v>
      </c>
      <c r="AA136">
        <v>1880</v>
      </c>
      <c r="AB136">
        <v>89941</v>
      </c>
      <c r="AC136" t="s">
        <v>4417</v>
      </c>
      <c r="AD136">
        <v>36.76</v>
      </c>
      <c r="AE136" t="s">
        <v>5281</v>
      </c>
      <c r="AF136" t="s">
        <v>6138</v>
      </c>
      <c r="AG136">
        <v>16233</v>
      </c>
      <c r="AH136">
        <v>1245</v>
      </c>
      <c r="AJ136">
        <v>2.36</v>
      </c>
    </row>
    <row r="137" spans="1:36">
      <c r="A137" s="1" t="s">
        <v>171</v>
      </c>
      <c r="B137" t="s">
        <v>1035</v>
      </c>
      <c r="C137" t="str">
        <f>HYPERLINK("https://finance.naver.com/item/coinfo.nhn?code=012450", "A012450")</f>
        <v>A012450</v>
      </c>
      <c r="D137" t="str">
        <f>HYPERLINK("http://comp.fnguide.com/SVO2/ASP/SVD_Consensus.asp?pGB=1&amp;gicode=A012450&amp;cID=&amp;MenuYn=Y&amp;ReportGB=&amp;NewMenuID=108&amp;stkGb=701", "한화에어로스페이스")</f>
        <v>한화에어로스페이스</v>
      </c>
      <c r="E137">
        <v>3</v>
      </c>
      <c r="F137">
        <v>28000</v>
      </c>
      <c r="G137">
        <v>0</v>
      </c>
      <c r="H137">
        <v>13.72</v>
      </c>
      <c r="I137">
        <v>19787</v>
      </c>
      <c r="J137">
        <v>37438</v>
      </c>
      <c r="K137">
        <v>42454</v>
      </c>
      <c r="L137">
        <v>29.33</v>
      </c>
      <c r="M137">
        <v>-33.71</v>
      </c>
      <c r="N137">
        <v>-51.62</v>
      </c>
      <c r="O137">
        <v>3.2</v>
      </c>
      <c r="P137" t="b">
        <v>1</v>
      </c>
      <c r="Q137">
        <v>0</v>
      </c>
      <c r="R137">
        <v>2555</v>
      </c>
      <c r="S137">
        <v>2031</v>
      </c>
      <c r="T137">
        <v>-20.5</v>
      </c>
      <c r="U137" t="s">
        <v>1899</v>
      </c>
      <c r="V137" t="s">
        <v>2763</v>
      </c>
      <c r="W137">
        <v>0</v>
      </c>
      <c r="X137">
        <v>-46.9</v>
      </c>
      <c r="Y137" t="s">
        <v>3615</v>
      </c>
      <c r="Z137">
        <v>409.14988314290929</v>
      </c>
      <c r="AA137">
        <v>14176</v>
      </c>
      <c r="AB137">
        <v>299556</v>
      </c>
      <c r="AC137" t="s">
        <v>4418</v>
      </c>
      <c r="AD137">
        <v>33.979999999999997</v>
      </c>
      <c r="AE137" t="s">
        <v>5282</v>
      </c>
      <c r="AF137" t="s">
        <v>6139</v>
      </c>
      <c r="AG137">
        <v>52641</v>
      </c>
      <c r="AH137">
        <v>1652</v>
      </c>
      <c r="AI137">
        <v>20438</v>
      </c>
    </row>
    <row r="138" spans="1:36">
      <c r="A138" s="1" t="s">
        <v>172</v>
      </c>
      <c r="B138" t="s">
        <v>1036</v>
      </c>
      <c r="C138" t="str">
        <f>HYPERLINK("https://finance.naver.com/item/coinfo.nhn?code=011700", "A011700")</f>
        <v>A011700</v>
      </c>
      <c r="D138" t="str">
        <f>HYPERLINK("http://comp.fnguide.com/SVO2/ASP/SVD_Consensus.asp?pGB=1&amp;gicode=A011700&amp;cID=&amp;MenuYn=Y&amp;ReportGB=&amp;NewMenuID=108&amp;stkGb=701", "한신기계")</f>
        <v>한신기계</v>
      </c>
      <c r="E138">
        <v>3</v>
      </c>
      <c r="F138">
        <v>1600</v>
      </c>
      <c r="G138">
        <v>0</v>
      </c>
      <c r="H138">
        <v>33.549999999999997</v>
      </c>
      <c r="I138">
        <v>1134</v>
      </c>
      <c r="J138">
        <v>2035</v>
      </c>
      <c r="K138">
        <v>2291</v>
      </c>
      <c r="L138">
        <v>29.1</v>
      </c>
      <c r="M138">
        <v>-27.18</v>
      </c>
      <c r="N138">
        <v>-43.18</v>
      </c>
      <c r="O138">
        <v>3.42</v>
      </c>
      <c r="P138" t="b">
        <v>1</v>
      </c>
      <c r="Q138">
        <v>0</v>
      </c>
      <c r="R138">
        <v>50</v>
      </c>
      <c r="U138" t="s">
        <v>1900</v>
      </c>
      <c r="V138" t="s">
        <v>2764</v>
      </c>
      <c r="W138">
        <v>0</v>
      </c>
      <c r="X138">
        <v>85.5</v>
      </c>
      <c r="Y138" t="s">
        <v>3616</v>
      </c>
      <c r="Z138">
        <v>-13.820743126054481</v>
      </c>
      <c r="AA138">
        <v>519</v>
      </c>
      <c r="AB138">
        <v>103833</v>
      </c>
      <c r="AC138" t="s">
        <v>4419</v>
      </c>
      <c r="AD138">
        <v>20.94</v>
      </c>
      <c r="AE138" t="s">
        <v>5283</v>
      </c>
      <c r="AF138" t="s">
        <v>6140</v>
      </c>
      <c r="AG138">
        <v>528</v>
      </c>
      <c r="AH138">
        <v>22</v>
      </c>
      <c r="AI138">
        <v>1660200</v>
      </c>
      <c r="AJ138">
        <v>0.9</v>
      </c>
    </row>
    <row r="139" spans="1:36">
      <c r="A139" s="1" t="s">
        <v>173</v>
      </c>
      <c r="B139" t="s">
        <v>1037</v>
      </c>
      <c r="C139" t="str">
        <f>HYPERLINK("https://finance.naver.com/item/coinfo.nhn?code=001750", "A001750")</f>
        <v>A001750</v>
      </c>
      <c r="D139" t="str">
        <f>HYPERLINK("http://comp.fnguide.com/SVO2/ASP/SVD_Consensus.asp?pGB=1&amp;gicode=A001750&amp;cID=&amp;MenuYn=Y&amp;ReportGB=&amp;NewMenuID=108&amp;stkGb=701", "한양증권")</f>
        <v>한양증권</v>
      </c>
      <c r="E139">
        <v>3</v>
      </c>
      <c r="F139">
        <v>9530</v>
      </c>
      <c r="G139">
        <v>0</v>
      </c>
      <c r="H139">
        <v>4.6900000000000004</v>
      </c>
      <c r="I139">
        <v>14016</v>
      </c>
      <c r="J139">
        <v>19513</v>
      </c>
      <c r="K139">
        <v>21076</v>
      </c>
      <c r="L139">
        <v>-47.07</v>
      </c>
      <c r="M139">
        <v>-104.76</v>
      </c>
      <c r="N139">
        <v>-121.15</v>
      </c>
      <c r="O139">
        <v>4.8099999999999996</v>
      </c>
      <c r="P139" t="b">
        <v>1</v>
      </c>
      <c r="Q139">
        <v>0</v>
      </c>
      <c r="R139">
        <v>1672</v>
      </c>
      <c r="U139" t="s">
        <v>1901</v>
      </c>
      <c r="V139" t="s">
        <v>2765</v>
      </c>
      <c r="W139">
        <v>0</v>
      </c>
      <c r="X139">
        <v>16.399999999999999</v>
      </c>
      <c r="Y139" t="s">
        <v>3617</v>
      </c>
      <c r="Z139">
        <v>5.9346664130696558</v>
      </c>
      <c r="AA139">
        <v>1213</v>
      </c>
      <c r="AB139">
        <v>53054</v>
      </c>
      <c r="AC139" t="s">
        <v>4420</v>
      </c>
      <c r="AD139">
        <v>41.07</v>
      </c>
      <c r="AE139" t="s">
        <v>5284</v>
      </c>
      <c r="AF139" t="s">
        <v>6141</v>
      </c>
      <c r="AG139">
        <v>1091</v>
      </c>
      <c r="AH139">
        <v>296</v>
      </c>
      <c r="AJ139">
        <v>4.46</v>
      </c>
    </row>
    <row r="140" spans="1:36">
      <c r="A140" s="1" t="s">
        <v>174</v>
      </c>
      <c r="B140" t="s">
        <v>1038</v>
      </c>
      <c r="C140" t="str">
        <f>HYPERLINK("https://finance.naver.com/item/coinfo.nhn?code=002220", "A002220")</f>
        <v>A002220</v>
      </c>
      <c r="D140" t="str">
        <f>HYPERLINK("http://comp.fnguide.com/SVO2/ASP/SVD_Consensus.asp?pGB=1&amp;gicode=A002220&amp;cID=&amp;MenuYn=Y&amp;ReportGB=&amp;NewMenuID=108&amp;stkGb=701", "한일철강")</f>
        <v>한일철강</v>
      </c>
      <c r="E140">
        <v>3</v>
      </c>
      <c r="F140">
        <v>1910</v>
      </c>
      <c r="G140">
        <v>0</v>
      </c>
      <c r="I140">
        <v>843</v>
      </c>
      <c r="J140">
        <v>4260</v>
      </c>
      <c r="K140">
        <v>5231</v>
      </c>
      <c r="L140">
        <v>55.85</v>
      </c>
      <c r="M140">
        <v>-123.04</v>
      </c>
      <c r="N140">
        <v>-173.88</v>
      </c>
      <c r="O140">
        <v>1.03</v>
      </c>
      <c r="P140" t="b">
        <v>0</v>
      </c>
      <c r="Q140">
        <v>0</v>
      </c>
      <c r="R140">
        <v>-478</v>
      </c>
      <c r="U140" t="s">
        <v>1902</v>
      </c>
      <c r="V140" t="s">
        <v>2766</v>
      </c>
      <c r="W140">
        <v>0</v>
      </c>
      <c r="X140">
        <v>0</v>
      </c>
      <c r="Y140" t="s">
        <v>3618</v>
      </c>
      <c r="Z140">
        <v>89.6</v>
      </c>
      <c r="AA140">
        <v>452</v>
      </c>
      <c r="AB140">
        <v>30334</v>
      </c>
      <c r="AC140" t="s">
        <v>4421</v>
      </c>
      <c r="AD140">
        <v>51.85</v>
      </c>
      <c r="AE140" t="s">
        <v>5285</v>
      </c>
      <c r="AF140" t="s">
        <v>6142</v>
      </c>
      <c r="AG140">
        <v>1730</v>
      </c>
      <c r="AH140">
        <v>-73</v>
      </c>
      <c r="AI140">
        <v>2343720</v>
      </c>
    </row>
    <row r="141" spans="1:36">
      <c r="A141" s="1" t="s">
        <v>175</v>
      </c>
      <c r="B141" t="s">
        <v>1039</v>
      </c>
      <c r="C141" t="str">
        <f>HYPERLINK("https://finance.naver.com/item/coinfo.nhn?code=003300", "A003300")</f>
        <v>A003300</v>
      </c>
      <c r="D141" t="str">
        <f>HYPERLINK("http://comp.fnguide.com/SVO2/ASP/SVD_Consensus.asp?pGB=1&amp;gicode=A003300&amp;cID=&amp;MenuYn=Y&amp;ReportGB=&amp;NewMenuID=108&amp;stkGb=701", "한일홀딩스")</f>
        <v>한일홀딩스</v>
      </c>
      <c r="E141">
        <v>3</v>
      </c>
      <c r="F141">
        <v>11400</v>
      </c>
      <c r="G141">
        <v>0</v>
      </c>
      <c r="H141">
        <v>19.059999999999999</v>
      </c>
      <c r="I141">
        <v>64685</v>
      </c>
      <c r="J141">
        <v>46667</v>
      </c>
      <c r="K141">
        <v>41546</v>
      </c>
      <c r="L141">
        <v>-467.41</v>
      </c>
      <c r="M141">
        <v>-309.36</v>
      </c>
      <c r="N141">
        <v>-264.44</v>
      </c>
      <c r="O141">
        <v>14.79</v>
      </c>
      <c r="P141" t="b">
        <v>1</v>
      </c>
      <c r="Q141">
        <v>0</v>
      </c>
      <c r="R141">
        <v>461</v>
      </c>
      <c r="U141" t="s">
        <v>1903</v>
      </c>
      <c r="V141" t="s">
        <v>2767</v>
      </c>
      <c r="W141">
        <v>0</v>
      </c>
      <c r="X141">
        <v>113.1</v>
      </c>
      <c r="Y141" t="s">
        <v>3619</v>
      </c>
      <c r="Z141">
        <v>-8.7774041950950732</v>
      </c>
      <c r="AA141">
        <v>3285</v>
      </c>
      <c r="AB141">
        <v>57166</v>
      </c>
      <c r="AC141" t="s">
        <v>4422</v>
      </c>
      <c r="AD141">
        <v>68.739999999999995</v>
      </c>
      <c r="AE141" t="s">
        <v>5286</v>
      </c>
      <c r="AF141" t="s">
        <v>6143</v>
      </c>
      <c r="AG141">
        <v>16518</v>
      </c>
      <c r="AH141">
        <v>836</v>
      </c>
      <c r="AI141">
        <v>0</v>
      </c>
      <c r="AJ141">
        <v>5.24</v>
      </c>
    </row>
    <row r="142" spans="1:36">
      <c r="A142" s="1" t="s">
        <v>176</v>
      </c>
      <c r="B142" t="s">
        <v>1040</v>
      </c>
      <c r="C142" t="str">
        <f>HYPERLINK("https://finance.naver.com/item/coinfo.nhn?code=002320", "A002320")</f>
        <v>A002320</v>
      </c>
      <c r="D142" t="str">
        <f>HYPERLINK("http://comp.fnguide.com/SVO2/ASP/SVD_Consensus.asp?pGB=1&amp;gicode=A002320&amp;cID=&amp;MenuYn=Y&amp;ReportGB=&amp;NewMenuID=108&amp;stkGb=701", "한진")</f>
        <v>한진</v>
      </c>
      <c r="E142">
        <v>3</v>
      </c>
      <c r="F142">
        <v>45450</v>
      </c>
      <c r="G142">
        <v>0</v>
      </c>
      <c r="I142">
        <v>14308</v>
      </c>
      <c r="J142">
        <v>42316</v>
      </c>
      <c r="K142">
        <v>50276</v>
      </c>
      <c r="L142">
        <v>68.52</v>
      </c>
      <c r="M142">
        <v>6.89</v>
      </c>
      <c r="N142">
        <v>-10.62</v>
      </c>
      <c r="O142">
        <v>1.87</v>
      </c>
      <c r="P142" t="b">
        <v>0</v>
      </c>
      <c r="Q142">
        <v>1</v>
      </c>
      <c r="R142">
        <v>-247</v>
      </c>
      <c r="S142">
        <v>1074</v>
      </c>
      <c r="T142">
        <v>-534.79999999999995</v>
      </c>
      <c r="U142" t="s">
        <v>1904</v>
      </c>
      <c r="V142" t="s">
        <v>2768</v>
      </c>
      <c r="W142">
        <v>0</v>
      </c>
      <c r="X142">
        <v>0</v>
      </c>
      <c r="Y142" t="s">
        <v>3620</v>
      </c>
      <c r="Z142">
        <v>-60.5</v>
      </c>
      <c r="AA142">
        <v>6794</v>
      </c>
      <c r="AB142">
        <v>83307</v>
      </c>
      <c r="AC142" t="s">
        <v>4423</v>
      </c>
      <c r="AD142">
        <v>27.45</v>
      </c>
      <c r="AE142" t="s">
        <v>5287</v>
      </c>
      <c r="AF142" t="s">
        <v>6144</v>
      </c>
      <c r="AG142">
        <v>20623</v>
      </c>
      <c r="AH142">
        <v>907</v>
      </c>
      <c r="AI142">
        <v>2</v>
      </c>
      <c r="AJ142">
        <v>1.65</v>
      </c>
    </row>
    <row r="143" spans="1:36">
      <c r="A143" s="1" t="s">
        <v>177</v>
      </c>
      <c r="B143" t="s">
        <v>1041</v>
      </c>
      <c r="C143" t="str">
        <f>HYPERLINK("https://finance.naver.com/item/coinfo.nhn?code=003480", "A003480")</f>
        <v>A003480</v>
      </c>
      <c r="D143" t="str">
        <f>HYPERLINK("http://comp.fnguide.com/SVO2/ASP/SVD_Consensus.asp?pGB=1&amp;gicode=A003480&amp;cID=&amp;MenuYn=Y&amp;ReportGB=&amp;NewMenuID=108&amp;stkGb=701", "한진중공업홀딩스")</f>
        <v>한진중공업홀딩스</v>
      </c>
      <c r="E143">
        <v>3</v>
      </c>
      <c r="F143">
        <v>4090</v>
      </c>
      <c r="G143">
        <v>0</v>
      </c>
      <c r="H143">
        <v>2.5299999999999998</v>
      </c>
      <c r="I143">
        <v>8675</v>
      </c>
      <c r="J143">
        <v>11149</v>
      </c>
      <c r="K143">
        <v>11852</v>
      </c>
      <c r="L143">
        <v>-112.1</v>
      </c>
      <c r="M143">
        <v>-172.59</v>
      </c>
      <c r="N143">
        <v>-189.78</v>
      </c>
      <c r="O143">
        <v>5.39</v>
      </c>
      <c r="P143" t="b">
        <v>0</v>
      </c>
      <c r="Q143">
        <v>0</v>
      </c>
      <c r="R143">
        <v>1025</v>
      </c>
      <c r="U143" t="s">
        <v>1905</v>
      </c>
      <c r="V143" t="s">
        <v>2769</v>
      </c>
      <c r="W143">
        <v>0</v>
      </c>
      <c r="X143">
        <v>-95</v>
      </c>
      <c r="Y143" t="s">
        <v>3621</v>
      </c>
      <c r="Z143">
        <v>-59.085454909042447</v>
      </c>
      <c r="AA143">
        <v>1208</v>
      </c>
      <c r="AB143">
        <v>92055</v>
      </c>
      <c r="AC143" t="s">
        <v>4424</v>
      </c>
      <c r="AD143">
        <v>48.37</v>
      </c>
      <c r="AE143" t="s">
        <v>5288</v>
      </c>
      <c r="AF143" t="s">
        <v>6145</v>
      </c>
      <c r="AG143">
        <v>8776</v>
      </c>
      <c r="AH143">
        <v>384</v>
      </c>
      <c r="AI143">
        <v>3440308</v>
      </c>
    </row>
    <row r="144" spans="1:36">
      <c r="A144" s="1" t="s">
        <v>178</v>
      </c>
      <c r="B144" t="s">
        <v>1042</v>
      </c>
      <c r="C144" t="str">
        <f>HYPERLINK("https://finance.naver.com/item/coinfo.nhn?code=000880", "A000880")</f>
        <v>A000880</v>
      </c>
      <c r="D144" t="str">
        <f>HYPERLINK("http://comp.fnguide.com/SVO2/ASP/SVD_Consensus.asp?pGB=1&amp;gicode=A000880&amp;cID=&amp;MenuYn=Y&amp;ReportGB=&amp;NewMenuID=108&amp;stkGb=701", "한화")</f>
        <v>한화</v>
      </c>
      <c r="E144">
        <v>3</v>
      </c>
      <c r="F144">
        <v>27950</v>
      </c>
      <c r="G144">
        <v>17.100000000000001</v>
      </c>
      <c r="H144">
        <v>27.21</v>
      </c>
      <c r="I144">
        <v>49601</v>
      </c>
      <c r="J144">
        <v>58402</v>
      </c>
      <c r="K144">
        <v>60903</v>
      </c>
      <c r="L144">
        <v>-77.459999999999994</v>
      </c>
      <c r="M144">
        <v>-108.95</v>
      </c>
      <c r="N144">
        <v>-117.9</v>
      </c>
      <c r="O144">
        <v>6.13</v>
      </c>
      <c r="P144" t="b">
        <v>1</v>
      </c>
      <c r="Q144">
        <v>1</v>
      </c>
      <c r="R144">
        <v>919</v>
      </c>
      <c r="S144">
        <v>4341</v>
      </c>
      <c r="T144">
        <v>372.4</v>
      </c>
      <c r="U144" t="s">
        <v>1906</v>
      </c>
      <c r="V144" t="s">
        <v>2770</v>
      </c>
      <c r="W144">
        <v>1.591253096161283</v>
      </c>
      <c r="X144">
        <v>57</v>
      </c>
      <c r="Y144" t="s">
        <v>3622</v>
      </c>
      <c r="Z144">
        <v>-30.230291742787241</v>
      </c>
      <c r="AA144">
        <v>20951</v>
      </c>
      <c r="AB144">
        <v>1676840</v>
      </c>
      <c r="AC144" t="s">
        <v>4425</v>
      </c>
      <c r="AD144">
        <v>38.1</v>
      </c>
      <c r="AE144" t="s">
        <v>5289</v>
      </c>
      <c r="AF144" t="s">
        <v>6146</v>
      </c>
      <c r="AG144">
        <v>504124</v>
      </c>
      <c r="AH144">
        <v>11257</v>
      </c>
      <c r="AI144">
        <v>6060012</v>
      </c>
      <c r="AJ144">
        <v>2.8</v>
      </c>
    </row>
    <row r="145" spans="1:36">
      <c r="A145" s="1" t="s">
        <v>179</v>
      </c>
      <c r="B145" t="s">
        <v>1043</v>
      </c>
      <c r="C145" t="str">
        <f>HYPERLINK("https://finance.naver.com/item/coinfo.nhn?code=088350", "A088350")</f>
        <v>A088350</v>
      </c>
      <c r="D145" t="str">
        <f>HYPERLINK("http://comp.fnguide.com/SVO2/ASP/SVD_Consensus.asp?pGB=1&amp;gicode=A088350&amp;cID=&amp;MenuYn=Y&amp;ReportGB=&amp;NewMenuID=108&amp;stkGb=701", "한화생명")</f>
        <v>한화생명</v>
      </c>
      <c r="E145">
        <v>3</v>
      </c>
      <c r="F145">
        <v>2445</v>
      </c>
      <c r="G145">
        <v>-1.4</v>
      </c>
      <c r="H145">
        <v>19.98</v>
      </c>
      <c r="I145">
        <v>6234</v>
      </c>
      <c r="J145">
        <v>12641</v>
      </c>
      <c r="K145">
        <v>14462</v>
      </c>
      <c r="L145">
        <v>-154.96</v>
      </c>
      <c r="M145">
        <v>-417.02</v>
      </c>
      <c r="N145">
        <v>-491.5</v>
      </c>
      <c r="O145">
        <v>2.93</v>
      </c>
      <c r="P145" t="b">
        <v>0</v>
      </c>
      <c r="Q145">
        <v>1</v>
      </c>
      <c r="R145">
        <v>116</v>
      </c>
      <c r="S145">
        <v>424</v>
      </c>
      <c r="T145">
        <v>265.5</v>
      </c>
      <c r="U145" t="s">
        <v>1907</v>
      </c>
      <c r="V145" t="s">
        <v>2771</v>
      </c>
      <c r="W145">
        <v>-14.24673433658843</v>
      </c>
      <c r="X145">
        <v>2.9</v>
      </c>
      <c r="Y145" t="s">
        <v>3623</v>
      </c>
      <c r="Z145">
        <v>4.7198004424612314</v>
      </c>
      <c r="AA145">
        <v>21236</v>
      </c>
      <c r="AB145">
        <v>5703607</v>
      </c>
      <c r="AC145" t="s">
        <v>4426</v>
      </c>
      <c r="AD145">
        <v>45.05</v>
      </c>
      <c r="AE145" t="s">
        <v>5290</v>
      </c>
      <c r="AF145" t="s">
        <v>6147</v>
      </c>
      <c r="AG145">
        <v>155881</v>
      </c>
      <c r="AH145">
        <v>494</v>
      </c>
      <c r="AI145">
        <v>117139750</v>
      </c>
      <c r="AJ145">
        <v>1.3</v>
      </c>
    </row>
    <row r="146" spans="1:36">
      <c r="A146" s="1" t="s">
        <v>180</v>
      </c>
      <c r="B146" t="s">
        <v>1044</v>
      </c>
      <c r="C146" t="str">
        <f>HYPERLINK("https://finance.naver.com/item/coinfo.nhn?code=000370", "A000370")</f>
        <v>A000370</v>
      </c>
      <c r="D146" t="str">
        <f>HYPERLINK("http://comp.fnguide.com/SVO2/ASP/SVD_Consensus.asp?pGB=1&amp;gicode=A000370&amp;cID=&amp;MenuYn=Y&amp;ReportGB=&amp;NewMenuID=108&amp;stkGb=701", "한화손해보험")</f>
        <v>한화손해보험</v>
      </c>
      <c r="E146">
        <v>3</v>
      </c>
      <c r="F146">
        <v>3705</v>
      </c>
      <c r="G146">
        <v>0</v>
      </c>
      <c r="I146">
        <v>6850</v>
      </c>
      <c r="J146">
        <v>10041</v>
      </c>
      <c r="K146">
        <v>10948</v>
      </c>
      <c r="L146">
        <v>-84.88</v>
      </c>
      <c r="M146">
        <v>-171.01</v>
      </c>
      <c r="N146">
        <v>-195.49</v>
      </c>
      <c r="O146">
        <v>4.4800000000000004</v>
      </c>
      <c r="P146" t="b">
        <v>0</v>
      </c>
      <c r="Q146">
        <v>0</v>
      </c>
      <c r="R146">
        <v>-567</v>
      </c>
      <c r="U146" t="s">
        <v>1908</v>
      </c>
      <c r="V146" t="s">
        <v>2772</v>
      </c>
      <c r="W146">
        <v>0</v>
      </c>
      <c r="X146">
        <v>6.2</v>
      </c>
      <c r="Y146" t="s">
        <v>3624</v>
      </c>
      <c r="Z146">
        <v>6.7631065903609233</v>
      </c>
      <c r="AA146">
        <v>4325</v>
      </c>
      <c r="AB146">
        <v>793632</v>
      </c>
      <c r="AC146" t="s">
        <v>4427</v>
      </c>
      <c r="AD146">
        <v>51.49</v>
      </c>
      <c r="AE146" t="s">
        <v>5291</v>
      </c>
      <c r="AF146" t="s">
        <v>6148</v>
      </c>
      <c r="AG146">
        <v>59810</v>
      </c>
      <c r="AH146">
        <v>-941</v>
      </c>
    </row>
    <row r="147" spans="1:36">
      <c r="A147" s="1" t="s">
        <v>181</v>
      </c>
      <c r="B147" t="s">
        <v>1045</v>
      </c>
      <c r="C147" t="str">
        <f>HYPERLINK("https://finance.naver.com/item/coinfo.nhn?code=006060", "A006060")</f>
        <v>A006060</v>
      </c>
      <c r="D147" t="str">
        <f>HYPERLINK("http://comp.fnguide.com/SVO2/ASP/SVD_Consensus.asp?pGB=1&amp;gicode=A006060&amp;cID=&amp;MenuYn=Y&amp;ReportGB=&amp;NewMenuID=108&amp;stkGb=701", "화승인더")</f>
        <v>화승인더</v>
      </c>
      <c r="E147">
        <v>3</v>
      </c>
      <c r="F147">
        <v>6940</v>
      </c>
      <c r="G147">
        <v>0</v>
      </c>
      <c r="H147">
        <v>11.17</v>
      </c>
      <c r="I147">
        <v>11759</v>
      </c>
      <c r="J147">
        <v>8417</v>
      </c>
      <c r="K147">
        <v>7467</v>
      </c>
      <c r="L147">
        <v>-69.430000000000007</v>
      </c>
      <c r="M147">
        <v>-21.28</v>
      </c>
      <c r="N147">
        <v>-7.6</v>
      </c>
      <c r="O147">
        <v>15.05</v>
      </c>
      <c r="P147" t="b">
        <v>1</v>
      </c>
      <c r="Q147">
        <v>0</v>
      </c>
      <c r="R147">
        <v>1066</v>
      </c>
      <c r="U147" t="s">
        <v>1909</v>
      </c>
      <c r="V147" t="s">
        <v>2773</v>
      </c>
      <c r="W147">
        <v>0</v>
      </c>
      <c r="X147">
        <v>-53.6</v>
      </c>
      <c r="Y147" t="s">
        <v>3625</v>
      </c>
      <c r="Z147">
        <v>4.8863145997710467</v>
      </c>
      <c r="AA147">
        <v>3839</v>
      </c>
      <c r="AB147">
        <v>412851</v>
      </c>
      <c r="AC147" t="s">
        <v>4428</v>
      </c>
      <c r="AD147">
        <v>33.590000000000003</v>
      </c>
      <c r="AE147" t="s">
        <v>5292</v>
      </c>
      <c r="AF147" t="s">
        <v>6149</v>
      </c>
      <c r="AG147">
        <v>14259</v>
      </c>
      <c r="AH147">
        <v>1136</v>
      </c>
      <c r="AI147">
        <v>2071532</v>
      </c>
      <c r="AJ147">
        <v>0.38</v>
      </c>
    </row>
    <row r="148" spans="1:36">
      <c r="A148" s="1" t="s">
        <v>182</v>
      </c>
      <c r="B148" t="s">
        <v>1046</v>
      </c>
      <c r="C148" t="str">
        <f>HYPERLINK("https://finance.naver.com/item/coinfo.nhn?code=133820", "A133820")</f>
        <v>A133820</v>
      </c>
      <c r="D148" t="str">
        <f>HYPERLINK("http://comp.fnguide.com/SVO2/ASP/SVD_Consensus.asp?pGB=1&amp;gicode=A133820&amp;cID=&amp;MenuYn=Y&amp;ReportGB=&amp;NewMenuID=108&amp;stkGb=701", "화인베스틸")</f>
        <v>화인베스틸</v>
      </c>
      <c r="E148">
        <v>3</v>
      </c>
      <c r="F148">
        <v>2470</v>
      </c>
      <c r="G148">
        <v>0</v>
      </c>
      <c r="I148">
        <v>329</v>
      </c>
      <c r="J148">
        <v>2006</v>
      </c>
      <c r="K148">
        <v>2483</v>
      </c>
      <c r="L148">
        <v>86.68</v>
      </c>
      <c r="M148">
        <v>18.77</v>
      </c>
      <c r="N148">
        <v>-0.53</v>
      </c>
      <c r="O148">
        <v>0.84</v>
      </c>
      <c r="P148" t="b">
        <v>0</v>
      </c>
      <c r="Q148">
        <v>0</v>
      </c>
      <c r="R148">
        <v>-254</v>
      </c>
      <c r="U148" t="s">
        <v>1910</v>
      </c>
      <c r="V148" t="s">
        <v>2774</v>
      </c>
      <c r="W148">
        <v>0</v>
      </c>
      <c r="X148">
        <v>0</v>
      </c>
      <c r="Y148" t="s">
        <v>3626</v>
      </c>
      <c r="Z148">
        <v>20.428504158032808</v>
      </c>
      <c r="AA148">
        <v>730</v>
      </c>
      <c r="AB148">
        <v>150193</v>
      </c>
      <c r="AC148" t="s">
        <v>4429</v>
      </c>
      <c r="AD148">
        <v>51.91</v>
      </c>
      <c r="AE148" t="s">
        <v>5293</v>
      </c>
      <c r="AF148" t="s">
        <v>6150</v>
      </c>
      <c r="AG148">
        <v>1348</v>
      </c>
      <c r="AH148">
        <v>-28</v>
      </c>
    </row>
    <row r="149" spans="1:36">
      <c r="A149" s="1" t="s">
        <v>183</v>
      </c>
      <c r="B149" t="s">
        <v>1047</v>
      </c>
      <c r="C149" t="str">
        <f>HYPERLINK("https://finance.naver.com/item/coinfo.nhn?code=212560", "A212560")</f>
        <v>A212560</v>
      </c>
      <c r="D149" t="str">
        <f>HYPERLINK("http://comp.fnguide.com/SVO2/ASP/SVD_Consensus.asp?pGB=1&amp;gicode=A212560&amp;cID=&amp;MenuYn=Y&amp;ReportGB=&amp;NewMenuID=108&amp;stkGb=701", "네오오토")</f>
        <v>네오오토</v>
      </c>
      <c r="E149">
        <v>3</v>
      </c>
      <c r="F149">
        <v>4765</v>
      </c>
      <c r="G149">
        <v>0</v>
      </c>
      <c r="H149">
        <v>14.3</v>
      </c>
      <c r="I149">
        <v>6527</v>
      </c>
      <c r="J149">
        <v>8667</v>
      </c>
      <c r="K149">
        <v>9275</v>
      </c>
      <c r="L149">
        <v>-36.99</v>
      </c>
      <c r="M149">
        <v>-81.88</v>
      </c>
      <c r="N149">
        <v>-94.64</v>
      </c>
      <c r="O149">
        <v>5.14</v>
      </c>
      <c r="P149" t="b">
        <v>1</v>
      </c>
      <c r="Q149">
        <v>0</v>
      </c>
      <c r="R149">
        <v>317</v>
      </c>
      <c r="U149" t="s">
        <v>1911</v>
      </c>
      <c r="V149" t="s">
        <v>2775</v>
      </c>
      <c r="W149">
        <v>0</v>
      </c>
      <c r="X149">
        <v>58.6</v>
      </c>
      <c r="Y149" t="s">
        <v>3627</v>
      </c>
      <c r="Z149">
        <v>-15.308245011764489</v>
      </c>
      <c r="AA149">
        <v>375</v>
      </c>
      <c r="AB149">
        <v>114839</v>
      </c>
      <c r="AC149" t="s">
        <v>4430</v>
      </c>
      <c r="AD149">
        <v>52.48</v>
      </c>
      <c r="AE149" t="s">
        <v>5294</v>
      </c>
      <c r="AF149" t="s">
        <v>6151</v>
      </c>
      <c r="AG149">
        <v>1184</v>
      </c>
      <c r="AH149">
        <v>8</v>
      </c>
      <c r="AI149">
        <v>406</v>
      </c>
      <c r="AJ149">
        <v>1.1000000000000001</v>
      </c>
    </row>
    <row r="150" spans="1:36">
      <c r="A150" s="1" t="s">
        <v>184</v>
      </c>
      <c r="B150" t="s">
        <v>1048</v>
      </c>
      <c r="C150" t="str">
        <f>HYPERLINK("https://finance.naver.com/item/coinfo.nhn?code=010660", "A010660")</f>
        <v>A010660</v>
      </c>
      <c r="D150" t="str">
        <f>HYPERLINK("http://comp.fnguide.com/SVO2/ASP/SVD_Consensus.asp?pGB=1&amp;gicode=A010660&amp;cID=&amp;MenuYn=Y&amp;ReportGB=&amp;NewMenuID=108&amp;stkGb=701", "화천기계")</f>
        <v>화천기계</v>
      </c>
      <c r="E150">
        <v>3</v>
      </c>
      <c r="F150">
        <v>2625</v>
      </c>
      <c r="G150">
        <v>0</v>
      </c>
      <c r="I150">
        <v>62</v>
      </c>
      <c r="J150">
        <v>3811</v>
      </c>
      <c r="K150">
        <v>4876</v>
      </c>
      <c r="L150">
        <v>97.63</v>
      </c>
      <c r="M150">
        <v>-45.18</v>
      </c>
      <c r="N150">
        <v>-85.77</v>
      </c>
      <c r="O150">
        <v>0.08</v>
      </c>
      <c r="P150" t="b">
        <v>0</v>
      </c>
      <c r="Q150">
        <v>0</v>
      </c>
      <c r="R150">
        <v>-279</v>
      </c>
      <c r="U150" t="s">
        <v>1912</v>
      </c>
      <c r="V150" t="s">
        <v>2776</v>
      </c>
      <c r="W150">
        <v>0</v>
      </c>
      <c r="X150">
        <v>0</v>
      </c>
      <c r="Y150" t="s">
        <v>3499</v>
      </c>
      <c r="Z150">
        <v>0</v>
      </c>
      <c r="AA150">
        <v>578</v>
      </c>
      <c r="AB150">
        <v>1267888</v>
      </c>
      <c r="AC150" t="s">
        <v>4431</v>
      </c>
      <c r="AD150">
        <v>34.54</v>
      </c>
      <c r="AE150" t="s">
        <v>5295</v>
      </c>
      <c r="AF150" t="s">
        <v>6152</v>
      </c>
      <c r="AG150">
        <v>1597</v>
      </c>
      <c r="AH150">
        <v>-93</v>
      </c>
      <c r="AI150">
        <v>2200000</v>
      </c>
    </row>
    <row r="151" spans="1:36">
      <c r="A151" s="1" t="s">
        <v>185</v>
      </c>
      <c r="B151" t="s">
        <v>1049</v>
      </c>
      <c r="C151" t="str">
        <f>HYPERLINK("https://finance.naver.com/item/coinfo.nhn?code=255220", "A255220")</f>
        <v>A255220</v>
      </c>
      <c r="D151" t="str">
        <f>HYPERLINK("http://comp.fnguide.com/SVO2/ASP/SVD_Consensus.asp?pGB=1&amp;gicode=A255220&amp;cID=&amp;MenuYn=Y&amp;ReportGB=&amp;NewMenuID=108&amp;stkGb=701", "SG")</f>
        <v>SG</v>
      </c>
      <c r="E151">
        <v>3</v>
      </c>
      <c r="F151">
        <v>1815</v>
      </c>
      <c r="G151">
        <v>0</v>
      </c>
      <c r="H151">
        <v>8.06</v>
      </c>
      <c r="I151">
        <v>5313</v>
      </c>
      <c r="J151">
        <v>3301</v>
      </c>
      <c r="K151">
        <v>2729</v>
      </c>
      <c r="L151">
        <v>-192.74</v>
      </c>
      <c r="M151">
        <v>-81.849999999999994</v>
      </c>
      <c r="N151">
        <v>-50.34</v>
      </c>
      <c r="O151">
        <v>21.44</v>
      </c>
      <c r="P151" t="b">
        <v>1</v>
      </c>
      <c r="Q151">
        <v>0</v>
      </c>
      <c r="R151">
        <v>277</v>
      </c>
      <c r="U151" t="s">
        <v>1913</v>
      </c>
      <c r="V151" t="s">
        <v>2777</v>
      </c>
      <c r="W151">
        <v>0</v>
      </c>
      <c r="X151">
        <v>0</v>
      </c>
      <c r="Y151" t="s">
        <v>3628</v>
      </c>
      <c r="Z151">
        <v>-0.72730083371437271</v>
      </c>
      <c r="AA151">
        <v>666</v>
      </c>
      <c r="AB151">
        <v>119617</v>
      </c>
      <c r="AC151" t="s">
        <v>4432</v>
      </c>
      <c r="AD151">
        <v>40.46</v>
      </c>
      <c r="AE151" t="s">
        <v>5296</v>
      </c>
      <c r="AF151" t="s">
        <v>6153</v>
      </c>
      <c r="AG151">
        <v>1328</v>
      </c>
      <c r="AH151">
        <v>128</v>
      </c>
      <c r="AI151">
        <v>798283</v>
      </c>
    </row>
    <row r="152" spans="1:36">
      <c r="A152" s="1" t="s">
        <v>186</v>
      </c>
      <c r="B152" t="s">
        <v>1050</v>
      </c>
      <c r="C152" t="str">
        <f>HYPERLINK("https://finance.naver.com/item/coinfo.nhn?code=040610", "A040610")</f>
        <v>A040610</v>
      </c>
      <c r="D152" t="str">
        <f>HYPERLINK("http://comp.fnguide.com/SVO2/ASP/SVD_Consensus.asp?pGB=1&amp;gicode=A040610&amp;cID=&amp;MenuYn=Y&amp;ReportGB=&amp;NewMenuID=108&amp;stkGb=701", "SG&amp;G")</f>
        <v>SG&amp;G</v>
      </c>
      <c r="E152">
        <v>3</v>
      </c>
      <c r="F152">
        <v>1565</v>
      </c>
      <c r="G152">
        <v>0</v>
      </c>
      <c r="H152">
        <v>46.47</v>
      </c>
      <c r="I152">
        <v>250</v>
      </c>
      <c r="J152">
        <v>4364</v>
      </c>
      <c r="K152">
        <v>5534</v>
      </c>
      <c r="L152">
        <v>84.03</v>
      </c>
      <c r="M152">
        <v>-178.87</v>
      </c>
      <c r="N152">
        <v>-253.58</v>
      </c>
      <c r="O152">
        <v>0.28000000000000003</v>
      </c>
      <c r="P152" t="b">
        <v>1</v>
      </c>
      <c r="Q152">
        <v>0</v>
      </c>
      <c r="R152">
        <v>40</v>
      </c>
      <c r="U152" t="s">
        <v>1914</v>
      </c>
      <c r="V152" t="s">
        <v>2778</v>
      </c>
      <c r="W152">
        <v>0</v>
      </c>
      <c r="X152">
        <v>179.4</v>
      </c>
      <c r="Y152" t="s">
        <v>3629</v>
      </c>
      <c r="Z152">
        <v>162.16864801116091</v>
      </c>
      <c r="AA152">
        <v>533</v>
      </c>
      <c r="AB152">
        <v>205661</v>
      </c>
      <c r="AC152" t="s">
        <v>4433</v>
      </c>
      <c r="AD152">
        <v>48.87</v>
      </c>
      <c r="AE152" t="s">
        <v>5297</v>
      </c>
      <c r="AF152" t="s">
        <v>6154</v>
      </c>
      <c r="AG152">
        <v>9389</v>
      </c>
      <c r="AH152">
        <v>117</v>
      </c>
      <c r="AI152">
        <v>341110</v>
      </c>
    </row>
    <row r="153" spans="1:36">
      <c r="A153" s="1" t="s">
        <v>187</v>
      </c>
      <c r="B153" t="s">
        <v>1051</v>
      </c>
      <c r="C153" t="str">
        <f>HYPERLINK("https://finance.naver.com/item/coinfo.nhn?code=016250", "A016250")</f>
        <v>A016250</v>
      </c>
      <c r="D153" t="str">
        <f>HYPERLINK("http://comp.fnguide.com/SVO2/ASP/SVD_Consensus.asp?pGB=1&amp;gicode=A016250&amp;cID=&amp;MenuYn=Y&amp;ReportGB=&amp;NewMenuID=108&amp;stkGb=701", "SGC이테크건설")</f>
        <v>SGC이테크건설</v>
      </c>
      <c r="E153">
        <v>3</v>
      </c>
      <c r="F153">
        <v>74900</v>
      </c>
      <c r="G153">
        <v>0</v>
      </c>
      <c r="H153">
        <v>5.86</v>
      </c>
      <c r="I153">
        <v>258691</v>
      </c>
      <c r="J153">
        <v>230779</v>
      </c>
      <c r="K153">
        <v>222847</v>
      </c>
      <c r="L153">
        <v>-245.38</v>
      </c>
      <c r="M153">
        <v>-208.12</v>
      </c>
      <c r="N153">
        <v>-197.53</v>
      </c>
      <c r="O153">
        <v>9.68</v>
      </c>
      <c r="P153" t="b">
        <v>1</v>
      </c>
      <c r="Q153">
        <v>0</v>
      </c>
      <c r="R153">
        <v>6923</v>
      </c>
      <c r="U153" t="s">
        <v>1915</v>
      </c>
      <c r="V153" t="s">
        <v>2779</v>
      </c>
      <c r="W153">
        <v>0</v>
      </c>
      <c r="X153">
        <v>-14.2</v>
      </c>
      <c r="Y153" t="s">
        <v>3630</v>
      </c>
      <c r="Z153">
        <v>-6.9734433392362298</v>
      </c>
      <c r="AA153">
        <v>1184</v>
      </c>
      <c r="AB153">
        <v>33698</v>
      </c>
      <c r="AC153" t="s">
        <v>4434</v>
      </c>
      <c r="AD153">
        <v>48.95</v>
      </c>
      <c r="AE153" t="s">
        <v>5298</v>
      </c>
      <c r="AF153" t="s">
        <v>6155</v>
      </c>
      <c r="AG153">
        <v>16985</v>
      </c>
      <c r="AH153">
        <v>770</v>
      </c>
      <c r="AI153">
        <v>182423</v>
      </c>
      <c r="AJ153">
        <v>3.7</v>
      </c>
    </row>
    <row r="154" spans="1:36">
      <c r="A154" s="1" t="s">
        <v>188</v>
      </c>
      <c r="B154" t="s">
        <v>1052</v>
      </c>
      <c r="C154" t="str">
        <f>HYPERLINK("https://finance.naver.com/item/coinfo.nhn?code=950180", "A950180")</f>
        <v>A950180</v>
      </c>
      <c r="D154" t="str">
        <f>HYPERLINK("http://comp.fnguide.com/SVO2/ASP/SVD_Consensus.asp?pGB=1&amp;gicode=A950180&amp;cID=&amp;MenuYn=Y&amp;ReportGB=&amp;NewMenuID=108&amp;stkGb=701", "SNK")</f>
        <v>SNK</v>
      </c>
      <c r="E154">
        <v>3</v>
      </c>
      <c r="F154">
        <v>17950</v>
      </c>
      <c r="G154">
        <v>-2.6</v>
      </c>
      <c r="H154">
        <v>12.95</v>
      </c>
      <c r="I154">
        <v>28759</v>
      </c>
      <c r="J154">
        <v>21186</v>
      </c>
      <c r="K154">
        <v>19035</v>
      </c>
      <c r="L154">
        <v>-60.21</v>
      </c>
      <c r="M154">
        <v>-18.03</v>
      </c>
      <c r="N154">
        <v>-6.04</v>
      </c>
      <c r="O154">
        <v>14.12</v>
      </c>
      <c r="P154" t="b">
        <v>0</v>
      </c>
      <c r="Q154">
        <v>1</v>
      </c>
      <c r="R154">
        <v>1035</v>
      </c>
      <c r="S154">
        <v>1268</v>
      </c>
      <c r="T154">
        <v>22.5</v>
      </c>
      <c r="U154" t="s">
        <v>1916</v>
      </c>
      <c r="V154" t="s">
        <v>2780</v>
      </c>
      <c r="W154">
        <v>-4.9765671839510421</v>
      </c>
      <c r="X154">
        <v>-39.200000000000003</v>
      </c>
      <c r="Y154" t="s">
        <v>3631</v>
      </c>
      <c r="Z154">
        <v>0</v>
      </c>
      <c r="AA154">
        <v>3781</v>
      </c>
      <c r="AB154">
        <v>642796</v>
      </c>
      <c r="AC154" t="s">
        <v>4435</v>
      </c>
      <c r="AD154">
        <v>33.159999999999997</v>
      </c>
      <c r="AE154" t="s">
        <v>5299</v>
      </c>
      <c r="AF154" t="s">
        <v>6156</v>
      </c>
      <c r="AG154">
        <v>860</v>
      </c>
      <c r="AH154">
        <v>239</v>
      </c>
      <c r="AI154">
        <v>528203</v>
      </c>
    </row>
    <row r="155" spans="1:36">
      <c r="A155" s="1" t="s">
        <v>189</v>
      </c>
      <c r="B155" t="s">
        <v>1053</v>
      </c>
      <c r="C155" t="str">
        <f>HYPERLINK("https://finance.naver.com/item/coinfo.nhn?code=032540", "A032540")</f>
        <v>A032540</v>
      </c>
      <c r="D155" t="str">
        <f>HYPERLINK("http://comp.fnguide.com/SVO2/ASP/SVD_Consensus.asp?pGB=1&amp;gicode=A032540&amp;cID=&amp;MenuYn=Y&amp;ReportGB=&amp;NewMenuID=108&amp;stkGb=701", "TJ미디어")</f>
        <v>TJ미디어</v>
      </c>
      <c r="E155">
        <v>3</v>
      </c>
      <c r="F155">
        <v>3070</v>
      </c>
      <c r="G155">
        <v>0</v>
      </c>
      <c r="H155">
        <v>51.51</v>
      </c>
      <c r="I155">
        <v>654</v>
      </c>
      <c r="J155">
        <v>3655</v>
      </c>
      <c r="K155">
        <v>4508</v>
      </c>
      <c r="L155">
        <v>78.709999999999994</v>
      </c>
      <c r="M155">
        <v>-19.05</v>
      </c>
      <c r="N155">
        <v>-46.83</v>
      </c>
      <c r="O155">
        <v>0.92</v>
      </c>
      <c r="P155" t="b">
        <v>1</v>
      </c>
      <c r="Q155">
        <v>0</v>
      </c>
      <c r="R155">
        <v>64</v>
      </c>
      <c r="U155" t="s">
        <v>1917</v>
      </c>
      <c r="V155" t="s">
        <v>2781</v>
      </c>
      <c r="W155">
        <v>0</v>
      </c>
      <c r="X155">
        <v>0</v>
      </c>
      <c r="Y155" t="s">
        <v>3632</v>
      </c>
      <c r="Z155">
        <v>-9.5657144662490303</v>
      </c>
      <c r="AA155">
        <v>428</v>
      </c>
      <c r="AB155">
        <v>6241</v>
      </c>
      <c r="AC155" t="s">
        <v>4436</v>
      </c>
      <c r="AD155">
        <v>54.81</v>
      </c>
      <c r="AE155" t="s">
        <v>5300</v>
      </c>
      <c r="AF155" t="s">
        <v>6157</v>
      </c>
      <c r="AG155">
        <v>754</v>
      </c>
      <c r="AH155">
        <v>5</v>
      </c>
      <c r="AJ155">
        <v>1.51</v>
      </c>
    </row>
    <row r="156" spans="1:36">
      <c r="A156" s="1" t="s">
        <v>190</v>
      </c>
      <c r="B156" t="s">
        <v>1054</v>
      </c>
      <c r="C156" t="str">
        <f>HYPERLINK("https://finance.naver.com/item/coinfo.nhn?code=040300", "A040300")</f>
        <v>A040300</v>
      </c>
      <c r="D156" t="str">
        <f>HYPERLINK("http://comp.fnguide.com/SVO2/ASP/SVD_Consensus.asp?pGB=1&amp;gicode=A040300&amp;cID=&amp;MenuYn=Y&amp;ReportGB=&amp;NewMenuID=108&amp;stkGb=701", "YTN")</f>
        <v>YTN</v>
      </c>
      <c r="E156">
        <v>3</v>
      </c>
      <c r="F156">
        <v>2905</v>
      </c>
      <c r="G156">
        <v>0</v>
      </c>
      <c r="I156">
        <v>292</v>
      </c>
      <c r="J156">
        <v>2769</v>
      </c>
      <c r="K156">
        <v>3473</v>
      </c>
      <c r="L156">
        <v>89.96</v>
      </c>
      <c r="M156">
        <v>4.67</v>
      </c>
      <c r="N156">
        <v>-19.559999999999999</v>
      </c>
      <c r="O156">
        <v>0.53</v>
      </c>
      <c r="P156" t="b">
        <v>0</v>
      </c>
      <c r="Q156">
        <v>0</v>
      </c>
      <c r="R156">
        <v>-35</v>
      </c>
      <c r="U156" t="s">
        <v>1918</v>
      </c>
      <c r="V156" t="s">
        <v>2782</v>
      </c>
      <c r="W156">
        <v>0</v>
      </c>
      <c r="X156">
        <v>0</v>
      </c>
      <c r="Y156" t="s">
        <v>3633</v>
      </c>
      <c r="Z156">
        <v>-55.020893739426079</v>
      </c>
      <c r="AA156">
        <v>1220</v>
      </c>
      <c r="AB156">
        <v>78607</v>
      </c>
      <c r="AC156" t="s">
        <v>4437</v>
      </c>
      <c r="AD156">
        <v>21.87</v>
      </c>
      <c r="AE156" t="s">
        <v>5301</v>
      </c>
      <c r="AF156" t="s">
        <v>6158</v>
      </c>
      <c r="AG156">
        <v>1308</v>
      </c>
      <c r="AH156">
        <v>5</v>
      </c>
      <c r="AJ156">
        <v>0.49</v>
      </c>
    </row>
    <row r="157" spans="1:36">
      <c r="A157" s="1" t="s">
        <v>191</v>
      </c>
      <c r="B157" t="s">
        <v>1055</v>
      </c>
      <c r="C157" t="str">
        <f>HYPERLINK("https://finance.naver.com/item/coinfo.nhn?code=051390", "A051390")</f>
        <v>A051390</v>
      </c>
      <c r="D157" t="str">
        <f>HYPERLINK("http://comp.fnguide.com/SVO2/ASP/SVD_Consensus.asp?pGB=1&amp;gicode=A051390&amp;cID=&amp;MenuYn=Y&amp;ReportGB=&amp;NewMenuID=108&amp;stkGb=701", "YW")</f>
        <v>YW</v>
      </c>
      <c r="E157">
        <v>3</v>
      </c>
      <c r="F157">
        <v>3840</v>
      </c>
      <c r="G157">
        <v>0</v>
      </c>
      <c r="H157">
        <v>21.63</v>
      </c>
      <c r="I157">
        <v>3228</v>
      </c>
      <c r="J157">
        <v>6260</v>
      </c>
      <c r="K157">
        <v>7122</v>
      </c>
      <c r="L157">
        <v>15.94</v>
      </c>
      <c r="M157">
        <v>-63.02</v>
      </c>
      <c r="N157">
        <v>-85.46</v>
      </c>
      <c r="O157">
        <v>3.1</v>
      </c>
      <c r="P157" t="b">
        <v>1</v>
      </c>
      <c r="Q157">
        <v>0</v>
      </c>
      <c r="R157">
        <v>174</v>
      </c>
      <c r="U157" t="s">
        <v>1919</v>
      </c>
      <c r="V157" t="s">
        <v>2783</v>
      </c>
      <c r="W157">
        <v>0</v>
      </c>
      <c r="X157">
        <v>55.5</v>
      </c>
      <c r="Y157" t="s">
        <v>3634</v>
      </c>
      <c r="Z157">
        <v>4.5369445417466236</v>
      </c>
      <c r="AA157">
        <v>436</v>
      </c>
      <c r="AB157">
        <v>12198</v>
      </c>
      <c r="AC157" t="s">
        <v>4438</v>
      </c>
      <c r="AD157">
        <v>23.3</v>
      </c>
      <c r="AE157" t="s">
        <v>5302</v>
      </c>
      <c r="AF157" t="s">
        <v>6159</v>
      </c>
      <c r="AG157">
        <v>192</v>
      </c>
      <c r="AH157">
        <v>28</v>
      </c>
      <c r="AI157">
        <v>2743300</v>
      </c>
      <c r="AJ157">
        <v>1.33</v>
      </c>
    </row>
    <row r="158" spans="1:36">
      <c r="A158" s="1" t="s">
        <v>192</v>
      </c>
      <c r="B158" t="s">
        <v>1056</v>
      </c>
      <c r="C158" t="str">
        <f>HYPERLINK("https://finance.naver.com/item/coinfo.nhn?code=078890", "A078890")</f>
        <v>A078890</v>
      </c>
      <c r="D158" t="str">
        <f>HYPERLINK("http://comp.fnguide.com/SVO2/ASP/SVD_Consensus.asp?pGB=1&amp;gicode=A078890&amp;cID=&amp;MenuYn=Y&amp;ReportGB=&amp;NewMenuID=108&amp;stkGb=701", "가온미디어")</f>
        <v>가온미디어</v>
      </c>
      <c r="E158">
        <v>3</v>
      </c>
      <c r="F158">
        <v>6370</v>
      </c>
      <c r="G158">
        <v>0</v>
      </c>
      <c r="H158">
        <v>6.87</v>
      </c>
      <c r="I158">
        <v>11429</v>
      </c>
      <c r="J158">
        <v>11145</v>
      </c>
      <c r="K158">
        <v>11065</v>
      </c>
      <c r="L158">
        <v>-79.42</v>
      </c>
      <c r="M158">
        <v>-74.97</v>
      </c>
      <c r="N158">
        <v>-73.7</v>
      </c>
      <c r="O158">
        <v>8.2799999999999994</v>
      </c>
      <c r="P158" t="b">
        <v>1</v>
      </c>
      <c r="Q158">
        <v>0</v>
      </c>
      <c r="R158">
        <v>1200</v>
      </c>
      <c r="U158" t="s">
        <v>1920</v>
      </c>
      <c r="V158" t="s">
        <v>2784</v>
      </c>
      <c r="W158">
        <v>0</v>
      </c>
      <c r="X158">
        <v>-72.599999999999994</v>
      </c>
      <c r="Y158" t="s">
        <v>3635</v>
      </c>
      <c r="Z158">
        <v>-14.838319937541669</v>
      </c>
      <c r="AA158">
        <v>960</v>
      </c>
      <c r="AB158">
        <v>108816</v>
      </c>
      <c r="AC158" t="s">
        <v>4439</v>
      </c>
      <c r="AD158">
        <v>16.059999999999999</v>
      </c>
      <c r="AE158" t="s">
        <v>5303</v>
      </c>
      <c r="AF158" t="s">
        <v>6160</v>
      </c>
      <c r="AG158">
        <v>6010</v>
      </c>
      <c r="AH158">
        <v>291</v>
      </c>
      <c r="AI158">
        <v>664245</v>
      </c>
      <c r="AJ158">
        <v>1.19</v>
      </c>
    </row>
    <row r="159" spans="1:36">
      <c r="A159" s="1" t="s">
        <v>193</v>
      </c>
      <c r="B159" t="s">
        <v>1057</v>
      </c>
      <c r="C159" t="str">
        <f>HYPERLINK("https://finance.naver.com/item/coinfo.nhn?code=039240", "A039240")</f>
        <v>A039240</v>
      </c>
      <c r="D159" t="str">
        <f>HYPERLINK("http://comp.fnguide.com/SVO2/ASP/SVD_Consensus.asp?pGB=1&amp;gicode=A039240&amp;cID=&amp;MenuYn=Y&amp;ReportGB=&amp;NewMenuID=108&amp;stkGb=701", "경남스틸")</f>
        <v>경남스틸</v>
      </c>
      <c r="E159">
        <v>3</v>
      </c>
      <c r="F159">
        <v>1935</v>
      </c>
      <c r="G159">
        <v>0</v>
      </c>
      <c r="H159">
        <v>9.6199999999999992</v>
      </c>
      <c r="I159">
        <v>2530</v>
      </c>
      <c r="J159">
        <v>3107</v>
      </c>
      <c r="K159">
        <v>3270</v>
      </c>
      <c r="L159">
        <v>-30.77</v>
      </c>
      <c r="M159">
        <v>-60.54</v>
      </c>
      <c r="N159">
        <v>-69.010000000000005</v>
      </c>
      <c r="O159">
        <v>5.76</v>
      </c>
      <c r="P159" t="b">
        <v>1</v>
      </c>
      <c r="Q159">
        <v>0</v>
      </c>
      <c r="R159">
        <v>186</v>
      </c>
      <c r="U159" t="s">
        <v>1921</v>
      </c>
      <c r="V159" t="s">
        <v>2785</v>
      </c>
      <c r="W159">
        <v>0</v>
      </c>
      <c r="X159">
        <v>-32.4</v>
      </c>
      <c r="Y159" t="s">
        <v>3636</v>
      </c>
      <c r="Z159">
        <v>-17.378549283803672</v>
      </c>
      <c r="AA159">
        <v>484</v>
      </c>
      <c r="AB159">
        <v>105850</v>
      </c>
      <c r="AC159" t="s">
        <v>4440</v>
      </c>
      <c r="AD159">
        <v>47.49</v>
      </c>
      <c r="AE159" t="s">
        <v>5304</v>
      </c>
      <c r="AF159" t="s">
        <v>6161</v>
      </c>
      <c r="AG159">
        <v>3182</v>
      </c>
      <c r="AH159">
        <v>61</v>
      </c>
      <c r="AJ159">
        <v>5.04</v>
      </c>
    </row>
    <row r="160" spans="1:36">
      <c r="A160" s="1" t="s">
        <v>194</v>
      </c>
      <c r="B160" t="s">
        <v>1058</v>
      </c>
      <c r="C160" t="str">
        <f>HYPERLINK("https://finance.naver.com/item/coinfo.nhn?code=900280", "A900280")</f>
        <v>A900280</v>
      </c>
      <c r="D160" t="str">
        <f>HYPERLINK("http://comp.fnguide.com/SVO2/ASP/SVD_Consensus.asp?pGB=1&amp;gicode=A900280&amp;cID=&amp;MenuYn=Y&amp;ReportGB=&amp;NewMenuID=108&amp;stkGb=701", "골든센츄리")</f>
        <v>골든센츄리</v>
      </c>
      <c r="E160">
        <v>3</v>
      </c>
      <c r="F160">
        <v>288</v>
      </c>
      <c r="G160">
        <v>0</v>
      </c>
      <c r="H160">
        <v>1.46</v>
      </c>
      <c r="I160">
        <v>2334</v>
      </c>
      <c r="J160">
        <v>1749</v>
      </c>
      <c r="K160">
        <v>1583</v>
      </c>
      <c r="L160">
        <v>-710.29</v>
      </c>
      <c r="M160">
        <v>-507.36</v>
      </c>
      <c r="N160">
        <v>-449.69</v>
      </c>
      <c r="O160">
        <v>13.6</v>
      </c>
      <c r="P160" t="b">
        <v>0</v>
      </c>
      <c r="Q160">
        <v>0</v>
      </c>
      <c r="R160">
        <v>214</v>
      </c>
      <c r="U160" t="s">
        <v>1922</v>
      </c>
      <c r="V160" t="s">
        <v>2786</v>
      </c>
      <c r="W160">
        <v>0</v>
      </c>
      <c r="X160">
        <v>-40.4</v>
      </c>
      <c r="Y160" t="s">
        <v>3637</v>
      </c>
      <c r="Z160">
        <v>-27.029399121009369</v>
      </c>
      <c r="AA160">
        <v>457</v>
      </c>
      <c r="AB160">
        <v>1054822</v>
      </c>
      <c r="AC160" t="s">
        <v>4441</v>
      </c>
      <c r="AD160">
        <v>28.29</v>
      </c>
      <c r="AE160" t="s">
        <v>5305</v>
      </c>
      <c r="AF160" t="s">
        <v>6162</v>
      </c>
      <c r="AG160">
        <v>1131</v>
      </c>
      <c r="AH160">
        <v>294</v>
      </c>
    </row>
    <row r="161" spans="1:36">
      <c r="A161" s="1" t="s">
        <v>195</v>
      </c>
      <c r="B161" t="s">
        <v>1059</v>
      </c>
      <c r="C161" t="str">
        <f>HYPERLINK("https://finance.naver.com/item/coinfo.nhn?code=121440", "A121440")</f>
        <v>A121440</v>
      </c>
      <c r="D161" t="str">
        <f>HYPERLINK("http://comp.fnguide.com/SVO2/ASP/SVD_Consensus.asp?pGB=1&amp;gicode=A121440&amp;cID=&amp;MenuYn=Y&amp;ReportGB=&amp;NewMenuID=108&amp;stkGb=701", "골프존뉴딘홀딩스")</f>
        <v>골프존뉴딘홀딩스</v>
      </c>
      <c r="E161">
        <v>3</v>
      </c>
      <c r="F161">
        <v>5560</v>
      </c>
      <c r="G161">
        <v>0</v>
      </c>
      <c r="I161">
        <v>0</v>
      </c>
      <c r="J161">
        <v>6314</v>
      </c>
      <c r="K161">
        <v>8108</v>
      </c>
      <c r="L161">
        <v>100</v>
      </c>
      <c r="M161">
        <v>-13.56</v>
      </c>
      <c r="N161">
        <v>-45.83</v>
      </c>
      <c r="O161">
        <v>0</v>
      </c>
      <c r="P161" t="b">
        <v>0</v>
      </c>
      <c r="Q161">
        <v>1</v>
      </c>
      <c r="R161">
        <v>-751</v>
      </c>
      <c r="S161">
        <v>591</v>
      </c>
      <c r="T161">
        <v>-178.7</v>
      </c>
      <c r="U161" t="s">
        <v>1923</v>
      </c>
      <c r="V161" t="s">
        <v>2787</v>
      </c>
      <c r="W161">
        <v>0</v>
      </c>
      <c r="X161">
        <v>0</v>
      </c>
      <c r="Y161" t="s">
        <v>3638</v>
      </c>
      <c r="Z161">
        <v>-99.6</v>
      </c>
      <c r="AA161">
        <v>2382</v>
      </c>
      <c r="AB161">
        <v>53464</v>
      </c>
      <c r="AC161" t="s">
        <v>4442</v>
      </c>
      <c r="AD161">
        <v>55.01</v>
      </c>
      <c r="AE161" t="s">
        <v>5306</v>
      </c>
      <c r="AF161" t="s">
        <v>6163</v>
      </c>
      <c r="AG161">
        <v>2289</v>
      </c>
      <c r="AH161">
        <v>-36</v>
      </c>
      <c r="AI161">
        <v>77616</v>
      </c>
      <c r="AJ161">
        <v>3.3</v>
      </c>
    </row>
    <row r="162" spans="1:36">
      <c r="A162" s="1" t="s">
        <v>196</v>
      </c>
      <c r="B162" t="s">
        <v>1060</v>
      </c>
      <c r="C162" t="str">
        <f>HYPERLINK("https://finance.naver.com/item/coinfo.nhn?code=053270", "A053270")</f>
        <v>A053270</v>
      </c>
      <c r="D162" t="str">
        <f>HYPERLINK("http://comp.fnguide.com/SVO2/ASP/SVD_Consensus.asp?pGB=1&amp;gicode=A053270&amp;cID=&amp;MenuYn=Y&amp;ReportGB=&amp;NewMenuID=108&amp;stkGb=701", "구영테크")</f>
        <v>구영테크</v>
      </c>
      <c r="E162">
        <v>3</v>
      </c>
      <c r="F162">
        <v>1620</v>
      </c>
      <c r="G162">
        <v>0</v>
      </c>
      <c r="H162">
        <v>14.32</v>
      </c>
      <c r="I162">
        <v>2214</v>
      </c>
      <c r="J162">
        <v>2630</v>
      </c>
      <c r="K162">
        <v>2748</v>
      </c>
      <c r="L162">
        <v>-36.69</v>
      </c>
      <c r="M162">
        <v>-62.36</v>
      </c>
      <c r="N162">
        <v>-69.650000000000006</v>
      </c>
      <c r="O162">
        <v>6.05</v>
      </c>
      <c r="P162" t="b">
        <v>1</v>
      </c>
      <c r="Q162">
        <v>0</v>
      </c>
      <c r="R162">
        <v>127</v>
      </c>
      <c r="U162" t="s">
        <v>1924</v>
      </c>
      <c r="V162" t="s">
        <v>2788</v>
      </c>
      <c r="W162">
        <v>0</v>
      </c>
      <c r="X162">
        <v>0</v>
      </c>
      <c r="Y162" t="s">
        <v>3639</v>
      </c>
      <c r="Z162">
        <v>-10.00159342448354</v>
      </c>
      <c r="AA162">
        <v>428</v>
      </c>
      <c r="AB162">
        <v>144058</v>
      </c>
      <c r="AC162" t="s">
        <v>4443</v>
      </c>
      <c r="AD162">
        <v>46.62</v>
      </c>
      <c r="AE162" t="s">
        <v>5307</v>
      </c>
      <c r="AF162" t="s">
        <v>6164</v>
      </c>
      <c r="AG162">
        <v>2309</v>
      </c>
      <c r="AH162">
        <v>52</v>
      </c>
      <c r="AI162">
        <v>1716296</v>
      </c>
      <c r="AJ162">
        <v>1.65</v>
      </c>
    </row>
    <row r="163" spans="1:36">
      <c r="A163" s="1" t="s">
        <v>197</v>
      </c>
      <c r="B163" t="s">
        <v>1061</v>
      </c>
      <c r="C163" t="str">
        <f>HYPERLINK("https://finance.naver.com/item/coinfo.nhn?code=066620", "A066620")</f>
        <v>A066620</v>
      </c>
      <c r="D163" t="str">
        <f>HYPERLINK("http://comp.fnguide.com/SVO2/ASP/SVD_Consensus.asp?pGB=1&amp;gicode=A066620&amp;cID=&amp;MenuYn=Y&amp;ReportGB=&amp;NewMenuID=108&amp;stkGb=701", "국보디자인")</f>
        <v>국보디자인</v>
      </c>
      <c r="E163">
        <v>3</v>
      </c>
      <c r="F163">
        <v>17150</v>
      </c>
      <c r="G163">
        <v>0</v>
      </c>
      <c r="H163">
        <v>8.02</v>
      </c>
      <c r="I163">
        <v>31011</v>
      </c>
      <c r="J163">
        <v>23156</v>
      </c>
      <c r="K163">
        <v>20923</v>
      </c>
      <c r="L163">
        <v>-80.819999999999993</v>
      </c>
      <c r="M163">
        <v>-35.020000000000003</v>
      </c>
      <c r="N163">
        <v>-22</v>
      </c>
      <c r="O163">
        <v>13.71</v>
      </c>
      <c r="P163" t="b">
        <v>1</v>
      </c>
      <c r="Q163">
        <v>0</v>
      </c>
      <c r="R163">
        <v>2126</v>
      </c>
      <c r="U163" t="s">
        <v>1925</v>
      </c>
      <c r="V163" t="s">
        <v>2789</v>
      </c>
      <c r="W163">
        <v>0</v>
      </c>
      <c r="X163">
        <v>21.4</v>
      </c>
      <c r="Y163" t="s">
        <v>3640</v>
      </c>
      <c r="Z163">
        <v>12.42884827928215</v>
      </c>
      <c r="AA163">
        <v>1286</v>
      </c>
      <c r="AB163">
        <v>18865</v>
      </c>
      <c r="AC163" t="s">
        <v>4444</v>
      </c>
      <c r="AD163">
        <v>53.09</v>
      </c>
      <c r="AE163" t="s">
        <v>5308</v>
      </c>
      <c r="AF163" t="s">
        <v>6165</v>
      </c>
      <c r="AG163">
        <v>2690</v>
      </c>
      <c r="AH163">
        <v>116</v>
      </c>
      <c r="AI163">
        <v>627314</v>
      </c>
      <c r="AJ163">
        <v>1.76</v>
      </c>
    </row>
    <row r="164" spans="1:36">
      <c r="A164" s="1" t="s">
        <v>198</v>
      </c>
      <c r="B164" t="s">
        <v>1062</v>
      </c>
      <c r="C164" t="str">
        <f>HYPERLINK("https://finance.naver.com/item/coinfo.nhn?code=043650", "A043650")</f>
        <v>A043650</v>
      </c>
      <c r="D164" t="str">
        <f>HYPERLINK("http://comp.fnguide.com/SVO2/ASP/SVD_Consensus.asp?pGB=1&amp;gicode=A043650&amp;cID=&amp;MenuYn=Y&amp;ReportGB=&amp;NewMenuID=108&amp;stkGb=701", "국순당")</f>
        <v>국순당</v>
      </c>
      <c r="E164">
        <v>3</v>
      </c>
      <c r="F164">
        <v>5720</v>
      </c>
      <c r="G164">
        <v>0</v>
      </c>
      <c r="I164">
        <v>1271</v>
      </c>
      <c r="J164">
        <v>8163</v>
      </c>
      <c r="K164">
        <v>10121</v>
      </c>
      <c r="L164">
        <v>77.77</v>
      </c>
      <c r="M164">
        <v>-42.71</v>
      </c>
      <c r="N164">
        <v>-76.94</v>
      </c>
      <c r="O164">
        <v>0.79</v>
      </c>
      <c r="P164" t="b">
        <v>0</v>
      </c>
      <c r="Q164">
        <v>0</v>
      </c>
      <c r="R164">
        <v>-285</v>
      </c>
      <c r="U164" t="s">
        <v>1926</v>
      </c>
      <c r="V164" t="s">
        <v>2790</v>
      </c>
      <c r="W164">
        <v>0</v>
      </c>
      <c r="X164">
        <v>0</v>
      </c>
      <c r="Y164" t="s">
        <v>3499</v>
      </c>
      <c r="Z164">
        <v>0</v>
      </c>
      <c r="AA164">
        <v>1021</v>
      </c>
      <c r="AB164">
        <v>44467</v>
      </c>
      <c r="AC164" t="s">
        <v>4445</v>
      </c>
      <c r="AD164">
        <v>42.83</v>
      </c>
      <c r="AE164" t="s">
        <v>5309</v>
      </c>
      <c r="AF164" t="s">
        <v>6166</v>
      </c>
      <c r="AG164">
        <v>1021</v>
      </c>
      <c r="AH164">
        <v>-60</v>
      </c>
      <c r="AI164">
        <v>2117838</v>
      </c>
      <c r="AJ164">
        <v>3.08</v>
      </c>
    </row>
    <row r="165" spans="1:36">
      <c r="A165" s="1" t="s">
        <v>199</v>
      </c>
      <c r="B165" t="s">
        <v>1063</v>
      </c>
      <c r="C165" t="str">
        <f>HYPERLINK("https://finance.naver.com/item/coinfo.nhn?code=204020", "A204020")</f>
        <v>A204020</v>
      </c>
      <c r="D165" t="str">
        <f>HYPERLINK("http://comp.fnguide.com/SVO2/ASP/SVD_Consensus.asp?pGB=1&amp;gicode=A204020&amp;cID=&amp;MenuYn=Y&amp;ReportGB=&amp;NewMenuID=108&amp;stkGb=701", "그리티")</f>
        <v>그리티</v>
      </c>
      <c r="E165">
        <v>3</v>
      </c>
      <c r="F165">
        <v>2990</v>
      </c>
      <c r="G165">
        <v>0</v>
      </c>
      <c r="H165">
        <v>31.23</v>
      </c>
      <c r="I165">
        <v>3131</v>
      </c>
      <c r="J165">
        <v>3592</v>
      </c>
      <c r="K165">
        <v>3723</v>
      </c>
      <c r="L165">
        <v>-4.72</v>
      </c>
      <c r="M165">
        <v>-20.14</v>
      </c>
      <c r="N165">
        <v>-24.53</v>
      </c>
      <c r="O165">
        <v>6.38</v>
      </c>
      <c r="P165" t="b">
        <v>1</v>
      </c>
      <c r="Q165">
        <v>0</v>
      </c>
      <c r="R165">
        <v>89</v>
      </c>
      <c r="U165" t="s">
        <v>1927</v>
      </c>
      <c r="V165" t="s">
        <v>2791</v>
      </c>
      <c r="W165">
        <v>0</v>
      </c>
      <c r="X165">
        <v>21.7</v>
      </c>
      <c r="Y165" t="s">
        <v>3641</v>
      </c>
      <c r="Z165">
        <v>-20.36480190834531</v>
      </c>
      <c r="AA165">
        <v>602</v>
      </c>
      <c r="AB165">
        <v>45876</v>
      </c>
      <c r="AC165" t="s">
        <v>4446</v>
      </c>
      <c r="AD165">
        <v>37.71</v>
      </c>
      <c r="AE165" t="s">
        <v>5310</v>
      </c>
      <c r="AF165" t="s">
        <v>6167</v>
      </c>
      <c r="AG165">
        <v>1231</v>
      </c>
      <c r="AH165">
        <v>29</v>
      </c>
      <c r="AI165">
        <v>1135773</v>
      </c>
      <c r="AJ165">
        <v>1.08</v>
      </c>
    </row>
    <row r="166" spans="1:36">
      <c r="A166" s="1" t="s">
        <v>200</v>
      </c>
      <c r="B166" t="s">
        <v>1064</v>
      </c>
      <c r="C166" t="str">
        <f>HYPERLINK("https://finance.naver.com/item/coinfo.nhn?code=900070", "A900070")</f>
        <v>A900070</v>
      </c>
      <c r="D166" t="str">
        <f>HYPERLINK("http://comp.fnguide.com/SVO2/ASP/SVD_Consensus.asp?pGB=1&amp;gicode=A900070&amp;cID=&amp;MenuYn=Y&amp;ReportGB=&amp;NewMenuID=108&amp;stkGb=701", "글로벌에스엠")</f>
        <v>글로벌에스엠</v>
      </c>
      <c r="E166">
        <v>3</v>
      </c>
      <c r="F166">
        <v>570</v>
      </c>
      <c r="G166">
        <v>0</v>
      </c>
      <c r="H166">
        <v>21.7</v>
      </c>
      <c r="I166">
        <v>200</v>
      </c>
      <c r="J166">
        <v>1003</v>
      </c>
      <c r="K166">
        <v>1232</v>
      </c>
      <c r="L166">
        <v>64.89</v>
      </c>
      <c r="M166">
        <v>-76.02</v>
      </c>
      <c r="N166">
        <v>-116.06</v>
      </c>
      <c r="O166">
        <v>1.03</v>
      </c>
      <c r="P166" t="b">
        <v>0</v>
      </c>
      <c r="Q166">
        <v>0</v>
      </c>
      <c r="R166">
        <v>31</v>
      </c>
      <c r="U166" t="s">
        <v>1928</v>
      </c>
      <c r="V166" t="s">
        <v>2792</v>
      </c>
      <c r="W166">
        <v>0</v>
      </c>
      <c r="X166">
        <v>0</v>
      </c>
      <c r="Y166" t="s">
        <v>3642</v>
      </c>
      <c r="Z166">
        <v>1577.7</v>
      </c>
      <c r="AA166">
        <v>306</v>
      </c>
      <c r="AB166">
        <v>377914</v>
      </c>
      <c r="AC166" t="s">
        <v>4447</v>
      </c>
      <c r="AD166">
        <v>53.58</v>
      </c>
      <c r="AE166" t="s">
        <v>5311</v>
      </c>
      <c r="AF166" t="s">
        <v>6168</v>
      </c>
      <c r="AG166">
        <v>1093</v>
      </c>
      <c r="AH166">
        <v>46</v>
      </c>
    </row>
    <row r="167" spans="1:36">
      <c r="A167" s="1" t="s">
        <v>201</v>
      </c>
      <c r="B167" t="s">
        <v>1065</v>
      </c>
      <c r="C167" t="str">
        <f>HYPERLINK("https://finance.naver.com/item/coinfo.nhn?code=053260", "A053260")</f>
        <v>A053260</v>
      </c>
      <c r="D167" t="str">
        <f>HYPERLINK("http://comp.fnguide.com/SVO2/ASP/SVD_Consensus.asp?pGB=1&amp;gicode=A053260&amp;cID=&amp;MenuYn=Y&amp;ReportGB=&amp;NewMenuID=108&amp;stkGb=701", "금강철강")</f>
        <v>금강철강</v>
      </c>
      <c r="E167">
        <v>3</v>
      </c>
      <c r="F167">
        <v>3475</v>
      </c>
      <c r="G167">
        <v>0</v>
      </c>
      <c r="H167">
        <v>15.12</v>
      </c>
      <c r="I167">
        <v>3509</v>
      </c>
      <c r="J167">
        <v>5501</v>
      </c>
      <c r="K167">
        <v>6067</v>
      </c>
      <c r="L167">
        <v>-0.97</v>
      </c>
      <c r="M167">
        <v>-58.3</v>
      </c>
      <c r="N167">
        <v>-74.59</v>
      </c>
      <c r="O167">
        <v>4.08</v>
      </c>
      <c r="P167" t="b">
        <v>1</v>
      </c>
      <c r="Q167">
        <v>0</v>
      </c>
      <c r="R167">
        <v>235</v>
      </c>
      <c r="U167" t="s">
        <v>1929</v>
      </c>
      <c r="V167" t="s">
        <v>2793</v>
      </c>
      <c r="W167">
        <v>0</v>
      </c>
      <c r="X167">
        <v>-9.9</v>
      </c>
      <c r="Y167" t="s">
        <v>3643</v>
      </c>
      <c r="Z167">
        <v>-10.35500862053461</v>
      </c>
      <c r="AA167">
        <v>651</v>
      </c>
      <c r="AB167">
        <v>11340</v>
      </c>
      <c r="AC167" t="s">
        <v>4448</v>
      </c>
      <c r="AD167">
        <v>53.31</v>
      </c>
      <c r="AE167" t="s">
        <v>5312</v>
      </c>
      <c r="AF167" t="s">
        <v>6169</v>
      </c>
      <c r="AG167">
        <v>1713</v>
      </c>
      <c r="AH167">
        <v>22</v>
      </c>
      <c r="AI167">
        <v>2517004</v>
      </c>
      <c r="AJ167">
        <v>2.81</v>
      </c>
    </row>
    <row r="168" spans="1:36">
      <c r="A168" s="1" t="s">
        <v>202</v>
      </c>
      <c r="B168" t="s">
        <v>1066</v>
      </c>
      <c r="C168" t="str">
        <f>HYPERLINK("https://finance.naver.com/item/coinfo.nhn?code=036190", "A036190")</f>
        <v>A036190</v>
      </c>
      <c r="D168" t="str">
        <f>HYPERLINK("http://comp.fnguide.com/SVO2/ASP/SVD_Consensus.asp?pGB=1&amp;gicode=A036190&amp;cID=&amp;MenuYn=Y&amp;ReportGB=&amp;NewMenuID=108&amp;stkGb=701", "금화피에스시")</f>
        <v>금화피에스시</v>
      </c>
      <c r="E168">
        <v>3</v>
      </c>
      <c r="F168">
        <v>29950</v>
      </c>
      <c r="G168">
        <v>0.37</v>
      </c>
      <c r="H168">
        <v>6.39</v>
      </c>
      <c r="I168">
        <v>74249</v>
      </c>
      <c r="J168">
        <v>53965</v>
      </c>
      <c r="K168">
        <v>48201</v>
      </c>
      <c r="L168">
        <v>-147.91</v>
      </c>
      <c r="M168">
        <v>-80.180000000000007</v>
      </c>
      <c r="N168">
        <v>-60.94</v>
      </c>
      <c r="O168">
        <v>14.54</v>
      </c>
      <c r="P168" t="b">
        <v>1</v>
      </c>
      <c r="Q168">
        <v>1</v>
      </c>
      <c r="R168">
        <v>4614</v>
      </c>
      <c r="S168">
        <v>5517</v>
      </c>
      <c r="T168">
        <v>19.600000000000001</v>
      </c>
      <c r="U168" t="s">
        <v>1930</v>
      </c>
      <c r="V168" t="s">
        <v>2794</v>
      </c>
      <c r="W168">
        <v>17.070281294038669</v>
      </c>
      <c r="X168">
        <v>19.899999999999999</v>
      </c>
      <c r="Y168" t="s">
        <v>3644</v>
      </c>
      <c r="Z168">
        <v>7.9297551625826301</v>
      </c>
      <c r="AA168">
        <v>1797</v>
      </c>
      <c r="AB168">
        <v>3691</v>
      </c>
      <c r="AC168" t="s">
        <v>4449</v>
      </c>
      <c r="AD168">
        <v>36.68</v>
      </c>
      <c r="AE168" t="s">
        <v>5313</v>
      </c>
      <c r="AF168" t="s">
        <v>6170</v>
      </c>
      <c r="AG168">
        <v>2094</v>
      </c>
      <c r="AH168">
        <v>343</v>
      </c>
      <c r="AI168">
        <v>94210</v>
      </c>
      <c r="AJ168">
        <v>4.41</v>
      </c>
    </row>
    <row r="169" spans="1:36">
      <c r="A169" s="1" t="s">
        <v>203</v>
      </c>
      <c r="B169" t="s">
        <v>1067</v>
      </c>
      <c r="C169" t="str">
        <f>HYPERLINK("https://finance.naver.com/item/coinfo.nhn?code=308100", "A308100")</f>
        <v>A308100</v>
      </c>
      <c r="D169" t="str">
        <f>HYPERLINK("http://comp.fnguide.com/SVO2/ASP/SVD_Consensus.asp?pGB=1&amp;gicode=A308100&amp;cID=&amp;MenuYn=Y&amp;ReportGB=&amp;NewMenuID=108&amp;stkGb=701", "까스텔바작")</f>
        <v>까스텔바작</v>
      </c>
      <c r="E169">
        <v>3</v>
      </c>
      <c r="F169">
        <v>10600</v>
      </c>
      <c r="G169">
        <v>-1.96</v>
      </c>
      <c r="H169">
        <v>8.68</v>
      </c>
      <c r="I169">
        <v>19942</v>
      </c>
      <c r="J169">
        <v>14939</v>
      </c>
      <c r="K169">
        <v>13517</v>
      </c>
      <c r="L169">
        <v>-88.13</v>
      </c>
      <c r="M169">
        <v>-40.94</v>
      </c>
      <c r="N169">
        <v>-27.52</v>
      </c>
      <c r="O169">
        <v>13.62</v>
      </c>
      <c r="P169" t="b">
        <v>1</v>
      </c>
      <c r="Q169">
        <v>0</v>
      </c>
      <c r="R169">
        <v>1083</v>
      </c>
      <c r="S169">
        <v>925</v>
      </c>
      <c r="T169">
        <v>-14.6</v>
      </c>
      <c r="U169" t="s">
        <v>1931</v>
      </c>
      <c r="V169" t="s">
        <v>2795</v>
      </c>
      <c r="W169">
        <v>-4.4361331063042293</v>
      </c>
      <c r="X169">
        <v>-27.4</v>
      </c>
      <c r="Y169" t="s">
        <v>3645</v>
      </c>
      <c r="Z169">
        <v>0</v>
      </c>
      <c r="AA169">
        <v>699</v>
      </c>
      <c r="AB169">
        <v>115416</v>
      </c>
      <c r="AC169" t="s">
        <v>4450</v>
      </c>
      <c r="AD169">
        <v>70.489999999999995</v>
      </c>
      <c r="AE169" t="s">
        <v>5314</v>
      </c>
      <c r="AF169" t="s">
        <v>6171</v>
      </c>
      <c r="AG169">
        <v>814</v>
      </c>
      <c r="AH169">
        <v>90</v>
      </c>
    </row>
    <row r="170" spans="1:36">
      <c r="A170" s="1" t="s">
        <v>204</v>
      </c>
      <c r="B170" t="s">
        <v>1068</v>
      </c>
      <c r="C170" t="str">
        <f>HYPERLINK("https://finance.naver.com/item/coinfo.nhn?code=187790", "A187790")</f>
        <v>A187790</v>
      </c>
      <c r="D170" t="str">
        <f>HYPERLINK("http://comp.fnguide.com/SVO2/ASP/SVD_Consensus.asp?pGB=1&amp;gicode=A187790&amp;cID=&amp;MenuYn=Y&amp;ReportGB=&amp;NewMenuID=108&amp;stkGb=701", "나노")</f>
        <v>나노</v>
      </c>
      <c r="E170">
        <v>3</v>
      </c>
      <c r="F170">
        <v>1395</v>
      </c>
      <c r="G170">
        <v>0</v>
      </c>
      <c r="H170">
        <v>113.44</v>
      </c>
      <c r="I170">
        <v>118</v>
      </c>
      <c r="J170">
        <v>1230</v>
      </c>
      <c r="K170">
        <v>1546</v>
      </c>
      <c r="L170">
        <v>91.57</v>
      </c>
      <c r="M170">
        <v>11.81</v>
      </c>
      <c r="N170">
        <v>-10.86</v>
      </c>
      <c r="O170">
        <v>0.47</v>
      </c>
      <c r="P170" t="b">
        <v>1</v>
      </c>
      <c r="Q170">
        <v>0</v>
      </c>
      <c r="R170">
        <v>18</v>
      </c>
      <c r="U170" t="s">
        <v>1932</v>
      </c>
      <c r="V170" t="s">
        <v>2796</v>
      </c>
      <c r="W170">
        <v>0</v>
      </c>
      <c r="X170">
        <v>0</v>
      </c>
      <c r="Y170" t="s">
        <v>3499</v>
      </c>
      <c r="Z170">
        <v>0</v>
      </c>
      <c r="AA170">
        <v>360</v>
      </c>
      <c r="AB170">
        <v>212417</v>
      </c>
      <c r="AC170" t="s">
        <v>4451</v>
      </c>
      <c r="AD170">
        <v>8.5</v>
      </c>
      <c r="AE170" t="s">
        <v>5315</v>
      </c>
      <c r="AF170" t="s">
        <v>6172</v>
      </c>
      <c r="AG170">
        <v>737</v>
      </c>
      <c r="AH170">
        <v>-9</v>
      </c>
      <c r="AI170">
        <v>173647</v>
      </c>
    </row>
    <row r="171" spans="1:36">
      <c r="A171" s="1" t="s">
        <v>205</v>
      </c>
      <c r="B171" t="s">
        <v>1069</v>
      </c>
      <c r="C171" t="str">
        <f>HYPERLINK("https://finance.naver.com/item/coinfo.nhn?code=036800", "A036800")</f>
        <v>A036800</v>
      </c>
      <c r="D171" t="str">
        <f>HYPERLINK("http://comp.fnguide.com/SVO2/ASP/SVD_Consensus.asp?pGB=1&amp;gicode=A036800&amp;cID=&amp;MenuYn=Y&amp;ReportGB=&amp;NewMenuID=108&amp;stkGb=701", "나이스정보통신")</f>
        <v>나이스정보통신</v>
      </c>
      <c r="E171">
        <v>3</v>
      </c>
      <c r="F171">
        <v>28000</v>
      </c>
      <c r="G171">
        <v>-1.0900000000000001</v>
      </c>
      <c r="H171">
        <v>9.52</v>
      </c>
      <c r="I171">
        <v>49289</v>
      </c>
      <c r="J171">
        <v>34402</v>
      </c>
      <c r="K171">
        <v>30172</v>
      </c>
      <c r="L171">
        <v>-76.03</v>
      </c>
      <c r="M171">
        <v>-22.86</v>
      </c>
      <c r="N171">
        <v>-7.76</v>
      </c>
      <c r="O171">
        <v>15.94</v>
      </c>
      <c r="P171" t="b">
        <v>1</v>
      </c>
      <c r="Q171">
        <v>0</v>
      </c>
      <c r="R171">
        <v>3011</v>
      </c>
      <c r="S171">
        <v>2790</v>
      </c>
      <c r="T171">
        <v>-7.3</v>
      </c>
      <c r="U171" t="s">
        <v>1933</v>
      </c>
      <c r="V171" t="s">
        <v>2797</v>
      </c>
      <c r="W171">
        <v>-8.7176128975603557</v>
      </c>
      <c r="X171">
        <v>-16.8</v>
      </c>
      <c r="Y171" t="s">
        <v>3646</v>
      </c>
      <c r="Z171">
        <v>-3.8857380488392268</v>
      </c>
      <c r="AA171">
        <v>2800</v>
      </c>
      <c r="AB171">
        <v>66577</v>
      </c>
      <c r="AC171" t="s">
        <v>4452</v>
      </c>
      <c r="AD171">
        <v>42.74</v>
      </c>
      <c r="AE171" t="s">
        <v>5316</v>
      </c>
      <c r="AF171" t="s">
        <v>6173</v>
      </c>
      <c r="AG171">
        <v>4529</v>
      </c>
      <c r="AH171">
        <v>350</v>
      </c>
      <c r="AI171">
        <v>625978</v>
      </c>
      <c r="AJ171">
        <v>1.61</v>
      </c>
    </row>
    <row r="172" spans="1:36">
      <c r="A172" s="1" t="s">
        <v>206</v>
      </c>
      <c r="B172" t="s">
        <v>1070</v>
      </c>
      <c r="C172" t="str">
        <f>HYPERLINK("https://finance.naver.com/item/coinfo.nhn?code=046140", "A046140")</f>
        <v>A046140</v>
      </c>
      <c r="D172" t="str">
        <f>HYPERLINK("http://comp.fnguide.com/SVO2/ASP/SVD_Consensus.asp?pGB=1&amp;gicode=A046140&amp;cID=&amp;MenuYn=Y&amp;ReportGB=&amp;NewMenuID=108&amp;stkGb=701", "SBS콘텐츠허브")</f>
        <v>SBS콘텐츠허브</v>
      </c>
      <c r="E172">
        <v>3</v>
      </c>
      <c r="F172">
        <v>6040</v>
      </c>
      <c r="G172">
        <v>0</v>
      </c>
      <c r="H172">
        <v>208.92</v>
      </c>
      <c r="I172">
        <v>2004</v>
      </c>
      <c r="J172">
        <v>5618</v>
      </c>
      <c r="K172">
        <v>6646</v>
      </c>
      <c r="L172">
        <v>66.81</v>
      </c>
      <c r="M172">
        <v>6.98</v>
      </c>
      <c r="N172">
        <v>-10.029999999999999</v>
      </c>
      <c r="O172">
        <v>1.99</v>
      </c>
      <c r="P172" t="b">
        <v>0</v>
      </c>
      <c r="Q172">
        <v>0</v>
      </c>
      <c r="R172">
        <v>26</v>
      </c>
      <c r="U172" t="s">
        <v>1934</v>
      </c>
      <c r="V172" t="s">
        <v>2798</v>
      </c>
      <c r="W172">
        <v>0</v>
      </c>
      <c r="X172">
        <v>99.5</v>
      </c>
      <c r="Y172" t="s">
        <v>3647</v>
      </c>
      <c r="Z172">
        <v>-59.043112937355737</v>
      </c>
      <c r="AA172">
        <v>1296</v>
      </c>
      <c r="AB172">
        <v>24127</v>
      </c>
      <c r="AC172" t="s">
        <v>4453</v>
      </c>
      <c r="AD172">
        <v>64.959999999999994</v>
      </c>
      <c r="AE172" t="s">
        <v>5317</v>
      </c>
      <c r="AF172" t="s">
        <v>6174</v>
      </c>
      <c r="AG172">
        <v>1621</v>
      </c>
      <c r="AH172">
        <v>19</v>
      </c>
      <c r="AI172">
        <v>2077978</v>
      </c>
    </row>
    <row r="173" spans="1:36">
      <c r="A173" s="1" t="s">
        <v>207</v>
      </c>
      <c r="B173" t="s">
        <v>1071</v>
      </c>
      <c r="C173" t="str">
        <f>HYPERLINK("https://finance.naver.com/item/coinfo.nhn?code=091340", "A091340")</f>
        <v>A091340</v>
      </c>
      <c r="D173" t="str">
        <f>HYPERLINK("http://comp.fnguide.com/SVO2/ASP/SVD_Consensus.asp?pGB=1&amp;gicode=A091340&amp;cID=&amp;MenuYn=Y&amp;ReportGB=&amp;NewMenuID=108&amp;stkGb=701", "S&amp;K폴리텍")</f>
        <v>S&amp;K폴리텍</v>
      </c>
      <c r="E173">
        <v>3</v>
      </c>
      <c r="F173">
        <v>5060</v>
      </c>
      <c r="G173">
        <v>0</v>
      </c>
      <c r="H173">
        <v>6.46</v>
      </c>
      <c r="I173">
        <v>14434</v>
      </c>
      <c r="J173">
        <v>10516</v>
      </c>
      <c r="K173">
        <v>9402</v>
      </c>
      <c r="L173">
        <v>-185.25</v>
      </c>
      <c r="M173">
        <v>-107.82</v>
      </c>
      <c r="N173">
        <v>-85.82</v>
      </c>
      <c r="O173">
        <v>14.47</v>
      </c>
      <c r="P173" t="b">
        <v>1</v>
      </c>
      <c r="Q173">
        <v>0</v>
      </c>
      <c r="R173">
        <v>1311</v>
      </c>
      <c r="U173" t="s">
        <v>1935</v>
      </c>
      <c r="V173" t="s">
        <v>2799</v>
      </c>
      <c r="W173">
        <v>0</v>
      </c>
      <c r="X173">
        <v>0</v>
      </c>
      <c r="Y173" t="s">
        <v>3648</v>
      </c>
      <c r="Z173">
        <v>55.808987796453621</v>
      </c>
      <c r="AA173">
        <v>592</v>
      </c>
      <c r="AB173">
        <v>58685</v>
      </c>
      <c r="AC173" t="s">
        <v>4454</v>
      </c>
      <c r="AD173">
        <v>42.34</v>
      </c>
      <c r="AE173" t="s">
        <v>5318</v>
      </c>
      <c r="AF173" t="s">
        <v>6175</v>
      </c>
      <c r="AG173">
        <v>3380</v>
      </c>
      <c r="AH173">
        <v>257</v>
      </c>
      <c r="AI173">
        <v>494438</v>
      </c>
    </row>
    <row r="174" spans="1:36">
      <c r="A174" s="1" t="s">
        <v>208</v>
      </c>
      <c r="B174" t="s">
        <v>1072</v>
      </c>
      <c r="C174" t="str">
        <f>HYPERLINK("https://finance.naver.com/item/coinfo.nhn?code=024940", "A024940")</f>
        <v>A024940</v>
      </c>
      <c r="D174" t="str">
        <f>HYPERLINK("http://comp.fnguide.com/SVO2/ASP/SVD_Consensus.asp?pGB=1&amp;gicode=A024940&amp;cID=&amp;MenuYn=Y&amp;ReportGB=&amp;NewMenuID=108&amp;stkGb=701", "PN풍년")</f>
        <v>PN풍년</v>
      </c>
      <c r="E174">
        <v>3</v>
      </c>
      <c r="F174">
        <v>3885</v>
      </c>
      <c r="G174">
        <v>0</v>
      </c>
      <c r="H174">
        <v>4.1100000000000003</v>
      </c>
      <c r="I174">
        <v>5191</v>
      </c>
      <c r="J174">
        <v>4657</v>
      </c>
      <c r="K174">
        <v>4506</v>
      </c>
      <c r="L174">
        <v>-33.619999999999997</v>
      </c>
      <c r="M174">
        <v>-19.88</v>
      </c>
      <c r="N174">
        <v>-15.98</v>
      </c>
      <c r="O174">
        <v>9.58</v>
      </c>
      <c r="P174" t="b">
        <v>1</v>
      </c>
      <c r="Q174">
        <v>0</v>
      </c>
      <c r="R174">
        <v>542</v>
      </c>
      <c r="U174" t="s">
        <v>1936</v>
      </c>
      <c r="V174" t="s">
        <v>2800</v>
      </c>
      <c r="W174">
        <v>0</v>
      </c>
      <c r="X174">
        <v>-48</v>
      </c>
      <c r="Y174" t="s">
        <v>3649</v>
      </c>
      <c r="Z174">
        <v>16.38312116011171</v>
      </c>
      <c r="AA174">
        <v>389</v>
      </c>
      <c r="AB174">
        <v>95049</v>
      </c>
      <c r="AC174" t="s">
        <v>4455</v>
      </c>
      <c r="AD174">
        <v>38.07</v>
      </c>
      <c r="AE174" t="s">
        <v>5319</v>
      </c>
      <c r="AF174" t="s">
        <v>6176</v>
      </c>
      <c r="AG174">
        <v>546</v>
      </c>
      <c r="AH174">
        <v>-13</v>
      </c>
      <c r="AI174">
        <v>1101320</v>
      </c>
      <c r="AJ174">
        <v>1.1200000000000001</v>
      </c>
    </row>
    <row r="175" spans="1:36">
      <c r="A175" s="1" t="s">
        <v>209</v>
      </c>
      <c r="B175" t="s">
        <v>1073</v>
      </c>
      <c r="C175" t="str">
        <f>HYPERLINK("https://finance.naver.com/item/coinfo.nhn?code=054620", "A054620")</f>
        <v>A054620</v>
      </c>
      <c r="D175" t="str">
        <f>HYPERLINK("http://comp.fnguide.com/SVO2/ASP/SVD_Consensus.asp?pGB=1&amp;gicode=A054620&amp;cID=&amp;MenuYn=Y&amp;ReportGB=&amp;NewMenuID=108&amp;stkGb=701", "APS홀딩스")</f>
        <v>APS홀딩스</v>
      </c>
      <c r="E175">
        <v>3</v>
      </c>
      <c r="F175">
        <v>7860</v>
      </c>
      <c r="G175">
        <v>0</v>
      </c>
      <c r="I175">
        <v>85640</v>
      </c>
      <c r="J175">
        <v>41139</v>
      </c>
      <c r="K175">
        <v>28493</v>
      </c>
      <c r="L175">
        <v>-989.56</v>
      </c>
      <c r="M175">
        <v>-423.4</v>
      </c>
      <c r="N175">
        <v>-262.5</v>
      </c>
      <c r="O175">
        <v>58.23</v>
      </c>
      <c r="P175" t="b">
        <v>0</v>
      </c>
      <c r="Q175">
        <v>0</v>
      </c>
      <c r="R175">
        <v>-130</v>
      </c>
      <c r="U175" t="s">
        <v>1937</v>
      </c>
      <c r="V175" t="s">
        <v>2801</v>
      </c>
      <c r="W175">
        <v>0</v>
      </c>
      <c r="X175">
        <v>0</v>
      </c>
      <c r="Y175" t="s">
        <v>3650</v>
      </c>
      <c r="Z175">
        <v>-51.400368340953271</v>
      </c>
      <c r="AA175">
        <v>1603</v>
      </c>
      <c r="AB175">
        <v>151799</v>
      </c>
      <c r="AC175" t="s">
        <v>4456</v>
      </c>
      <c r="AD175">
        <v>29.96</v>
      </c>
      <c r="AE175" t="s">
        <v>5320</v>
      </c>
      <c r="AF175" t="s">
        <v>6177</v>
      </c>
      <c r="AG175">
        <v>232</v>
      </c>
      <c r="AH175">
        <v>-106</v>
      </c>
      <c r="AI175">
        <v>2000369</v>
      </c>
    </row>
    <row r="176" spans="1:36">
      <c r="A176" s="1" t="s">
        <v>210</v>
      </c>
      <c r="B176" t="s">
        <v>1074</v>
      </c>
      <c r="C176" t="str">
        <f>HYPERLINK("https://finance.naver.com/item/coinfo.nhn?code=000850", "A000850")</f>
        <v>A000850</v>
      </c>
      <c r="D176" t="str">
        <f>HYPERLINK("http://comp.fnguide.com/SVO2/ASP/SVD_Consensus.asp?pGB=1&amp;gicode=A000850&amp;cID=&amp;MenuYn=Y&amp;ReportGB=&amp;NewMenuID=108&amp;stkGb=701", "화천기공")</f>
        <v>화천기공</v>
      </c>
      <c r="E176">
        <v>3</v>
      </c>
      <c r="F176">
        <v>32900</v>
      </c>
      <c r="G176">
        <v>0</v>
      </c>
      <c r="H176">
        <v>11.81</v>
      </c>
      <c r="I176">
        <v>56023</v>
      </c>
      <c r="J176">
        <v>103459</v>
      </c>
      <c r="K176">
        <v>116940</v>
      </c>
      <c r="L176">
        <v>-70.28</v>
      </c>
      <c r="M176">
        <v>-214.47</v>
      </c>
      <c r="N176">
        <v>-255.44</v>
      </c>
      <c r="O176">
        <v>3.3</v>
      </c>
      <c r="P176" t="b">
        <v>1</v>
      </c>
      <c r="Q176">
        <v>0</v>
      </c>
      <c r="R176">
        <v>3388</v>
      </c>
      <c r="U176" t="s">
        <v>1938</v>
      </c>
      <c r="V176" t="s">
        <v>2802</v>
      </c>
      <c r="W176">
        <v>0</v>
      </c>
      <c r="X176">
        <v>-42.7</v>
      </c>
      <c r="Y176" t="s">
        <v>3651</v>
      </c>
      <c r="Z176">
        <v>-23.20913628942888</v>
      </c>
      <c r="AA176">
        <v>724</v>
      </c>
      <c r="AB176">
        <v>1607</v>
      </c>
      <c r="AC176" t="s">
        <v>4457</v>
      </c>
      <c r="AD176">
        <v>48.78</v>
      </c>
      <c r="AE176" t="s">
        <v>5321</v>
      </c>
      <c r="AF176" t="s">
        <v>6178</v>
      </c>
      <c r="AG176">
        <v>2065</v>
      </c>
      <c r="AH176">
        <v>69</v>
      </c>
      <c r="AJ176">
        <v>3.13</v>
      </c>
    </row>
    <row r="177" spans="1:36">
      <c r="A177" s="1" t="s">
        <v>211</v>
      </c>
      <c r="B177" t="s">
        <v>1075</v>
      </c>
      <c r="C177" t="str">
        <f>HYPERLINK("https://finance.naver.com/item/coinfo.nhn?code=016580", "A016580")</f>
        <v>A016580</v>
      </c>
      <c r="D177" t="str">
        <f>HYPERLINK("http://comp.fnguide.com/SVO2/ASP/SVD_Consensus.asp?pGB=1&amp;gicode=A016580&amp;cID=&amp;MenuYn=Y&amp;ReportGB=&amp;NewMenuID=108&amp;stkGb=701", "환인제약")</f>
        <v>환인제약</v>
      </c>
      <c r="E177">
        <v>3</v>
      </c>
      <c r="F177">
        <v>16800</v>
      </c>
      <c r="G177">
        <v>-5.62</v>
      </c>
      <c r="H177">
        <v>15.37</v>
      </c>
      <c r="I177">
        <v>18777</v>
      </c>
      <c r="J177">
        <v>18270</v>
      </c>
      <c r="K177">
        <v>18126</v>
      </c>
      <c r="L177">
        <v>-11.77</v>
      </c>
      <c r="M177">
        <v>-8.75</v>
      </c>
      <c r="N177">
        <v>-7.89</v>
      </c>
      <c r="O177">
        <v>8.31</v>
      </c>
      <c r="P177" t="b">
        <v>1</v>
      </c>
      <c r="Q177">
        <v>1</v>
      </c>
      <c r="R177">
        <v>1005</v>
      </c>
      <c r="S177">
        <v>1344</v>
      </c>
      <c r="T177">
        <v>33.700000000000003</v>
      </c>
      <c r="U177" t="s">
        <v>1939</v>
      </c>
      <c r="V177" t="s">
        <v>2803</v>
      </c>
      <c r="W177">
        <v>-2.7345078880994911</v>
      </c>
      <c r="X177">
        <v>19.8</v>
      </c>
      <c r="Y177" t="s">
        <v>3652</v>
      </c>
      <c r="Z177">
        <v>1.768696700175076</v>
      </c>
      <c r="AA177">
        <v>3125</v>
      </c>
      <c r="AB177">
        <v>172576</v>
      </c>
      <c r="AC177" t="s">
        <v>4458</v>
      </c>
      <c r="AD177">
        <v>21.9</v>
      </c>
      <c r="AE177" t="s">
        <v>5322</v>
      </c>
      <c r="AF177" t="s">
        <v>6179</v>
      </c>
      <c r="AG177">
        <v>1592</v>
      </c>
      <c r="AH177">
        <v>262</v>
      </c>
      <c r="AI177">
        <v>3333000</v>
      </c>
      <c r="AJ177">
        <v>1.94</v>
      </c>
    </row>
    <row r="178" spans="1:36">
      <c r="A178" s="1" t="s">
        <v>212</v>
      </c>
      <c r="B178" t="s">
        <v>1076</v>
      </c>
      <c r="C178" t="str">
        <f>HYPERLINK("https://finance.naver.com/item/coinfo.nhn?code=032560", "A032560")</f>
        <v>A032560</v>
      </c>
      <c r="D178" t="str">
        <f>HYPERLINK("http://comp.fnguide.com/SVO2/ASP/SVD_Consensus.asp?pGB=1&amp;gicode=A032560&amp;cID=&amp;MenuYn=Y&amp;ReportGB=&amp;NewMenuID=108&amp;stkGb=701", "황금에스티")</f>
        <v>황금에스티</v>
      </c>
      <c r="E178">
        <v>3</v>
      </c>
      <c r="F178">
        <v>7740</v>
      </c>
      <c r="G178">
        <v>0</v>
      </c>
      <c r="H178">
        <v>3.9</v>
      </c>
      <c r="I178">
        <v>20793</v>
      </c>
      <c r="J178">
        <v>19462</v>
      </c>
      <c r="K178">
        <v>19084</v>
      </c>
      <c r="L178">
        <v>-168.64</v>
      </c>
      <c r="M178">
        <v>-151.44999999999999</v>
      </c>
      <c r="N178">
        <v>-146.56</v>
      </c>
      <c r="O178">
        <v>8.8800000000000008</v>
      </c>
      <c r="P178" t="b">
        <v>1</v>
      </c>
      <c r="Q178">
        <v>0</v>
      </c>
      <c r="R178">
        <v>1794</v>
      </c>
      <c r="U178" t="s">
        <v>1940</v>
      </c>
      <c r="V178" t="s">
        <v>2804</v>
      </c>
      <c r="W178">
        <v>0</v>
      </c>
      <c r="X178">
        <v>-59.8</v>
      </c>
      <c r="Y178" t="s">
        <v>3653</v>
      </c>
      <c r="Z178">
        <v>18.469614718749089</v>
      </c>
      <c r="AA178">
        <v>1084</v>
      </c>
      <c r="AB178">
        <v>78776</v>
      </c>
      <c r="AC178" t="s">
        <v>4459</v>
      </c>
      <c r="AD178">
        <v>54.12</v>
      </c>
      <c r="AE178" t="s">
        <v>5323</v>
      </c>
      <c r="AF178" t="s">
        <v>6180</v>
      </c>
      <c r="AG178">
        <v>2436</v>
      </c>
      <c r="AH178">
        <v>188</v>
      </c>
      <c r="AI178">
        <v>1861</v>
      </c>
      <c r="AJ178">
        <v>1.43</v>
      </c>
    </row>
    <row r="179" spans="1:36">
      <c r="A179" s="1" t="s">
        <v>213</v>
      </c>
      <c r="B179" t="s">
        <v>1077</v>
      </c>
      <c r="C179" t="str">
        <f>HYPERLINK("https://finance.naver.com/item/coinfo.nhn?code=004800", "A004800")</f>
        <v>A004800</v>
      </c>
      <c r="D179" t="str">
        <f>HYPERLINK("http://comp.fnguide.com/SVO2/ASP/SVD_Consensus.asp?pGB=1&amp;gicode=A004800&amp;cID=&amp;MenuYn=Y&amp;ReportGB=&amp;NewMenuID=108&amp;stkGb=701", "효성")</f>
        <v>효성</v>
      </c>
      <c r="E179">
        <v>3</v>
      </c>
      <c r="F179">
        <v>81400</v>
      </c>
      <c r="G179">
        <v>0</v>
      </c>
      <c r="H179">
        <v>16.079999999999998</v>
      </c>
      <c r="I179">
        <v>622705</v>
      </c>
      <c r="J179">
        <v>321791</v>
      </c>
      <c r="K179">
        <v>236277</v>
      </c>
      <c r="L179">
        <v>-664.99</v>
      </c>
      <c r="M179">
        <v>-295.32</v>
      </c>
      <c r="N179">
        <v>-190.27</v>
      </c>
      <c r="O179">
        <v>40.340000000000003</v>
      </c>
      <c r="P179" t="b">
        <v>0</v>
      </c>
      <c r="Q179">
        <v>0</v>
      </c>
      <c r="R179">
        <v>4921</v>
      </c>
      <c r="S179">
        <v>-2288</v>
      </c>
      <c r="T179">
        <v>-146.5</v>
      </c>
      <c r="U179" t="s">
        <v>1941</v>
      </c>
      <c r="V179" t="s">
        <v>2805</v>
      </c>
      <c r="W179">
        <v>0</v>
      </c>
      <c r="X179">
        <v>0</v>
      </c>
      <c r="Y179" t="s">
        <v>3654</v>
      </c>
      <c r="Z179">
        <v>-22.86830861630861</v>
      </c>
      <c r="AA179">
        <v>17152</v>
      </c>
      <c r="AB179">
        <v>130915</v>
      </c>
      <c r="AC179" t="s">
        <v>4460</v>
      </c>
      <c r="AD179">
        <v>55.11</v>
      </c>
      <c r="AE179" t="s">
        <v>5324</v>
      </c>
      <c r="AF179" t="s">
        <v>6181</v>
      </c>
      <c r="AG179">
        <v>33734</v>
      </c>
      <c r="AH179">
        <v>2368</v>
      </c>
      <c r="AI179">
        <v>1161621</v>
      </c>
      <c r="AJ179">
        <v>6.32</v>
      </c>
    </row>
    <row r="180" spans="1:36">
      <c r="A180" s="1" t="s">
        <v>214</v>
      </c>
      <c r="B180" t="s">
        <v>1078</v>
      </c>
      <c r="C180" t="str">
        <f>HYPERLINK("https://finance.naver.com/item/coinfo.nhn?code=298040", "A298040")</f>
        <v>A298040</v>
      </c>
      <c r="D180" t="str">
        <f>HYPERLINK("http://comp.fnguide.com/SVO2/ASP/SVD_Consensus.asp?pGB=1&amp;gicode=A298040&amp;cID=&amp;MenuYn=Y&amp;ReportGB=&amp;NewMenuID=108&amp;stkGb=701", "효성중공업")</f>
        <v>효성중공업</v>
      </c>
      <c r="E180">
        <v>3</v>
      </c>
      <c r="F180">
        <v>58900</v>
      </c>
      <c r="G180">
        <v>0</v>
      </c>
      <c r="H180">
        <v>18.91</v>
      </c>
      <c r="I180">
        <v>8906</v>
      </c>
      <c r="J180">
        <v>62230</v>
      </c>
      <c r="K180">
        <v>77384</v>
      </c>
      <c r="L180">
        <v>84.88</v>
      </c>
      <c r="M180">
        <v>-5.65</v>
      </c>
      <c r="N180">
        <v>-31.38</v>
      </c>
      <c r="O180">
        <v>0.72</v>
      </c>
      <c r="P180" t="b">
        <v>1</v>
      </c>
      <c r="Q180">
        <v>0</v>
      </c>
      <c r="R180">
        <v>1409</v>
      </c>
      <c r="S180">
        <v>643</v>
      </c>
      <c r="T180">
        <v>-54.4</v>
      </c>
      <c r="U180" t="s">
        <v>1942</v>
      </c>
      <c r="V180" t="s">
        <v>2806</v>
      </c>
      <c r="W180">
        <v>0</v>
      </c>
      <c r="X180">
        <v>0</v>
      </c>
      <c r="Y180" t="s">
        <v>3655</v>
      </c>
      <c r="Z180">
        <v>0</v>
      </c>
      <c r="AA180">
        <v>5492</v>
      </c>
      <c r="AB180">
        <v>75610</v>
      </c>
      <c r="AC180" t="s">
        <v>4461</v>
      </c>
      <c r="AD180">
        <v>54.18</v>
      </c>
      <c r="AE180" t="s">
        <v>5325</v>
      </c>
      <c r="AF180" t="s">
        <v>6182</v>
      </c>
      <c r="AG180">
        <v>37814</v>
      </c>
      <c r="AH180">
        <v>1303</v>
      </c>
      <c r="AI180">
        <v>12807</v>
      </c>
    </row>
    <row r="181" spans="1:36">
      <c r="A181" s="1" t="s">
        <v>215</v>
      </c>
      <c r="B181" t="s">
        <v>1079</v>
      </c>
      <c r="C181" t="str">
        <f>HYPERLINK("https://finance.naver.com/item/coinfo.nhn?code=005870", "A005870")</f>
        <v>A005870</v>
      </c>
      <c r="D181" t="str">
        <f>HYPERLINK("http://comp.fnguide.com/SVO2/ASP/SVD_Consensus.asp?pGB=1&amp;gicode=A005870&amp;cID=&amp;MenuYn=Y&amp;ReportGB=&amp;NewMenuID=108&amp;stkGb=701", "휴니드")</f>
        <v>휴니드</v>
      </c>
      <c r="E181">
        <v>3</v>
      </c>
      <c r="F181">
        <v>5620</v>
      </c>
      <c r="G181">
        <v>0</v>
      </c>
      <c r="H181">
        <v>12.89</v>
      </c>
      <c r="I181">
        <v>16207</v>
      </c>
      <c r="J181">
        <v>11778</v>
      </c>
      <c r="K181">
        <v>10520</v>
      </c>
      <c r="L181">
        <v>-188.38</v>
      </c>
      <c r="M181">
        <v>-109.57</v>
      </c>
      <c r="N181">
        <v>-87.18</v>
      </c>
      <c r="O181">
        <v>14.55</v>
      </c>
      <c r="P181" t="b">
        <v>1</v>
      </c>
      <c r="Q181">
        <v>0</v>
      </c>
      <c r="R181">
        <v>564</v>
      </c>
      <c r="U181" t="s">
        <v>1943</v>
      </c>
      <c r="V181" t="s">
        <v>2807</v>
      </c>
      <c r="W181">
        <v>0</v>
      </c>
      <c r="X181">
        <v>0</v>
      </c>
      <c r="Y181" t="s">
        <v>3656</v>
      </c>
      <c r="Z181">
        <v>53.710029114129433</v>
      </c>
      <c r="AA181">
        <v>793</v>
      </c>
      <c r="AB181">
        <v>44010</v>
      </c>
      <c r="AC181" t="s">
        <v>4462</v>
      </c>
      <c r="AD181">
        <v>22.83</v>
      </c>
      <c r="AE181" t="s">
        <v>5326</v>
      </c>
      <c r="AF181" t="s">
        <v>6183</v>
      </c>
      <c r="AG181">
        <v>1947</v>
      </c>
      <c r="AH181">
        <v>88</v>
      </c>
      <c r="AI181">
        <v>1025525</v>
      </c>
    </row>
    <row r="182" spans="1:36">
      <c r="A182" s="1" t="s">
        <v>216</v>
      </c>
      <c r="B182" t="s">
        <v>1080</v>
      </c>
      <c r="C182" t="str">
        <f>HYPERLINK("https://finance.naver.com/item/coinfo.nhn?code=079980", "A079980")</f>
        <v>A079980</v>
      </c>
      <c r="D182" t="str">
        <f>HYPERLINK("http://comp.fnguide.com/SVO2/ASP/SVD_Consensus.asp?pGB=1&amp;gicode=A079980&amp;cID=&amp;MenuYn=Y&amp;ReportGB=&amp;NewMenuID=108&amp;stkGb=701", "휴비스")</f>
        <v>휴비스</v>
      </c>
      <c r="E182">
        <v>3</v>
      </c>
      <c r="F182">
        <v>8380</v>
      </c>
      <c r="I182">
        <v>3715</v>
      </c>
      <c r="J182">
        <v>8674</v>
      </c>
      <c r="K182">
        <v>10083</v>
      </c>
      <c r="L182">
        <v>55.67</v>
      </c>
      <c r="M182">
        <v>-3.5</v>
      </c>
      <c r="N182">
        <v>-20.32</v>
      </c>
      <c r="O182">
        <v>2.4700000000000002</v>
      </c>
      <c r="P182" t="b">
        <v>0</v>
      </c>
      <c r="Q182">
        <v>1</v>
      </c>
      <c r="R182">
        <v>-8</v>
      </c>
      <c r="S182">
        <v>957</v>
      </c>
      <c r="T182">
        <v>-12062.5</v>
      </c>
      <c r="U182" t="s">
        <v>1944</v>
      </c>
      <c r="V182" t="s">
        <v>2808</v>
      </c>
      <c r="W182">
        <v>14.01563728246575</v>
      </c>
      <c r="X182">
        <v>2506.1</v>
      </c>
      <c r="Y182" t="s">
        <v>3657</v>
      </c>
      <c r="Z182">
        <v>119.0147855170427</v>
      </c>
      <c r="AA182">
        <v>2891</v>
      </c>
      <c r="AB182">
        <v>211428</v>
      </c>
      <c r="AC182" t="s">
        <v>4463</v>
      </c>
      <c r="AD182">
        <v>51</v>
      </c>
      <c r="AE182" t="s">
        <v>5327</v>
      </c>
      <c r="AF182" t="s">
        <v>6184</v>
      </c>
      <c r="AG182">
        <v>10293</v>
      </c>
      <c r="AH182">
        <v>49</v>
      </c>
      <c r="AI182">
        <v>1589680</v>
      </c>
      <c r="AJ182">
        <v>2.46</v>
      </c>
    </row>
    <row r="183" spans="1:36">
      <c r="A183" s="1" t="s">
        <v>217</v>
      </c>
      <c r="B183" t="s">
        <v>1081</v>
      </c>
      <c r="C183" t="str">
        <f>HYPERLINK("https://finance.naver.com/item/coinfo.nhn?code=005010", "A005010")</f>
        <v>A005010</v>
      </c>
      <c r="D183" t="str">
        <f>HYPERLINK("http://comp.fnguide.com/SVO2/ASP/SVD_Consensus.asp?pGB=1&amp;gicode=A005010&amp;cID=&amp;MenuYn=Y&amp;ReportGB=&amp;NewMenuID=108&amp;stkGb=701", "휴스틸")</f>
        <v>휴스틸</v>
      </c>
      <c r="E183">
        <v>3</v>
      </c>
      <c r="F183">
        <v>7270</v>
      </c>
      <c r="G183">
        <v>0</v>
      </c>
      <c r="I183">
        <v>10650</v>
      </c>
      <c r="J183">
        <v>35551</v>
      </c>
      <c r="K183">
        <v>42627</v>
      </c>
      <c r="L183">
        <v>-46.49</v>
      </c>
      <c r="M183">
        <v>-389</v>
      </c>
      <c r="N183">
        <v>-486.34</v>
      </c>
      <c r="O183">
        <v>1.62</v>
      </c>
      <c r="P183" t="b">
        <v>0</v>
      </c>
      <c r="Q183">
        <v>0</v>
      </c>
      <c r="R183">
        <v>-1646</v>
      </c>
      <c r="U183" t="s">
        <v>1945</v>
      </c>
      <c r="V183" t="s">
        <v>2809</v>
      </c>
      <c r="W183">
        <v>0</v>
      </c>
      <c r="X183">
        <v>0</v>
      </c>
      <c r="Y183" t="s">
        <v>3658</v>
      </c>
      <c r="Z183">
        <v>328.2</v>
      </c>
      <c r="AA183">
        <v>554</v>
      </c>
      <c r="AB183">
        <v>12986</v>
      </c>
      <c r="AC183" t="s">
        <v>4464</v>
      </c>
      <c r="AD183">
        <v>50.15</v>
      </c>
      <c r="AE183" t="s">
        <v>5328</v>
      </c>
      <c r="AF183" t="s">
        <v>6185</v>
      </c>
      <c r="AG183">
        <v>5370</v>
      </c>
      <c r="AH183">
        <v>-129</v>
      </c>
      <c r="AJ183">
        <v>3.01</v>
      </c>
    </row>
    <row r="184" spans="1:36">
      <c r="A184" s="1" t="s">
        <v>218</v>
      </c>
      <c r="B184" t="s">
        <v>1082</v>
      </c>
      <c r="C184" t="str">
        <f>HYPERLINK("https://finance.naver.com/item/coinfo.nhn?code=000540", "A000540")</f>
        <v>A000540</v>
      </c>
      <c r="D184" t="str">
        <f>HYPERLINK("http://comp.fnguide.com/SVO2/ASP/SVD_Consensus.asp?pGB=1&amp;gicode=A000540&amp;cID=&amp;MenuYn=Y&amp;ReportGB=&amp;NewMenuID=108&amp;stkGb=701", "흥국화재")</f>
        <v>흥국화재</v>
      </c>
      <c r="E184">
        <v>3</v>
      </c>
      <c r="F184">
        <v>2860</v>
      </c>
      <c r="G184">
        <v>0</v>
      </c>
      <c r="H184">
        <v>5.2</v>
      </c>
      <c r="I184">
        <v>10783</v>
      </c>
      <c r="J184">
        <v>10963</v>
      </c>
      <c r="K184">
        <v>11015</v>
      </c>
      <c r="L184">
        <v>-277.02</v>
      </c>
      <c r="M184">
        <v>-283.33999999999997</v>
      </c>
      <c r="N184">
        <v>-285.13</v>
      </c>
      <c r="O184">
        <v>7.73</v>
      </c>
      <c r="P184" t="b">
        <v>1</v>
      </c>
      <c r="Q184">
        <v>0</v>
      </c>
      <c r="R184">
        <v>590</v>
      </c>
      <c r="U184" t="s">
        <v>1946</v>
      </c>
      <c r="V184" t="s">
        <v>2810</v>
      </c>
      <c r="W184">
        <v>0</v>
      </c>
      <c r="X184">
        <v>2.6</v>
      </c>
      <c r="Y184" t="s">
        <v>3659</v>
      </c>
      <c r="Z184">
        <v>7.269987789748833</v>
      </c>
      <c r="AA184">
        <v>1837</v>
      </c>
      <c r="AB184">
        <v>28350</v>
      </c>
      <c r="AC184" t="s">
        <v>4465</v>
      </c>
      <c r="AD184">
        <v>80.319999999999993</v>
      </c>
      <c r="AE184" t="s">
        <v>5329</v>
      </c>
      <c r="AF184" t="s">
        <v>6186</v>
      </c>
      <c r="AG184">
        <v>30437</v>
      </c>
      <c r="AH184">
        <v>444</v>
      </c>
    </row>
    <row r="185" spans="1:36">
      <c r="A185" s="1" t="s">
        <v>219</v>
      </c>
      <c r="B185" t="s">
        <v>1083</v>
      </c>
      <c r="C185" t="str">
        <f>HYPERLINK("https://finance.naver.com/item/coinfo.nhn?code=035760", "A035760")</f>
        <v>A035760</v>
      </c>
      <c r="D185" t="str">
        <f>HYPERLINK("http://comp.fnguide.com/SVO2/ASP/SVD_Consensus.asp?pGB=1&amp;gicode=A035760&amp;cID=&amp;MenuYn=Y&amp;ReportGB=&amp;NewMenuID=108&amp;stkGb=701", "CJ ENM")</f>
        <v>CJ ENM</v>
      </c>
      <c r="E185">
        <v>3</v>
      </c>
      <c r="F185">
        <v>137600</v>
      </c>
      <c r="G185">
        <v>-0.98</v>
      </c>
      <c r="H185">
        <v>33.57</v>
      </c>
      <c r="I185">
        <v>130919</v>
      </c>
      <c r="J185">
        <v>142443</v>
      </c>
      <c r="K185">
        <v>145718</v>
      </c>
      <c r="L185">
        <v>4.8600000000000003</v>
      </c>
      <c r="M185">
        <v>-3.52</v>
      </c>
      <c r="N185">
        <v>-5.9</v>
      </c>
      <c r="O185">
        <v>6.93</v>
      </c>
      <c r="P185" t="b">
        <v>0</v>
      </c>
      <c r="Q185">
        <v>1</v>
      </c>
      <c r="R185">
        <v>4754</v>
      </c>
      <c r="S185">
        <v>5967</v>
      </c>
      <c r="T185">
        <v>25.5</v>
      </c>
      <c r="U185" t="s">
        <v>1947</v>
      </c>
      <c r="V185" t="s">
        <v>2811</v>
      </c>
      <c r="W185">
        <v>-34.27895977701845</v>
      </c>
      <c r="X185">
        <v>-33.6</v>
      </c>
      <c r="Y185" t="s">
        <v>3660</v>
      </c>
      <c r="Z185">
        <v>-25.394443630181581</v>
      </c>
      <c r="AA185">
        <v>30175</v>
      </c>
      <c r="AB185">
        <v>243215</v>
      </c>
      <c r="AC185" t="s">
        <v>4466</v>
      </c>
      <c r="AD185">
        <v>42.7</v>
      </c>
      <c r="AE185" t="s">
        <v>5330</v>
      </c>
      <c r="AF185" t="s">
        <v>6187</v>
      </c>
      <c r="AG185">
        <v>37897</v>
      </c>
      <c r="AH185">
        <v>2694</v>
      </c>
      <c r="AI185">
        <v>2295225</v>
      </c>
      <c r="AJ185">
        <v>0.88</v>
      </c>
    </row>
    <row r="186" spans="1:36">
      <c r="A186" s="1" t="s">
        <v>220</v>
      </c>
      <c r="B186" t="s">
        <v>1084</v>
      </c>
      <c r="C186" t="str">
        <f>HYPERLINK("https://finance.naver.com/item/coinfo.nhn?code=053290", "A053290")</f>
        <v>A053290</v>
      </c>
      <c r="D186" t="str">
        <f>HYPERLINK("http://comp.fnguide.com/SVO2/ASP/SVD_Consensus.asp?pGB=1&amp;gicode=A053290&amp;cID=&amp;MenuYn=Y&amp;ReportGB=&amp;NewMenuID=108&amp;stkGb=701", "NE능률")</f>
        <v>NE능률</v>
      </c>
      <c r="E186">
        <v>3</v>
      </c>
      <c r="F186">
        <v>2775</v>
      </c>
      <c r="G186">
        <v>0</v>
      </c>
      <c r="H186">
        <v>66.16</v>
      </c>
      <c r="I186">
        <v>406</v>
      </c>
      <c r="J186">
        <v>2450</v>
      </c>
      <c r="K186">
        <v>3031</v>
      </c>
      <c r="L186">
        <v>85.39</v>
      </c>
      <c r="M186">
        <v>11.72</v>
      </c>
      <c r="N186">
        <v>-9.2200000000000006</v>
      </c>
      <c r="O186">
        <v>0.85</v>
      </c>
      <c r="P186" t="b">
        <v>1</v>
      </c>
      <c r="Q186">
        <v>0</v>
      </c>
      <c r="R186">
        <v>49</v>
      </c>
      <c r="U186" t="s">
        <v>1948</v>
      </c>
      <c r="V186" t="s">
        <v>2812</v>
      </c>
      <c r="W186">
        <v>0</v>
      </c>
      <c r="X186">
        <v>0</v>
      </c>
      <c r="Y186" t="s">
        <v>3661</v>
      </c>
      <c r="Z186">
        <v>-62.311805561953477</v>
      </c>
      <c r="AA186">
        <v>459</v>
      </c>
      <c r="AB186">
        <v>96263</v>
      </c>
      <c r="AC186" t="s">
        <v>4467</v>
      </c>
      <c r="AD186">
        <v>48.33</v>
      </c>
      <c r="AE186" t="s">
        <v>5331</v>
      </c>
      <c r="AF186" t="s">
        <v>6188</v>
      </c>
      <c r="AG186">
        <v>846</v>
      </c>
      <c r="AH186">
        <v>29</v>
      </c>
      <c r="AI186">
        <v>1407334</v>
      </c>
    </row>
    <row r="187" spans="1:36">
      <c r="A187" s="1" t="s">
        <v>221</v>
      </c>
      <c r="B187" t="s">
        <v>1085</v>
      </c>
      <c r="C187" t="str">
        <f>HYPERLINK("https://finance.naver.com/item/coinfo.nhn?code=023460", "A023460")</f>
        <v>A023460</v>
      </c>
      <c r="D187" t="str">
        <f>HYPERLINK("http://comp.fnguide.com/SVO2/ASP/SVD_Consensus.asp?pGB=1&amp;gicode=A023460&amp;cID=&amp;MenuYn=Y&amp;ReportGB=&amp;NewMenuID=108&amp;stkGb=701", "CNH")</f>
        <v>CNH</v>
      </c>
      <c r="E187">
        <v>3</v>
      </c>
      <c r="F187">
        <v>2340</v>
      </c>
      <c r="G187">
        <v>0</v>
      </c>
      <c r="H187">
        <v>4.62</v>
      </c>
      <c r="I187">
        <v>3168</v>
      </c>
      <c r="J187">
        <v>3071</v>
      </c>
      <c r="K187">
        <v>3044</v>
      </c>
      <c r="L187">
        <v>-35.4</v>
      </c>
      <c r="M187">
        <v>-31.26</v>
      </c>
      <c r="N187">
        <v>-30.08</v>
      </c>
      <c r="O187">
        <v>8.3699999999999992</v>
      </c>
      <c r="P187" t="b">
        <v>1</v>
      </c>
      <c r="Q187">
        <v>0</v>
      </c>
      <c r="R187">
        <v>414</v>
      </c>
      <c r="U187" t="s">
        <v>1949</v>
      </c>
      <c r="V187" t="s">
        <v>2813</v>
      </c>
      <c r="W187">
        <v>0</v>
      </c>
      <c r="Y187" t="s">
        <v>3605</v>
      </c>
      <c r="Z187">
        <v>25.480023442043901</v>
      </c>
      <c r="AA187">
        <v>870</v>
      </c>
      <c r="AB187">
        <v>494055</v>
      </c>
      <c r="AC187" t="s">
        <v>4468</v>
      </c>
      <c r="AD187">
        <v>63.97</v>
      </c>
      <c r="AE187" t="s">
        <v>5332</v>
      </c>
      <c r="AF187" t="s">
        <v>6189</v>
      </c>
      <c r="AG187">
        <v>405</v>
      </c>
      <c r="AH187">
        <v>211</v>
      </c>
      <c r="AI187">
        <v>2418619</v>
      </c>
      <c r="AJ187">
        <v>1.57</v>
      </c>
    </row>
    <row r="188" spans="1:36">
      <c r="A188" s="1" t="s">
        <v>222</v>
      </c>
      <c r="B188" t="s">
        <v>1086</v>
      </c>
      <c r="C188" t="str">
        <f>HYPERLINK("https://finance.naver.com/item/coinfo.nhn?code=900290", "A900290")</f>
        <v>A900290</v>
      </c>
      <c r="D188" t="str">
        <f>HYPERLINK("http://comp.fnguide.com/SVO2/ASP/SVD_Consensus.asp?pGB=1&amp;gicode=A900290&amp;cID=&amp;MenuYn=Y&amp;ReportGB=&amp;NewMenuID=108&amp;stkGb=701", "GRT")</f>
        <v>GRT</v>
      </c>
      <c r="E188">
        <v>3</v>
      </c>
      <c r="F188">
        <v>951</v>
      </c>
      <c r="G188">
        <v>0</v>
      </c>
      <c r="H188">
        <v>1.86</v>
      </c>
      <c r="I188">
        <v>13082</v>
      </c>
      <c r="J188">
        <v>9927</v>
      </c>
      <c r="K188">
        <v>9030</v>
      </c>
      <c r="L188">
        <v>-1275.58</v>
      </c>
      <c r="M188">
        <v>-943.84</v>
      </c>
      <c r="N188">
        <v>-849.56</v>
      </c>
      <c r="O188">
        <v>13.25</v>
      </c>
      <c r="P188" t="b">
        <v>0</v>
      </c>
      <c r="Q188">
        <v>0</v>
      </c>
      <c r="R188">
        <v>766</v>
      </c>
      <c r="U188" t="s">
        <v>1950</v>
      </c>
      <c r="V188" t="s">
        <v>2814</v>
      </c>
      <c r="W188">
        <v>0</v>
      </c>
      <c r="X188">
        <v>-31</v>
      </c>
      <c r="Y188" t="s">
        <v>3662</v>
      </c>
      <c r="Z188">
        <v>-18.255135296887978</v>
      </c>
      <c r="AA188">
        <v>641</v>
      </c>
      <c r="AB188">
        <v>0</v>
      </c>
      <c r="AC188" t="s">
        <v>4469</v>
      </c>
      <c r="AD188">
        <v>38.78</v>
      </c>
      <c r="AE188" t="s">
        <v>5333</v>
      </c>
      <c r="AF188" t="s">
        <v>6190</v>
      </c>
      <c r="AG188">
        <v>3434</v>
      </c>
      <c r="AH188">
        <v>679</v>
      </c>
    </row>
    <row r="189" spans="1:36">
      <c r="A189" s="1" t="s">
        <v>223</v>
      </c>
      <c r="B189" t="s">
        <v>1087</v>
      </c>
      <c r="C189" t="str">
        <f>HYPERLINK("https://finance.naver.com/item/coinfo.nhn?code=028150", "A028150")</f>
        <v>A028150</v>
      </c>
      <c r="D189" t="str">
        <f>HYPERLINK("http://comp.fnguide.com/SVO2/ASP/SVD_Consensus.asp?pGB=1&amp;gicode=A028150&amp;cID=&amp;MenuYn=Y&amp;ReportGB=&amp;NewMenuID=108&amp;stkGb=701", "GS홈쇼핑")</f>
        <v>GS홈쇼핑</v>
      </c>
      <c r="E189">
        <v>3</v>
      </c>
      <c r="F189">
        <v>143500</v>
      </c>
      <c r="G189">
        <v>1.73</v>
      </c>
      <c r="H189">
        <v>8.9</v>
      </c>
      <c r="I189">
        <v>260031</v>
      </c>
      <c r="J189">
        <v>219224</v>
      </c>
      <c r="K189">
        <v>207628</v>
      </c>
      <c r="L189">
        <v>-81.209999999999994</v>
      </c>
      <c r="M189">
        <v>-52.77</v>
      </c>
      <c r="N189">
        <v>-44.69</v>
      </c>
      <c r="O189">
        <v>10.74</v>
      </c>
      <c r="P189" t="b">
        <v>1</v>
      </c>
      <c r="Q189">
        <v>1</v>
      </c>
      <c r="R189">
        <v>16696</v>
      </c>
      <c r="S189">
        <v>18220</v>
      </c>
      <c r="T189">
        <v>9.1</v>
      </c>
      <c r="U189" t="s">
        <v>1951</v>
      </c>
      <c r="V189" t="s">
        <v>2815</v>
      </c>
      <c r="W189">
        <v>5.1307298661209533</v>
      </c>
      <c r="X189">
        <v>10.199999999999999</v>
      </c>
      <c r="Y189" t="s">
        <v>3663</v>
      </c>
      <c r="Z189">
        <v>8.9460774441804993</v>
      </c>
      <c r="AA189">
        <v>9417</v>
      </c>
      <c r="AB189">
        <v>27254</v>
      </c>
      <c r="AC189" t="s">
        <v>4470</v>
      </c>
      <c r="AD189">
        <v>36.1</v>
      </c>
      <c r="AE189" t="s">
        <v>5334</v>
      </c>
      <c r="AF189" t="s">
        <v>6191</v>
      </c>
      <c r="AG189">
        <v>12304</v>
      </c>
      <c r="AH189">
        <v>1211</v>
      </c>
      <c r="AI189">
        <v>599200</v>
      </c>
      <c r="AJ189">
        <v>4.37</v>
      </c>
    </row>
    <row r="190" spans="1:36">
      <c r="A190" s="1" t="s">
        <v>224</v>
      </c>
      <c r="B190" t="s">
        <v>1088</v>
      </c>
      <c r="C190" t="str">
        <f>HYPERLINK("https://finance.naver.com/item/coinfo.nhn?code=950170", "A950170")</f>
        <v>A950170</v>
      </c>
      <c r="D190" t="str">
        <f>HYPERLINK("http://comp.fnguide.com/SVO2/ASP/SVD_Consensus.asp?pGB=1&amp;gicode=A950170&amp;cID=&amp;MenuYn=Y&amp;ReportGB=&amp;NewMenuID=108&amp;stkGb=701", "JTC")</f>
        <v>JTC</v>
      </c>
      <c r="E190">
        <v>3</v>
      </c>
      <c r="F190">
        <v>5590</v>
      </c>
      <c r="G190">
        <v>0</v>
      </c>
      <c r="I190">
        <v>4234</v>
      </c>
      <c r="J190">
        <v>5807</v>
      </c>
      <c r="K190">
        <v>6253</v>
      </c>
      <c r="L190">
        <v>24.25</v>
      </c>
      <c r="M190">
        <v>-3.88</v>
      </c>
      <c r="N190">
        <v>-11.87</v>
      </c>
      <c r="O190">
        <v>4.91</v>
      </c>
      <c r="P190" t="b">
        <v>0</v>
      </c>
      <c r="Q190">
        <v>0</v>
      </c>
      <c r="R190">
        <v>-301</v>
      </c>
      <c r="U190" t="s">
        <v>1952</v>
      </c>
      <c r="V190" t="s">
        <v>2816</v>
      </c>
      <c r="W190">
        <v>0</v>
      </c>
      <c r="X190">
        <v>0</v>
      </c>
      <c r="Y190" t="s">
        <v>3664</v>
      </c>
      <c r="Z190">
        <v>-49.848953825087172</v>
      </c>
      <c r="AA190">
        <v>1957</v>
      </c>
      <c r="AB190">
        <v>62001</v>
      </c>
      <c r="AC190" t="s">
        <v>4471</v>
      </c>
      <c r="AD190">
        <v>64.16</v>
      </c>
      <c r="AE190" t="s">
        <v>5335</v>
      </c>
      <c r="AF190" t="s">
        <v>6192</v>
      </c>
      <c r="AG190">
        <v>5592</v>
      </c>
      <c r="AH190">
        <v>245</v>
      </c>
    </row>
    <row r="191" spans="1:36">
      <c r="A191" s="1" t="s">
        <v>225</v>
      </c>
      <c r="B191" t="s">
        <v>1089</v>
      </c>
      <c r="C191" t="str">
        <f>HYPERLINK("https://finance.naver.com/item/coinfo.nhn?code=024840", "A024840")</f>
        <v>A024840</v>
      </c>
      <c r="D191" t="str">
        <f>HYPERLINK("http://comp.fnguide.com/SVO2/ASP/SVD_Consensus.asp?pGB=1&amp;gicode=A024840&amp;cID=&amp;MenuYn=Y&amp;ReportGB=&amp;NewMenuID=108&amp;stkGb=701", "KBI메탈")</f>
        <v>KBI메탈</v>
      </c>
      <c r="E191">
        <v>3</v>
      </c>
      <c r="F191">
        <v>1775</v>
      </c>
      <c r="G191">
        <v>0</v>
      </c>
      <c r="H191">
        <v>8.6199999999999992</v>
      </c>
      <c r="I191">
        <v>2500</v>
      </c>
      <c r="J191">
        <v>2645</v>
      </c>
      <c r="K191">
        <v>2686</v>
      </c>
      <c r="L191">
        <v>-40.869999999999997</v>
      </c>
      <c r="M191">
        <v>-49</v>
      </c>
      <c r="N191">
        <v>-51.31</v>
      </c>
      <c r="O191">
        <v>7.25</v>
      </c>
      <c r="P191" t="b">
        <v>1</v>
      </c>
      <c r="Q191">
        <v>0</v>
      </c>
      <c r="R191">
        <v>195</v>
      </c>
      <c r="U191" t="s">
        <v>1953</v>
      </c>
      <c r="V191" t="s">
        <v>2817</v>
      </c>
      <c r="W191">
        <v>0</v>
      </c>
      <c r="X191">
        <v>573.5</v>
      </c>
      <c r="Y191" t="s">
        <v>3665</v>
      </c>
      <c r="Z191">
        <v>74.871490933046786</v>
      </c>
      <c r="AA191">
        <v>585</v>
      </c>
      <c r="AB191">
        <v>146888</v>
      </c>
      <c r="AC191" t="s">
        <v>4472</v>
      </c>
      <c r="AD191">
        <v>34.25</v>
      </c>
      <c r="AE191" t="s">
        <v>5336</v>
      </c>
      <c r="AF191" t="s">
        <v>6193</v>
      </c>
      <c r="AG191">
        <v>4948</v>
      </c>
      <c r="AH191">
        <v>103</v>
      </c>
      <c r="AI191">
        <v>71118</v>
      </c>
    </row>
    <row r="192" spans="1:36">
      <c r="A192" s="1" t="s">
        <v>226</v>
      </c>
      <c r="B192" t="s">
        <v>1090</v>
      </c>
      <c r="C192" t="str">
        <f>HYPERLINK("https://finance.naver.com/item/coinfo.nhn?code=024120", "A024120")</f>
        <v>A024120</v>
      </c>
      <c r="D192" t="str">
        <f>HYPERLINK("http://comp.fnguide.com/SVO2/ASP/SVD_Consensus.asp?pGB=1&amp;gicode=A024120&amp;cID=&amp;MenuYn=Y&amp;ReportGB=&amp;NewMenuID=108&amp;stkGb=701", "KB오토시스")</f>
        <v>KB오토시스</v>
      </c>
      <c r="E192">
        <v>3</v>
      </c>
      <c r="F192">
        <v>7370</v>
      </c>
      <c r="G192">
        <v>0</v>
      </c>
      <c r="H192">
        <v>6.65</v>
      </c>
      <c r="I192">
        <v>14230</v>
      </c>
      <c r="J192">
        <v>11031</v>
      </c>
      <c r="K192">
        <v>10122</v>
      </c>
      <c r="L192">
        <v>-93.08</v>
      </c>
      <c r="M192">
        <v>-49.67</v>
      </c>
      <c r="N192">
        <v>-37.340000000000003</v>
      </c>
      <c r="O192">
        <v>12.68</v>
      </c>
      <c r="P192" t="b">
        <v>1</v>
      </c>
      <c r="Q192">
        <v>0</v>
      </c>
      <c r="R192">
        <v>930</v>
      </c>
      <c r="U192" t="s">
        <v>1954</v>
      </c>
      <c r="V192" t="s">
        <v>2818</v>
      </c>
      <c r="W192">
        <v>0</v>
      </c>
      <c r="X192">
        <v>-77.2</v>
      </c>
      <c r="Y192" t="s">
        <v>3666</v>
      </c>
      <c r="Z192">
        <v>-14.700060334505981</v>
      </c>
      <c r="AA192">
        <v>848</v>
      </c>
      <c r="AB192">
        <v>792152</v>
      </c>
      <c r="AC192" t="s">
        <v>4473</v>
      </c>
      <c r="AD192">
        <v>72.069999999999993</v>
      </c>
      <c r="AE192" t="s">
        <v>5337</v>
      </c>
      <c r="AF192" t="s">
        <v>6194</v>
      </c>
      <c r="AG192">
        <v>1478</v>
      </c>
      <c r="AH192">
        <v>127</v>
      </c>
      <c r="AJ192">
        <v>3.72</v>
      </c>
    </row>
    <row r="193" spans="1:36">
      <c r="A193" s="1" t="s">
        <v>227</v>
      </c>
      <c r="B193" t="s">
        <v>1091</v>
      </c>
      <c r="C193" t="str">
        <f>HYPERLINK("https://finance.naver.com/item/coinfo.nhn?code=021320", "A021320")</f>
        <v>A021320</v>
      </c>
      <c r="D193" t="str">
        <f>HYPERLINK("http://comp.fnguide.com/SVO2/ASP/SVD_Consensus.asp?pGB=1&amp;gicode=A021320&amp;cID=&amp;MenuYn=Y&amp;ReportGB=&amp;NewMenuID=108&amp;stkGb=701", "KCC건설")</f>
        <v>KCC건설</v>
      </c>
      <c r="E193">
        <v>3</v>
      </c>
      <c r="F193">
        <v>8350</v>
      </c>
      <c r="G193">
        <v>0</v>
      </c>
      <c r="H193">
        <v>4.93</v>
      </c>
      <c r="I193">
        <v>17307</v>
      </c>
      <c r="J193">
        <v>18161</v>
      </c>
      <c r="K193">
        <v>18403</v>
      </c>
      <c r="L193">
        <v>-107.27</v>
      </c>
      <c r="M193">
        <v>-117.49</v>
      </c>
      <c r="N193">
        <v>-120.4</v>
      </c>
      <c r="O193">
        <v>7.34</v>
      </c>
      <c r="P193" t="b">
        <v>1</v>
      </c>
      <c r="Q193">
        <v>0</v>
      </c>
      <c r="R193">
        <v>1319</v>
      </c>
      <c r="U193" t="s">
        <v>1955</v>
      </c>
      <c r="V193" t="s">
        <v>2819</v>
      </c>
      <c r="W193">
        <v>0</v>
      </c>
      <c r="X193">
        <v>12.8</v>
      </c>
      <c r="Y193" t="s">
        <v>3667</v>
      </c>
      <c r="Z193">
        <v>17.588652917662209</v>
      </c>
      <c r="AA193">
        <v>1787</v>
      </c>
      <c r="AB193">
        <v>64025</v>
      </c>
      <c r="AC193" t="s">
        <v>4474</v>
      </c>
      <c r="AD193">
        <v>66.260000000000005</v>
      </c>
      <c r="AE193" t="s">
        <v>5338</v>
      </c>
      <c r="AF193" t="s">
        <v>6195</v>
      </c>
      <c r="AG193">
        <v>16425</v>
      </c>
      <c r="AH193">
        <v>588</v>
      </c>
      <c r="AI193">
        <v>1240734</v>
      </c>
      <c r="AJ193">
        <v>2.31</v>
      </c>
    </row>
    <row r="194" spans="1:36">
      <c r="A194" s="1" t="s">
        <v>228</v>
      </c>
      <c r="B194" t="s">
        <v>1092</v>
      </c>
      <c r="C194" t="str">
        <f>HYPERLINK("https://finance.naver.com/item/coinfo.nhn?code=044180", "A044180")</f>
        <v>A044180</v>
      </c>
      <c r="D194" t="str">
        <f>HYPERLINK("http://comp.fnguide.com/SVO2/ASP/SVD_Consensus.asp?pGB=1&amp;gicode=A044180&amp;cID=&amp;MenuYn=Y&amp;ReportGB=&amp;NewMenuID=108&amp;stkGb=701", "KD")</f>
        <v>KD</v>
      </c>
      <c r="E194">
        <v>3</v>
      </c>
      <c r="F194">
        <v>1270</v>
      </c>
      <c r="G194">
        <v>0</v>
      </c>
      <c r="H194">
        <v>3.49</v>
      </c>
      <c r="I194">
        <v>4296</v>
      </c>
      <c r="J194">
        <v>2880</v>
      </c>
      <c r="K194">
        <v>2478</v>
      </c>
      <c r="L194">
        <v>-238.26</v>
      </c>
      <c r="M194">
        <v>-126.77</v>
      </c>
      <c r="N194">
        <v>-95.08</v>
      </c>
      <c r="O194">
        <v>17.559999999999999</v>
      </c>
      <c r="P194" t="b">
        <v>1</v>
      </c>
      <c r="Q194">
        <v>0</v>
      </c>
      <c r="R194">
        <v>606</v>
      </c>
      <c r="U194" t="s">
        <v>1956</v>
      </c>
      <c r="V194" t="s">
        <v>2820</v>
      </c>
      <c r="W194">
        <v>0</v>
      </c>
      <c r="X194">
        <v>0</v>
      </c>
      <c r="Y194" t="s">
        <v>3668</v>
      </c>
      <c r="Z194">
        <v>-54.900000000000013</v>
      </c>
      <c r="AA194">
        <v>199</v>
      </c>
      <c r="AB194">
        <v>985705</v>
      </c>
      <c r="AC194" t="s">
        <v>4475</v>
      </c>
      <c r="AD194">
        <v>9.48</v>
      </c>
      <c r="AE194" t="s">
        <v>5339</v>
      </c>
      <c r="AF194" t="s">
        <v>6196</v>
      </c>
      <c r="AG194">
        <v>843</v>
      </c>
      <c r="AH194">
        <v>53</v>
      </c>
    </row>
    <row r="195" spans="1:36">
      <c r="A195" s="1" t="s">
        <v>229</v>
      </c>
      <c r="B195" t="s">
        <v>1093</v>
      </c>
      <c r="C195" t="str">
        <f>HYPERLINK("https://finance.naver.com/item/coinfo.nhn?code=151860", "A151860")</f>
        <v>A151860</v>
      </c>
      <c r="D195" t="str">
        <f>HYPERLINK("http://comp.fnguide.com/SVO2/ASP/SVD_Consensus.asp?pGB=1&amp;gicode=A151860&amp;cID=&amp;MenuYn=Y&amp;ReportGB=&amp;NewMenuID=108&amp;stkGb=701", "KG ETS")</f>
        <v>KG ETS</v>
      </c>
      <c r="E195">
        <v>3</v>
      </c>
      <c r="F195">
        <v>6160</v>
      </c>
      <c r="G195">
        <v>0</v>
      </c>
      <c r="H195">
        <v>1.22</v>
      </c>
      <c r="I195">
        <v>25441</v>
      </c>
      <c r="J195">
        <v>14353</v>
      </c>
      <c r="K195">
        <v>11202</v>
      </c>
      <c r="L195">
        <v>-313</v>
      </c>
      <c r="M195">
        <v>-133</v>
      </c>
      <c r="N195">
        <v>-81.849999999999994</v>
      </c>
      <c r="O195">
        <v>28.81</v>
      </c>
      <c r="P195" t="b">
        <v>0</v>
      </c>
      <c r="Q195">
        <v>0</v>
      </c>
      <c r="R195">
        <v>2716</v>
      </c>
      <c r="U195" t="s">
        <v>1957</v>
      </c>
      <c r="V195" t="s">
        <v>2821</v>
      </c>
      <c r="W195">
        <v>0</v>
      </c>
      <c r="X195">
        <v>94.1</v>
      </c>
      <c r="Y195" t="s">
        <v>3669</v>
      </c>
      <c r="Z195">
        <v>56.504750271697077</v>
      </c>
      <c r="AA195">
        <v>2218</v>
      </c>
      <c r="AB195">
        <v>1501327</v>
      </c>
      <c r="AC195" t="s">
        <v>4476</v>
      </c>
      <c r="AD195">
        <v>46.5</v>
      </c>
      <c r="AE195" t="s">
        <v>5340</v>
      </c>
      <c r="AF195" t="s">
        <v>6197</v>
      </c>
      <c r="AG195">
        <v>1609</v>
      </c>
      <c r="AH195">
        <v>159</v>
      </c>
      <c r="AI195">
        <v>1433682</v>
      </c>
      <c r="AJ195">
        <v>3.31</v>
      </c>
    </row>
    <row r="196" spans="1:36">
      <c r="A196" s="1" t="s">
        <v>230</v>
      </c>
      <c r="B196" t="s">
        <v>1094</v>
      </c>
      <c r="C196" t="str">
        <f>HYPERLINK("https://finance.naver.com/item/coinfo.nhn?code=036830", "A036830")</f>
        <v>A036830</v>
      </c>
      <c r="D196" t="str">
        <f>HYPERLINK("http://comp.fnguide.com/SVO2/ASP/SVD_Consensus.asp?pGB=1&amp;gicode=A036830&amp;cID=&amp;MenuYn=Y&amp;ReportGB=&amp;NewMenuID=108&amp;stkGb=701", "솔브레인홀딩스")</f>
        <v>솔브레인홀딩스</v>
      </c>
      <c r="E196">
        <v>3</v>
      </c>
      <c r="F196">
        <v>42050</v>
      </c>
      <c r="G196">
        <v>0</v>
      </c>
      <c r="H196">
        <v>6</v>
      </c>
      <c r="I196">
        <v>69234</v>
      </c>
      <c r="J196">
        <v>52051</v>
      </c>
      <c r="K196">
        <v>47167</v>
      </c>
      <c r="L196">
        <v>-64.650000000000006</v>
      </c>
      <c r="M196">
        <v>-23.78</v>
      </c>
      <c r="N196">
        <v>-12.17</v>
      </c>
      <c r="O196">
        <v>13.52</v>
      </c>
      <c r="P196" t="b">
        <v>1</v>
      </c>
      <c r="Q196">
        <v>0</v>
      </c>
      <c r="R196">
        <v>6737</v>
      </c>
      <c r="U196" t="s">
        <v>1958</v>
      </c>
      <c r="V196" t="s">
        <v>2822</v>
      </c>
      <c r="W196">
        <v>0</v>
      </c>
      <c r="X196">
        <v>1311.5</v>
      </c>
      <c r="Y196" t="s">
        <v>3670</v>
      </c>
      <c r="Z196">
        <v>81.0890787676515</v>
      </c>
      <c r="AA196">
        <v>4045</v>
      </c>
      <c r="AB196">
        <v>51434</v>
      </c>
      <c r="AC196" t="s">
        <v>4477</v>
      </c>
      <c r="AD196">
        <v>43.45</v>
      </c>
      <c r="AE196" t="s">
        <v>5341</v>
      </c>
      <c r="AF196" t="s">
        <v>6198</v>
      </c>
      <c r="AG196">
        <v>10213</v>
      </c>
      <c r="AH196">
        <v>1742</v>
      </c>
      <c r="AI196">
        <v>526253</v>
      </c>
      <c r="AJ196">
        <v>2.1</v>
      </c>
    </row>
    <row r="197" spans="1:36">
      <c r="A197" s="1" t="s">
        <v>231</v>
      </c>
      <c r="B197" t="s">
        <v>1095</v>
      </c>
      <c r="C197" t="str">
        <f>HYPERLINK("https://finance.naver.com/item/coinfo.nhn?code=058530", "A058530")</f>
        <v>A058530</v>
      </c>
      <c r="D197" t="str">
        <f>HYPERLINK("http://comp.fnguide.com/SVO2/ASP/SVD_Consensus.asp?pGB=1&amp;gicode=A058530&amp;cID=&amp;MenuYn=Y&amp;ReportGB=&amp;NewMenuID=108&amp;stkGb=701", "슈펙스비앤피")</f>
        <v>슈펙스비앤피</v>
      </c>
      <c r="E197">
        <v>3</v>
      </c>
      <c r="F197">
        <v>162</v>
      </c>
      <c r="G197">
        <v>0</v>
      </c>
      <c r="I197">
        <v>0</v>
      </c>
      <c r="J197">
        <v>257</v>
      </c>
      <c r="K197">
        <v>330</v>
      </c>
      <c r="L197">
        <v>100</v>
      </c>
      <c r="M197">
        <v>-58.46</v>
      </c>
      <c r="N197">
        <v>-103.49</v>
      </c>
      <c r="O197">
        <v>0</v>
      </c>
      <c r="P197" t="b">
        <v>0</v>
      </c>
      <c r="Q197">
        <v>0</v>
      </c>
      <c r="R197">
        <v>-242</v>
      </c>
      <c r="U197" t="s">
        <v>1959</v>
      </c>
      <c r="V197" t="s">
        <v>2823</v>
      </c>
      <c r="W197">
        <v>0</v>
      </c>
      <c r="X197">
        <v>0</v>
      </c>
      <c r="Y197" t="s">
        <v>3499</v>
      </c>
      <c r="Z197">
        <v>0</v>
      </c>
      <c r="AA197">
        <v>212</v>
      </c>
      <c r="AB197">
        <v>0</v>
      </c>
      <c r="AC197" t="s">
        <v>4478</v>
      </c>
      <c r="AD197">
        <v>5.85</v>
      </c>
      <c r="AE197" t="s">
        <v>5342</v>
      </c>
      <c r="AF197" t="s">
        <v>6021</v>
      </c>
      <c r="AG197">
        <v>411</v>
      </c>
      <c r="AH197">
        <v>34</v>
      </c>
    </row>
    <row r="198" spans="1:36">
      <c r="A198" s="1" t="s">
        <v>232</v>
      </c>
      <c r="B198" t="s">
        <v>1096</v>
      </c>
      <c r="C198" t="str">
        <f>HYPERLINK("https://finance.naver.com/item/coinfo.nhn?code=094840", "A094840")</f>
        <v>A094840</v>
      </c>
      <c r="D198" t="str">
        <f>HYPERLINK("http://comp.fnguide.com/SVO2/ASP/SVD_Consensus.asp?pGB=1&amp;gicode=A094840&amp;cID=&amp;MenuYn=Y&amp;ReportGB=&amp;NewMenuID=108&amp;stkGb=701", "슈프리마에이치큐")</f>
        <v>슈프리마에이치큐</v>
      </c>
      <c r="E198">
        <v>3</v>
      </c>
      <c r="F198">
        <v>7400</v>
      </c>
      <c r="G198">
        <v>0</v>
      </c>
      <c r="H198">
        <v>7.63</v>
      </c>
      <c r="I198">
        <v>10579</v>
      </c>
      <c r="J198">
        <v>13556</v>
      </c>
      <c r="K198">
        <v>14402</v>
      </c>
      <c r="L198">
        <v>-42.96</v>
      </c>
      <c r="M198">
        <v>-83.19</v>
      </c>
      <c r="N198">
        <v>-94.62</v>
      </c>
      <c r="O198">
        <v>5.41</v>
      </c>
      <c r="P198" t="b">
        <v>1</v>
      </c>
      <c r="Q198">
        <v>0</v>
      </c>
      <c r="R198">
        <v>763</v>
      </c>
      <c r="U198" t="s">
        <v>1960</v>
      </c>
      <c r="V198" t="s">
        <v>2824</v>
      </c>
      <c r="W198">
        <v>0</v>
      </c>
      <c r="X198">
        <v>-4.3</v>
      </c>
      <c r="Y198" t="s">
        <v>3671</v>
      </c>
      <c r="Z198">
        <v>-3.4624828409972048</v>
      </c>
      <c r="AA198">
        <v>775</v>
      </c>
      <c r="AB198">
        <v>628880</v>
      </c>
      <c r="AC198" t="s">
        <v>4479</v>
      </c>
      <c r="AD198">
        <v>43.71</v>
      </c>
      <c r="AE198" t="s">
        <v>5343</v>
      </c>
      <c r="AF198" t="s">
        <v>6199</v>
      </c>
      <c r="AG198">
        <v>262</v>
      </c>
      <c r="AH198">
        <v>20</v>
      </c>
      <c r="AI198">
        <v>1074985</v>
      </c>
    </row>
    <row r="199" spans="1:36">
      <c r="A199" s="1" t="s">
        <v>233</v>
      </c>
      <c r="B199" t="s">
        <v>1097</v>
      </c>
      <c r="C199" t="str">
        <f>HYPERLINK("https://finance.naver.com/item/coinfo.nhn?code=038950", "A038950")</f>
        <v>A038950</v>
      </c>
      <c r="D199" t="str">
        <f>HYPERLINK("http://comp.fnguide.com/SVO2/ASP/SVD_Consensus.asp?pGB=1&amp;gicode=A038950&amp;cID=&amp;MenuYn=Y&amp;ReportGB=&amp;NewMenuID=108&amp;stkGb=701", "파인디지털")</f>
        <v>파인디지털</v>
      </c>
      <c r="E199">
        <v>3</v>
      </c>
      <c r="F199">
        <v>6250</v>
      </c>
      <c r="G199">
        <v>0</v>
      </c>
      <c r="I199">
        <v>952</v>
      </c>
      <c r="J199">
        <v>6696</v>
      </c>
      <c r="K199">
        <v>8328</v>
      </c>
      <c r="L199">
        <v>84.77</v>
      </c>
      <c r="M199">
        <v>-7.14</v>
      </c>
      <c r="N199">
        <v>-33.25</v>
      </c>
      <c r="O199">
        <v>0.72</v>
      </c>
      <c r="P199" t="b">
        <v>0</v>
      </c>
      <c r="Q199">
        <v>0</v>
      </c>
      <c r="R199">
        <v>-12</v>
      </c>
      <c r="U199" t="s">
        <v>1961</v>
      </c>
      <c r="V199" t="s">
        <v>2825</v>
      </c>
      <c r="W199">
        <v>0</v>
      </c>
      <c r="X199">
        <v>0</v>
      </c>
      <c r="Y199" t="s">
        <v>3499</v>
      </c>
      <c r="Z199">
        <v>0</v>
      </c>
      <c r="AA199">
        <v>638</v>
      </c>
      <c r="AB199">
        <v>610154</v>
      </c>
      <c r="AC199" t="s">
        <v>4480</v>
      </c>
      <c r="AD199">
        <v>29.79</v>
      </c>
      <c r="AE199" t="s">
        <v>5344</v>
      </c>
      <c r="AF199" t="s">
        <v>6200</v>
      </c>
      <c r="AG199">
        <v>961</v>
      </c>
      <c r="AH199">
        <v>-2</v>
      </c>
      <c r="AI199">
        <v>2009812</v>
      </c>
      <c r="AJ199">
        <v>1.26</v>
      </c>
    </row>
    <row r="200" spans="1:36">
      <c r="A200" s="1" t="s">
        <v>234</v>
      </c>
      <c r="B200" t="s">
        <v>1098</v>
      </c>
      <c r="C200" t="str">
        <f>HYPERLINK("https://finance.naver.com/item/coinfo.nhn?code=056360", "A056360")</f>
        <v>A056360</v>
      </c>
      <c r="D200" t="str">
        <f>HYPERLINK("http://comp.fnguide.com/SVO2/ASP/SVD_Consensus.asp?pGB=1&amp;gicode=A056360&amp;cID=&amp;MenuYn=Y&amp;ReportGB=&amp;NewMenuID=108&amp;stkGb=701", "코위버")</f>
        <v>코위버</v>
      </c>
      <c r="E200">
        <v>3</v>
      </c>
      <c r="F200">
        <v>9890</v>
      </c>
      <c r="G200">
        <v>0</v>
      </c>
      <c r="H200">
        <v>4.2</v>
      </c>
      <c r="I200">
        <v>20414</v>
      </c>
      <c r="J200">
        <v>15766</v>
      </c>
      <c r="K200">
        <v>14445</v>
      </c>
      <c r="L200">
        <v>-106.41</v>
      </c>
      <c r="M200">
        <v>-59.41</v>
      </c>
      <c r="N200">
        <v>-46.06</v>
      </c>
      <c r="O200">
        <v>12.77</v>
      </c>
      <c r="P200" t="b">
        <v>1</v>
      </c>
      <c r="Q200">
        <v>0</v>
      </c>
      <c r="R200">
        <v>2107</v>
      </c>
      <c r="U200" t="s">
        <v>1962</v>
      </c>
      <c r="V200" t="s">
        <v>2826</v>
      </c>
      <c r="W200">
        <v>0</v>
      </c>
      <c r="X200">
        <v>-71.900000000000006</v>
      </c>
      <c r="Y200" t="s">
        <v>3672</v>
      </c>
      <c r="Z200">
        <v>-8.9721204825591432</v>
      </c>
      <c r="AA200">
        <v>969</v>
      </c>
      <c r="AB200">
        <v>60717</v>
      </c>
      <c r="AC200" t="s">
        <v>4481</v>
      </c>
      <c r="AD200">
        <v>28.91</v>
      </c>
      <c r="AE200" t="s">
        <v>5345</v>
      </c>
      <c r="AF200" t="s">
        <v>6201</v>
      </c>
      <c r="AG200">
        <v>1131</v>
      </c>
      <c r="AH200">
        <v>117</v>
      </c>
      <c r="AI200">
        <v>450345</v>
      </c>
      <c r="AJ200">
        <v>2.2599999999999998</v>
      </c>
    </row>
    <row r="201" spans="1:36">
      <c r="A201" s="1" t="s">
        <v>235</v>
      </c>
      <c r="B201" t="s">
        <v>1099</v>
      </c>
      <c r="C201" t="str">
        <f>HYPERLINK("https://finance.naver.com/item/coinfo.nhn?code=015710", "A015710")</f>
        <v>A015710</v>
      </c>
      <c r="D201" t="str">
        <f>HYPERLINK("http://comp.fnguide.com/SVO2/ASP/SVD_Consensus.asp?pGB=1&amp;gicode=A015710&amp;cID=&amp;MenuYn=Y&amp;ReportGB=&amp;NewMenuID=108&amp;stkGb=701", "코콤")</f>
        <v>코콤</v>
      </c>
      <c r="E201">
        <v>3</v>
      </c>
      <c r="F201">
        <v>6750</v>
      </c>
      <c r="G201">
        <v>0</v>
      </c>
      <c r="H201">
        <v>13.97</v>
      </c>
      <c r="I201">
        <v>8654</v>
      </c>
      <c r="J201">
        <v>7721</v>
      </c>
      <c r="K201">
        <v>7456</v>
      </c>
      <c r="L201">
        <v>-28.21</v>
      </c>
      <c r="M201">
        <v>-14.38</v>
      </c>
      <c r="N201">
        <v>-10.46</v>
      </c>
      <c r="O201">
        <v>9.67</v>
      </c>
      <c r="P201" t="b">
        <v>1</v>
      </c>
      <c r="Q201">
        <v>0</v>
      </c>
      <c r="R201">
        <v>469</v>
      </c>
      <c r="U201" t="s">
        <v>1963</v>
      </c>
      <c r="V201" t="s">
        <v>2827</v>
      </c>
      <c r="W201">
        <v>0</v>
      </c>
      <c r="X201">
        <v>-22.1</v>
      </c>
      <c r="Y201" t="s">
        <v>3673</v>
      </c>
      <c r="Z201">
        <v>-2.5641653422647899</v>
      </c>
      <c r="AA201">
        <v>1183</v>
      </c>
      <c r="AB201">
        <v>101350</v>
      </c>
      <c r="AC201" t="s">
        <v>4482</v>
      </c>
      <c r="AD201">
        <v>59.2</v>
      </c>
      <c r="AE201" t="s">
        <v>5346</v>
      </c>
      <c r="AF201" t="s">
        <v>6202</v>
      </c>
      <c r="AG201">
        <v>1339</v>
      </c>
      <c r="AH201">
        <v>133</v>
      </c>
      <c r="AI201">
        <v>932563</v>
      </c>
      <c r="AJ201">
        <v>2.44</v>
      </c>
    </row>
    <row r="202" spans="1:36">
      <c r="A202" s="1" t="s">
        <v>236</v>
      </c>
      <c r="B202" t="s">
        <v>1100</v>
      </c>
      <c r="C202" t="str">
        <f>HYPERLINK("https://finance.naver.com/item/coinfo.nhn?code=052330", "A052330")</f>
        <v>A052330</v>
      </c>
      <c r="D202" t="str">
        <f>HYPERLINK("http://comp.fnguide.com/SVO2/ASP/SVD_Consensus.asp?pGB=1&amp;gicode=A052330&amp;cID=&amp;MenuYn=Y&amp;ReportGB=&amp;NewMenuID=108&amp;stkGb=701", "코텍")</f>
        <v>코텍</v>
      </c>
      <c r="E202">
        <v>3</v>
      </c>
      <c r="F202">
        <v>8880</v>
      </c>
      <c r="G202">
        <v>0</v>
      </c>
      <c r="H202">
        <v>6.51</v>
      </c>
      <c r="I202">
        <v>30096</v>
      </c>
      <c r="J202">
        <v>25381</v>
      </c>
      <c r="K202">
        <v>24042</v>
      </c>
      <c r="L202">
        <v>-238.92</v>
      </c>
      <c r="M202">
        <v>-185.83</v>
      </c>
      <c r="N202">
        <v>-170.74</v>
      </c>
      <c r="O202">
        <v>10.73</v>
      </c>
      <c r="P202" t="b">
        <v>1</v>
      </c>
      <c r="Q202">
        <v>0</v>
      </c>
      <c r="R202">
        <v>1975</v>
      </c>
      <c r="U202" t="s">
        <v>1964</v>
      </c>
      <c r="V202" t="s">
        <v>2828</v>
      </c>
      <c r="W202">
        <v>0</v>
      </c>
      <c r="X202">
        <v>-94.4</v>
      </c>
      <c r="Y202" t="s">
        <v>3674</v>
      </c>
      <c r="Z202">
        <v>-42.068070820804969</v>
      </c>
      <c r="AA202">
        <v>1383</v>
      </c>
      <c r="AB202">
        <v>62274</v>
      </c>
      <c r="AC202" t="s">
        <v>4483</v>
      </c>
      <c r="AD202">
        <v>32.950000000000003</v>
      </c>
      <c r="AE202" t="s">
        <v>5347</v>
      </c>
      <c r="AF202" t="s">
        <v>6203</v>
      </c>
      <c r="AG202">
        <v>2853</v>
      </c>
      <c r="AH202">
        <v>331</v>
      </c>
      <c r="AI202">
        <v>1293395</v>
      </c>
      <c r="AJ202">
        <v>3.11</v>
      </c>
    </row>
    <row r="203" spans="1:36">
      <c r="A203" s="1" t="s">
        <v>237</v>
      </c>
      <c r="B203" t="s">
        <v>1101</v>
      </c>
      <c r="C203" t="str">
        <f>HYPERLINK("https://finance.naver.com/item/coinfo.nhn?code=126600", "A126600")</f>
        <v>A126600</v>
      </c>
      <c r="D203" t="str">
        <f>HYPERLINK("http://comp.fnguide.com/SVO2/ASP/SVD_Consensus.asp?pGB=1&amp;gicode=A126600&amp;cID=&amp;MenuYn=Y&amp;ReportGB=&amp;NewMenuID=108&amp;stkGb=701", "코프라")</f>
        <v>코프라</v>
      </c>
      <c r="E203">
        <v>3</v>
      </c>
      <c r="F203">
        <v>4095</v>
      </c>
      <c r="G203">
        <v>0</v>
      </c>
      <c r="H203">
        <v>8.7799999999999994</v>
      </c>
      <c r="I203">
        <v>4655</v>
      </c>
      <c r="J203">
        <v>5092</v>
      </c>
      <c r="K203">
        <v>5216</v>
      </c>
      <c r="L203">
        <v>-13.68</v>
      </c>
      <c r="M203">
        <v>-24.35</v>
      </c>
      <c r="N203">
        <v>-27.39</v>
      </c>
      <c r="O203">
        <v>6.87</v>
      </c>
      <c r="P203" t="b">
        <v>1</v>
      </c>
      <c r="Q203">
        <v>0</v>
      </c>
      <c r="R203">
        <v>424</v>
      </c>
      <c r="U203" t="s">
        <v>1965</v>
      </c>
      <c r="V203" t="s">
        <v>2829</v>
      </c>
      <c r="W203">
        <v>0</v>
      </c>
      <c r="X203">
        <v>11</v>
      </c>
      <c r="Y203" t="s">
        <v>3675</v>
      </c>
      <c r="Z203">
        <v>-3.641961695379603</v>
      </c>
      <c r="AA203">
        <v>865</v>
      </c>
      <c r="AB203">
        <v>7268060</v>
      </c>
      <c r="AC203" t="s">
        <v>4484</v>
      </c>
      <c r="AD203">
        <v>34.17</v>
      </c>
      <c r="AE203" t="s">
        <v>5348</v>
      </c>
      <c r="AF203" t="s">
        <v>6204</v>
      </c>
      <c r="AG203">
        <v>1829</v>
      </c>
      <c r="AH203">
        <v>91</v>
      </c>
      <c r="AI203">
        <v>842699</v>
      </c>
      <c r="AJ203">
        <v>1.88</v>
      </c>
    </row>
    <row r="204" spans="1:36">
      <c r="A204" s="1" t="s">
        <v>238</v>
      </c>
      <c r="B204" t="s">
        <v>1102</v>
      </c>
      <c r="C204" t="str">
        <f>HYPERLINK("https://finance.naver.com/item/coinfo.nhn?code=016600", "A016600")</f>
        <v>A016600</v>
      </c>
      <c r="D204" t="str">
        <f>HYPERLINK("http://comp.fnguide.com/SVO2/ASP/SVD_Consensus.asp?pGB=1&amp;gicode=A016600&amp;cID=&amp;MenuYn=Y&amp;ReportGB=&amp;NewMenuID=108&amp;stkGb=701", "큐캐피탈")</f>
        <v>큐캐피탈</v>
      </c>
      <c r="E204">
        <v>3</v>
      </c>
      <c r="F204">
        <v>545</v>
      </c>
      <c r="G204">
        <v>0</v>
      </c>
      <c r="H204">
        <v>19.22</v>
      </c>
      <c r="I204">
        <v>358</v>
      </c>
      <c r="J204">
        <v>552</v>
      </c>
      <c r="K204">
        <v>608</v>
      </c>
      <c r="L204">
        <v>34.299999999999997</v>
      </c>
      <c r="M204">
        <v>-1.35</v>
      </c>
      <c r="N204">
        <v>-11.48</v>
      </c>
      <c r="O204">
        <v>4.17</v>
      </c>
      <c r="P204" t="b">
        <v>0</v>
      </c>
      <c r="Q204">
        <v>0</v>
      </c>
      <c r="R204">
        <v>36</v>
      </c>
      <c r="U204" t="s">
        <v>1966</v>
      </c>
      <c r="V204" t="s">
        <v>2830</v>
      </c>
      <c r="W204">
        <v>0</v>
      </c>
      <c r="Y204" t="s">
        <v>3605</v>
      </c>
      <c r="Z204">
        <v>-60.56473563573411</v>
      </c>
      <c r="AA204">
        <v>915</v>
      </c>
      <c r="AB204">
        <v>609299</v>
      </c>
      <c r="AC204" t="s">
        <v>4485</v>
      </c>
      <c r="AD204">
        <v>45.2</v>
      </c>
      <c r="AE204" t="s">
        <v>5349</v>
      </c>
      <c r="AF204" t="s">
        <v>6205</v>
      </c>
      <c r="AG204">
        <v>116</v>
      </c>
      <c r="AH204">
        <v>15</v>
      </c>
      <c r="AI204">
        <v>3727090</v>
      </c>
    </row>
    <row r="205" spans="1:36">
      <c r="A205" s="1" t="s">
        <v>239</v>
      </c>
      <c r="B205" t="s">
        <v>1103</v>
      </c>
      <c r="C205" t="str">
        <f>HYPERLINK("https://finance.naver.com/item/coinfo.nhn?code=114120", "A114120")</f>
        <v>A114120</v>
      </c>
      <c r="D205" t="str">
        <f>HYPERLINK("http://comp.fnguide.com/SVO2/ASP/SVD_Consensus.asp?pGB=1&amp;gicode=A114120&amp;cID=&amp;MenuYn=Y&amp;ReportGB=&amp;NewMenuID=108&amp;stkGb=701", "크루셜텍")</f>
        <v>크루셜텍</v>
      </c>
      <c r="E205">
        <v>3</v>
      </c>
      <c r="F205">
        <v>1420</v>
      </c>
      <c r="G205">
        <v>0</v>
      </c>
      <c r="I205">
        <v>0</v>
      </c>
      <c r="J205">
        <v>1262</v>
      </c>
      <c r="K205">
        <v>1620</v>
      </c>
      <c r="L205">
        <v>100</v>
      </c>
      <c r="M205">
        <v>11.15</v>
      </c>
      <c r="N205">
        <v>-14.1</v>
      </c>
      <c r="O205">
        <v>0</v>
      </c>
      <c r="P205" t="b">
        <v>0</v>
      </c>
      <c r="Q205">
        <v>0</v>
      </c>
      <c r="R205">
        <v>-3106</v>
      </c>
      <c r="U205" t="s">
        <v>1967</v>
      </c>
      <c r="V205" t="s">
        <v>2831</v>
      </c>
      <c r="W205">
        <v>0</v>
      </c>
      <c r="X205">
        <v>0</v>
      </c>
      <c r="Y205" t="s">
        <v>3676</v>
      </c>
      <c r="Z205">
        <v>-97.2</v>
      </c>
      <c r="AA205">
        <v>298</v>
      </c>
      <c r="AB205">
        <v>196688</v>
      </c>
      <c r="AC205" t="s">
        <v>4486</v>
      </c>
      <c r="AD205">
        <v>8.89</v>
      </c>
      <c r="AE205" t="s">
        <v>5350</v>
      </c>
      <c r="AF205" t="s">
        <v>6021</v>
      </c>
      <c r="AG205">
        <v>651</v>
      </c>
      <c r="AH205">
        <v>-291</v>
      </c>
      <c r="AI205">
        <v>26411</v>
      </c>
    </row>
    <row r="206" spans="1:36">
      <c r="A206" s="1" t="s">
        <v>240</v>
      </c>
      <c r="B206" t="s">
        <v>1104</v>
      </c>
      <c r="C206" t="str">
        <f>HYPERLINK("https://finance.naver.com/item/coinfo.nhn?code=110790", "A110790")</f>
        <v>A110790</v>
      </c>
      <c r="D206" t="str">
        <f>HYPERLINK("http://comp.fnguide.com/SVO2/ASP/SVD_Consensus.asp?pGB=1&amp;gicode=A110790&amp;cID=&amp;MenuYn=Y&amp;ReportGB=&amp;NewMenuID=108&amp;stkGb=701", "크리스에프앤씨")</f>
        <v>크리스에프앤씨</v>
      </c>
      <c r="E206">
        <v>3</v>
      </c>
      <c r="F206">
        <v>23050</v>
      </c>
      <c r="G206">
        <v>-3.19</v>
      </c>
      <c r="H206">
        <v>8.94</v>
      </c>
      <c r="I206">
        <v>45730</v>
      </c>
      <c r="J206">
        <v>30259</v>
      </c>
      <c r="K206">
        <v>25862</v>
      </c>
      <c r="L206">
        <v>-98.4</v>
      </c>
      <c r="M206">
        <v>-31.28</v>
      </c>
      <c r="N206">
        <v>-12.2</v>
      </c>
      <c r="O206">
        <v>18.14</v>
      </c>
      <c r="P206" t="b">
        <v>1</v>
      </c>
      <c r="Q206">
        <v>1</v>
      </c>
      <c r="R206">
        <v>2119</v>
      </c>
      <c r="S206">
        <v>3098</v>
      </c>
      <c r="T206">
        <v>46.2</v>
      </c>
      <c r="U206" t="s">
        <v>1968</v>
      </c>
      <c r="V206" t="s">
        <v>2832</v>
      </c>
      <c r="W206">
        <v>-2.799366984652818</v>
      </c>
      <c r="X206">
        <v>45.2</v>
      </c>
      <c r="Y206" t="s">
        <v>3677</v>
      </c>
      <c r="Z206">
        <v>1.96150059370066</v>
      </c>
      <c r="AA206">
        <v>2700</v>
      </c>
      <c r="AB206">
        <v>8641</v>
      </c>
      <c r="AC206" t="s">
        <v>4487</v>
      </c>
      <c r="AD206">
        <v>40.119999999999997</v>
      </c>
      <c r="AE206" t="s">
        <v>5351</v>
      </c>
      <c r="AF206" t="s">
        <v>6206</v>
      </c>
      <c r="AG206">
        <v>2595</v>
      </c>
      <c r="AH206">
        <v>377</v>
      </c>
      <c r="AI206">
        <v>874441</v>
      </c>
      <c r="AJ206">
        <v>2.11</v>
      </c>
    </row>
    <row r="207" spans="1:36">
      <c r="A207" s="1" t="s">
        <v>241</v>
      </c>
      <c r="B207" t="s">
        <v>1105</v>
      </c>
      <c r="C207" t="str">
        <f>HYPERLINK("https://finance.naver.com/item/coinfo.nhn?code=900250", "A900250")</f>
        <v>A900250</v>
      </c>
      <c r="D207" t="str">
        <f>HYPERLINK("http://comp.fnguide.com/SVO2/ASP/SVD_Consensus.asp?pGB=1&amp;gicode=A900250&amp;cID=&amp;MenuYn=Y&amp;ReportGB=&amp;NewMenuID=108&amp;stkGb=701", "크리스탈신소재")</f>
        <v>크리스탈신소재</v>
      </c>
      <c r="E207">
        <v>3</v>
      </c>
      <c r="F207">
        <v>1685</v>
      </c>
      <c r="G207">
        <v>0</v>
      </c>
      <c r="H207">
        <v>5.25</v>
      </c>
      <c r="I207">
        <v>5145</v>
      </c>
      <c r="J207">
        <v>4400</v>
      </c>
      <c r="K207">
        <v>4188</v>
      </c>
      <c r="L207">
        <v>-205.33</v>
      </c>
      <c r="M207">
        <v>-161.11000000000001</v>
      </c>
      <c r="N207">
        <v>-148.55000000000001</v>
      </c>
      <c r="O207">
        <v>10.46</v>
      </c>
      <c r="P207" t="b">
        <v>0</v>
      </c>
      <c r="Q207">
        <v>0</v>
      </c>
      <c r="R207">
        <v>334</v>
      </c>
      <c r="U207" t="s">
        <v>1969</v>
      </c>
      <c r="V207" t="s">
        <v>2833</v>
      </c>
      <c r="W207">
        <v>0</v>
      </c>
      <c r="X207">
        <v>9.1999999999999993</v>
      </c>
      <c r="Y207" t="s">
        <v>3678</v>
      </c>
      <c r="Z207">
        <v>-4.6431278643449652</v>
      </c>
      <c r="AA207">
        <v>1142</v>
      </c>
      <c r="AB207">
        <v>723241</v>
      </c>
      <c r="AC207" t="s">
        <v>4488</v>
      </c>
      <c r="AD207">
        <v>20.57</v>
      </c>
      <c r="AE207" t="s">
        <v>5352</v>
      </c>
      <c r="AF207" t="s">
        <v>6207</v>
      </c>
      <c r="AG207">
        <v>846</v>
      </c>
      <c r="AH207">
        <v>285</v>
      </c>
    </row>
    <row r="208" spans="1:36">
      <c r="A208" s="1" t="s">
        <v>242</v>
      </c>
      <c r="B208" t="s">
        <v>1106</v>
      </c>
      <c r="C208" t="str">
        <f>HYPERLINK("https://finance.naver.com/item/coinfo.nhn?code=065130", "A065130")</f>
        <v>A065130</v>
      </c>
      <c r="D208" t="str">
        <f>HYPERLINK("http://comp.fnguide.com/SVO2/ASP/SVD_Consensus.asp?pGB=1&amp;gicode=A065130&amp;cID=&amp;MenuYn=Y&amp;ReportGB=&amp;NewMenuID=108&amp;stkGb=701", "탑엔지니어링")</f>
        <v>탑엔지니어링</v>
      </c>
      <c r="E208">
        <v>3</v>
      </c>
      <c r="F208">
        <v>10250</v>
      </c>
      <c r="G208">
        <v>0</v>
      </c>
      <c r="H208">
        <v>4.45</v>
      </c>
      <c r="I208">
        <v>24067</v>
      </c>
      <c r="J208">
        <v>17674</v>
      </c>
      <c r="K208">
        <v>15857</v>
      </c>
      <c r="L208">
        <v>-134.80000000000001</v>
      </c>
      <c r="M208">
        <v>-72.42</v>
      </c>
      <c r="N208">
        <v>-54.7</v>
      </c>
      <c r="O208">
        <v>14.22</v>
      </c>
      <c r="P208" t="b">
        <v>1</v>
      </c>
      <c r="Q208">
        <v>0</v>
      </c>
      <c r="R208">
        <v>2259</v>
      </c>
      <c r="U208" t="s">
        <v>1970</v>
      </c>
      <c r="V208" t="s">
        <v>2834</v>
      </c>
      <c r="W208">
        <v>0</v>
      </c>
      <c r="X208">
        <v>0</v>
      </c>
      <c r="Y208" t="s">
        <v>3679</v>
      </c>
      <c r="Z208">
        <v>33.663540442444948</v>
      </c>
      <c r="AA208">
        <v>1638</v>
      </c>
      <c r="AB208">
        <v>290441</v>
      </c>
      <c r="AC208" t="s">
        <v>4489</v>
      </c>
      <c r="AD208">
        <v>24.32</v>
      </c>
      <c r="AE208" t="s">
        <v>5353</v>
      </c>
      <c r="AF208" t="s">
        <v>6208</v>
      </c>
      <c r="AG208">
        <v>13059</v>
      </c>
      <c r="AH208">
        <v>706</v>
      </c>
      <c r="AI208">
        <v>181464</v>
      </c>
      <c r="AJ208">
        <v>1</v>
      </c>
    </row>
    <row r="209" spans="1:36">
      <c r="A209" s="1" t="s">
        <v>243</v>
      </c>
      <c r="B209" t="s">
        <v>1107</v>
      </c>
      <c r="C209" t="str">
        <f>HYPERLINK("https://finance.naver.com/item/coinfo.nhn?code=023160", "A023160")</f>
        <v>A023160</v>
      </c>
      <c r="D209" t="str">
        <f>HYPERLINK("http://comp.fnguide.com/SVO2/ASP/SVD_Consensus.asp?pGB=1&amp;gicode=A023160&amp;cID=&amp;MenuYn=Y&amp;ReportGB=&amp;NewMenuID=108&amp;stkGb=701", "태광")</f>
        <v>태광</v>
      </c>
      <c r="E209">
        <v>3</v>
      </c>
      <c r="F209">
        <v>7050</v>
      </c>
      <c r="G209">
        <v>0</v>
      </c>
      <c r="H209">
        <v>25</v>
      </c>
      <c r="I209">
        <v>4330</v>
      </c>
      <c r="J209">
        <v>11759</v>
      </c>
      <c r="K209">
        <v>13870</v>
      </c>
      <c r="L209">
        <v>38.58</v>
      </c>
      <c r="M209">
        <v>-66.8</v>
      </c>
      <c r="N209">
        <v>-96.74</v>
      </c>
      <c r="O209">
        <v>2.06</v>
      </c>
      <c r="P209" t="b">
        <v>1</v>
      </c>
      <c r="Q209">
        <v>0</v>
      </c>
      <c r="R209">
        <v>408</v>
      </c>
      <c r="S209">
        <v>79</v>
      </c>
      <c r="T209">
        <v>-80.599999999999994</v>
      </c>
      <c r="U209" t="s">
        <v>1971</v>
      </c>
      <c r="V209" t="s">
        <v>2835</v>
      </c>
      <c r="W209">
        <v>0</v>
      </c>
      <c r="X209">
        <v>-76.2</v>
      </c>
      <c r="Y209" t="s">
        <v>3680</v>
      </c>
      <c r="Z209">
        <v>-49.646616810949929</v>
      </c>
      <c r="AA209">
        <v>1868</v>
      </c>
      <c r="AB209">
        <v>355372</v>
      </c>
      <c r="AC209" t="s">
        <v>4490</v>
      </c>
      <c r="AD209">
        <v>45.63</v>
      </c>
      <c r="AE209" t="s">
        <v>5354</v>
      </c>
      <c r="AF209" t="s">
        <v>6209</v>
      </c>
      <c r="AG209">
        <v>1898</v>
      </c>
      <c r="AH209">
        <v>87</v>
      </c>
      <c r="AI209">
        <v>632758</v>
      </c>
      <c r="AJ209">
        <v>0.98</v>
      </c>
    </row>
    <row r="210" spans="1:36">
      <c r="A210" s="1" t="s">
        <v>244</v>
      </c>
      <c r="B210" t="s">
        <v>1108</v>
      </c>
      <c r="C210" t="str">
        <f>HYPERLINK("https://finance.naver.com/item/coinfo.nhn?code=053620", "A053620")</f>
        <v>A053620</v>
      </c>
      <c r="D210" t="str">
        <f>HYPERLINK("http://comp.fnguide.com/SVO2/ASP/SVD_Consensus.asp?pGB=1&amp;gicode=A053620&amp;cID=&amp;MenuYn=Y&amp;ReportGB=&amp;NewMenuID=108&amp;stkGb=701", "태양")</f>
        <v>태양</v>
      </c>
      <c r="E210">
        <v>3</v>
      </c>
      <c r="F210">
        <v>8470</v>
      </c>
      <c r="G210">
        <v>0</v>
      </c>
      <c r="H210">
        <v>9.2200000000000006</v>
      </c>
      <c r="I210">
        <v>8935</v>
      </c>
      <c r="J210">
        <v>15538</v>
      </c>
      <c r="K210">
        <v>17415</v>
      </c>
      <c r="L210">
        <v>-5.49</v>
      </c>
      <c r="M210">
        <v>-83.45</v>
      </c>
      <c r="N210">
        <v>-105.6</v>
      </c>
      <c r="O210">
        <v>3.56</v>
      </c>
      <c r="P210" t="b">
        <v>1</v>
      </c>
      <c r="Q210">
        <v>0</v>
      </c>
      <c r="R210">
        <v>857</v>
      </c>
      <c r="U210" t="s">
        <v>1972</v>
      </c>
      <c r="V210" t="s">
        <v>2836</v>
      </c>
      <c r="W210">
        <v>0</v>
      </c>
      <c r="X210">
        <v>28.2</v>
      </c>
      <c r="Y210" t="s">
        <v>3681</v>
      </c>
      <c r="Z210">
        <v>23.271539076657159</v>
      </c>
      <c r="AA210">
        <v>728</v>
      </c>
      <c r="AB210">
        <v>6833</v>
      </c>
      <c r="AC210" t="s">
        <v>4491</v>
      </c>
      <c r="AD210">
        <v>62.47</v>
      </c>
      <c r="AE210" t="s">
        <v>5355</v>
      </c>
      <c r="AF210" t="s">
        <v>6210</v>
      </c>
      <c r="AG210">
        <v>1418</v>
      </c>
      <c r="AH210">
        <v>70</v>
      </c>
      <c r="AI210">
        <v>638969</v>
      </c>
      <c r="AJ210">
        <v>1.9</v>
      </c>
    </row>
    <row r="211" spans="1:36">
      <c r="A211" s="1" t="s">
        <v>245</v>
      </c>
      <c r="B211" t="s">
        <v>1109</v>
      </c>
      <c r="C211" t="str">
        <f>HYPERLINK("https://finance.naver.com/item/coinfo.nhn?code=044490", "A044490")</f>
        <v>A044490</v>
      </c>
      <c r="D211" t="str">
        <f>HYPERLINK("http://comp.fnguide.com/SVO2/ASP/SVD_Consensus.asp?pGB=1&amp;gicode=A044490&amp;cID=&amp;MenuYn=Y&amp;ReportGB=&amp;NewMenuID=108&amp;stkGb=701", "태웅")</f>
        <v>태웅</v>
      </c>
      <c r="E211">
        <v>3</v>
      </c>
      <c r="F211">
        <v>14350</v>
      </c>
      <c r="G211">
        <v>0</v>
      </c>
      <c r="I211">
        <v>0</v>
      </c>
      <c r="J211">
        <v>17087</v>
      </c>
      <c r="K211">
        <v>21943</v>
      </c>
      <c r="L211">
        <v>100</v>
      </c>
      <c r="M211">
        <v>-19.07</v>
      </c>
      <c r="N211">
        <v>-52.91</v>
      </c>
      <c r="O211">
        <v>0</v>
      </c>
      <c r="P211" t="b">
        <v>0</v>
      </c>
      <c r="Q211">
        <v>0</v>
      </c>
      <c r="R211">
        <v>-1690</v>
      </c>
      <c r="U211" t="s">
        <v>1973</v>
      </c>
      <c r="V211" t="s">
        <v>2837</v>
      </c>
      <c r="W211">
        <v>0</v>
      </c>
      <c r="X211">
        <v>0</v>
      </c>
      <c r="Y211" t="s">
        <v>3682</v>
      </c>
      <c r="Z211">
        <v>78.099999999999994</v>
      </c>
      <c r="AA211">
        <v>2871</v>
      </c>
      <c r="AB211">
        <v>166086</v>
      </c>
      <c r="AC211" t="s">
        <v>4492</v>
      </c>
      <c r="AD211">
        <v>53.75</v>
      </c>
      <c r="AE211" t="s">
        <v>5356</v>
      </c>
      <c r="AF211" t="s">
        <v>6021</v>
      </c>
      <c r="AG211">
        <v>3740</v>
      </c>
      <c r="AH211">
        <v>-300</v>
      </c>
    </row>
    <row r="212" spans="1:36">
      <c r="A212" s="1" t="s">
        <v>246</v>
      </c>
      <c r="B212" t="s">
        <v>1110</v>
      </c>
      <c r="C212" t="str">
        <f>HYPERLINK("https://finance.naver.com/item/coinfo.nhn?code=091440", "A091440")</f>
        <v>A091440</v>
      </c>
      <c r="D212" t="str">
        <f>HYPERLINK("http://comp.fnguide.com/SVO2/ASP/SVD_Consensus.asp?pGB=1&amp;gicode=A091440&amp;cID=&amp;MenuYn=Y&amp;ReportGB=&amp;NewMenuID=108&amp;stkGb=701", "텔레필드")</f>
        <v>텔레필드</v>
      </c>
      <c r="E212">
        <v>3</v>
      </c>
      <c r="F212">
        <v>3155</v>
      </c>
      <c r="G212">
        <v>0</v>
      </c>
      <c r="H212">
        <v>6.53</v>
      </c>
      <c r="I212">
        <v>3941</v>
      </c>
      <c r="J212">
        <v>3454</v>
      </c>
      <c r="K212">
        <v>3316</v>
      </c>
      <c r="L212">
        <v>-24.91</v>
      </c>
      <c r="M212">
        <v>-9.48</v>
      </c>
      <c r="N212">
        <v>-5.0999999999999996</v>
      </c>
      <c r="O212">
        <v>9.99</v>
      </c>
      <c r="P212" t="b">
        <v>1</v>
      </c>
      <c r="Q212">
        <v>0</v>
      </c>
      <c r="R212">
        <v>522</v>
      </c>
      <c r="U212" t="s">
        <v>1974</v>
      </c>
      <c r="V212" t="s">
        <v>2838</v>
      </c>
      <c r="W212">
        <v>0</v>
      </c>
      <c r="X212">
        <v>0</v>
      </c>
      <c r="Y212" t="s">
        <v>3499</v>
      </c>
      <c r="Z212">
        <v>0</v>
      </c>
      <c r="AA212">
        <v>290</v>
      </c>
      <c r="AB212">
        <v>38353</v>
      </c>
      <c r="AC212" t="s">
        <v>4493</v>
      </c>
      <c r="AD212">
        <v>19.82</v>
      </c>
      <c r="AE212" t="s">
        <v>5357</v>
      </c>
      <c r="AF212" t="s">
        <v>6211</v>
      </c>
      <c r="AG212">
        <v>565</v>
      </c>
      <c r="AH212">
        <v>57</v>
      </c>
      <c r="AI212">
        <v>554681</v>
      </c>
    </row>
    <row r="213" spans="1:36">
      <c r="A213" s="1" t="s">
        <v>247</v>
      </c>
      <c r="B213" t="s">
        <v>1111</v>
      </c>
      <c r="C213" t="str">
        <f>HYPERLINK("https://finance.naver.com/item/coinfo.nhn?code=051360", "A051360")</f>
        <v>A051360</v>
      </c>
      <c r="D213" t="str">
        <f>HYPERLINK("http://comp.fnguide.com/SVO2/ASP/SVD_Consensus.asp?pGB=1&amp;gicode=A051360&amp;cID=&amp;MenuYn=Y&amp;ReportGB=&amp;NewMenuID=108&amp;stkGb=701", "토비스")</f>
        <v>토비스</v>
      </c>
      <c r="E213">
        <v>3</v>
      </c>
      <c r="F213">
        <v>7460</v>
      </c>
      <c r="G213">
        <v>0</v>
      </c>
      <c r="H213">
        <v>7.14</v>
      </c>
      <c r="I213">
        <v>17690</v>
      </c>
      <c r="J213">
        <v>14660</v>
      </c>
      <c r="K213">
        <v>13799</v>
      </c>
      <c r="L213">
        <v>-137.13</v>
      </c>
      <c r="M213">
        <v>-96.51</v>
      </c>
      <c r="N213">
        <v>-84.97</v>
      </c>
      <c r="O213">
        <v>11.1</v>
      </c>
      <c r="P213" t="b">
        <v>1</v>
      </c>
      <c r="Q213">
        <v>0</v>
      </c>
      <c r="R213">
        <v>1319</v>
      </c>
      <c r="U213" t="s">
        <v>1975</v>
      </c>
      <c r="V213" t="s">
        <v>2839</v>
      </c>
      <c r="W213">
        <v>0</v>
      </c>
      <c r="X213">
        <v>-99.8</v>
      </c>
      <c r="Y213" t="s">
        <v>3683</v>
      </c>
      <c r="Z213">
        <v>-71.734774704015067</v>
      </c>
      <c r="AA213">
        <v>1247</v>
      </c>
      <c r="AB213">
        <v>506096</v>
      </c>
      <c r="AC213" t="s">
        <v>4494</v>
      </c>
      <c r="AD213">
        <v>14.3</v>
      </c>
      <c r="AE213" t="s">
        <v>5358</v>
      </c>
      <c r="AF213" t="s">
        <v>6212</v>
      </c>
      <c r="AG213">
        <v>4189</v>
      </c>
      <c r="AH213">
        <v>307</v>
      </c>
      <c r="AI213">
        <v>1385732</v>
      </c>
      <c r="AJ213">
        <v>2.5499999999999998</v>
      </c>
    </row>
    <row r="214" spans="1:36" s="4" customFormat="1">
      <c r="A214" s="3" t="s">
        <v>248</v>
      </c>
      <c r="B214" s="4" t="s">
        <v>1112</v>
      </c>
      <c r="C214" s="4" t="str">
        <f>HYPERLINK("https://finance.naver.com/item/coinfo.nhn?code=117730", "A117730")</f>
        <v>A117730</v>
      </c>
      <c r="D214" s="4" t="str">
        <f>HYPERLINK("http://comp.fnguide.com/SVO2/ASP/SVD_Consensus.asp?pGB=1&amp;gicode=A117730&amp;cID=&amp;MenuYn=Y&amp;ReportGB=&amp;NewMenuID=108&amp;stkGb=701", "티로보틱스")</f>
        <v>티로보틱스</v>
      </c>
      <c r="E214" s="4">
        <v>3</v>
      </c>
      <c r="F214" s="4">
        <v>6840</v>
      </c>
      <c r="I214" s="4">
        <v>39911</v>
      </c>
      <c r="J214" s="4">
        <v>17499</v>
      </c>
      <c r="K214" s="4">
        <v>11130</v>
      </c>
      <c r="L214" s="4">
        <v>-483.49</v>
      </c>
      <c r="M214" s="4">
        <v>-155.83000000000001</v>
      </c>
      <c r="N214" s="4">
        <v>-62.72</v>
      </c>
      <c r="O214" s="4">
        <v>119.06</v>
      </c>
      <c r="P214" s="4" t="b">
        <v>0</v>
      </c>
      <c r="Q214" s="4">
        <v>1</v>
      </c>
      <c r="R214" s="4">
        <v>-294</v>
      </c>
      <c r="S214" s="4">
        <v>125</v>
      </c>
      <c r="T214" s="4">
        <v>-142.5</v>
      </c>
      <c r="U214" s="4" t="s">
        <v>1976</v>
      </c>
      <c r="V214" s="4" t="s">
        <v>2840</v>
      </c>
      <c r="W214" s="4">
        <v>-52.077381625657956</v>
      </c>
      <c r="X214" s="4">
        <v>0</v>
      </c>
      <c r="Y214" s="4" t="s">
        <v>3684</v>
      </c>
      <c r="Z214" s="4">
        <v>-50.2</v>
      </c>
      <c r="AA214" s="4">
        <v>763</v>
      </c>
      <c r="AB214" s="4">
        <v>214981</v>
      </c>
      <c r="AC214" s="4" t="s">
        <v>4495</v>
      </c>
      <c r="AD214" s="4">
        <v>28.33</v>
      </c>
      <c r="AE214" s="4" t="s">
        <v>5359</v>
      </c>
      <c r="AF214" s="4" t="s">
        <v>6213</v>
      </c>
      <c r="AG214" s="4">
        <v>516</v>
      </c>
      <c r="AH214" s="4">
        <v>-40</v>
      </c>
    </row>
    <row r="215" spans="1:36">
      <c r="A215" s="1" t="s">
        <v>249</v>
      </c>
      <c r="B215" t="s">
        <v>1113</v>
      </c>
      <c r="C215" t="str">
        <f>HYPERLINK("https://finance.naver.com/item/coinfo.nhn?code=033830", "A033830")</f>
        <v>A033830</v>
      </c>
      <c r="D215" t="str">
        <f>HYPERLINK("http://comp.fnguide.com/SVO2/ASP/SVD_Consensus.asp?pGB=1&amp;gicode=A033830&amp;cID=&amp;MenuYn=Y&amp;ReportGB=&amp;NewMenuID=108&amp;stkGb=701", "티비씨")</f>
        <v>티비씨</v>
      </c>
      <c r="E215">
        <v>3</v>
      </c>
      <c r="F215">
        <v>1005</v>
      </c>
      <c r="G215">
        <v>0</v>
      </c>
      <c r="H215">
        <v>21.73</v>
      </c>
      <c r="I215">
        <v>609</v>
      </c>
      <c r="J215">
        <v>947</v>
      </c>
      <c r="K215">
        <v>1043</v>
      </c>
      <c r="L215">
        <v>39.39</v>
      </c>
      <c r="M215">
        <v>5.75</v>
      </c>
      <c r="N215">
        <v>-3.81</v>
      </c>
      <c r="O215">
        <v>4.13</v>
      </c>
      <c r="P215" t="b">
        <v>0</v>
      </c>
      <c r="Q215">
        <v>0</v>
      </c>
      <c r="R215">
        <v>56</v>
      </c>
      <c r="U215" t="s">
        <v>1977</v>
      </c>
      <c r="V215" t="s">
        <v>2841</v>
      </c>
      <c r="W215">
        <v>0</v>
      </c>
      <c r="X215">
        <v>-13.5</v>
      </c>
      <c r="Y215" t="s">
        <v>3685</v>
      </c>
      <c r="Z215">
        <v>5.8121487945368422</v>
      </c>
      <c r="AA215">
        <v>1005</v>
      </c>
      <c r="AB215">
        <v>852364</v>
      </c>
      <c r="AC215" t="s">
        <v>4496</v>
      </c>
      <c r="AD215">
        <v>33.81</v>
      </c>
      <c r="AE215" t="s">
        <v>5360</v>
      </c>
      <c r="AF215" t="s">
        <v>6214</v>
      </c>
      <c r="AG215">
        <v>493</v>
      </c>
      <c r="AH215">
        <v>52</v>
      </c>
      <c r="AI215">
        <v>5464350</v>
      </c>
      <c r="AJ215">
        <v>1.32</v>
      </c>
    </row>
    <row r="216" spans="1:36">
      <c r="A216" s="1" t="s">
        <v>250</v>
      </c>
      <c r="B216" t="s">
        <v>1114</v>
      </c>
      <c r="C216" t="str">
        <f>HYPERLINK("https://finance.naver.com/item/coinfo.nhn?code=062860", "A062860")</f>
        <v>A062860</v>
      </c>
      <c r="D216" t="str">
        <f>HYPERLINK("http://comp.fnguide.com/SVO2/ASP/SVD_Consensus.asp?pGB=1&amp;gicode=A062860&amp;cID=&amp;MenuYn=Y&amp;ReportGB=&amp;NewMenuID=108&amp;stkGb=701", "티엘아이")</f>
        <v>티엘아이</v>
      </c>
      <c r="E216">
        <v>3</v>
      </c>
      <c r="F216">
        <v>7340</v>
      </c>
      <c r="G216">
        <v>0</v>
      </c>
      <c r="H216">
        <v>35.97</v>
      </c>
      <c r="I216">
        <v>1216</v>
      </c>
      <c r="J216">
        <v>6292</v>
      </c>
      <c r="K216">
        <v>7734</v>
      </c>
      <c r="L216">
        <v>83.44</v>
      </c>
      <c r="M216">
        <v>14.28</v>
      </c>
      <c r="N216">
        <v>-5.37</v>
      </c>
      <c r="O216">
        <v>1</v>
      </c>
      <c r="P216" t="b">
        <v>1</v>
      </c>
      <c r="Q216">
        <v>0</v>
      </c>
      <c r="R216">
        <v>139</v>
      </c>
      <c r="U216" t="s">
        <v>1978</v>
      </c>
      <c r="V216" t="s">
        <v>2842</v>
      </c>
      <c r="W216">
        <v>0</v>
      </c>
      <c r="X216">
        <v>0</v>
      </c>
      <c r="Y216" t="s">
        <v>3499</v>
      </c>
      <c r="Z216">
        <v>0</v>
      </c>
      <c r="AA216">
        <v>725</v>
      </c>
      <c r="AB216">
        <v>122952</v>
      </c>
      <c r="AC216" t="s">
        <v>4497</v>
      </c>
      <c r="AD216">
        <v>12.31</v>
      </c>
      <c r="AE216" t="s">
        <v>5361</v>
      </c>
      <c r="AF216" t="s">
        <v>6215</v>
      </c>
      <c r="AG216">
        <v>420</v>
      </c>
      <c r="AH216">
        <v>3</v>
      </c>
      <c r="AI216">
        <v>2485955</v>
      </c>
      <c r="AJ216">
        <v>2</v>
      </c>
    </row>
    <row r="217" spans="1:36">
      <c r="A217" s="1" t="s">
        <v>251</v>
      </c>
      <c r="B217" t="s">
        <v>1115</v>
      </c>
      <c r="C217" t="str">
        <f>HYPERLINK("https://finance.naver.com/item/coinfo.nhn?code=104480", "A104480")</f>
        <v>A104480</v>
      </c>
      <c r="D217" t="str">
        <f>HYPERLINK("http://comp.fnguide.com/SVO2/ASP/SVD_Consensus.asp?pGB=1&amp;gicode=A104480&amp;cID=&amp;MenuYn=Y&amp;ReportGB=&amp;NewMenuID=108&amp;stkGb=701", "티케이케미칼")</f>
        <v>티케이케미칼</v>
      </c>
      <c r="E217">
        <v>3</v>
      </c>
      <c r="F217">
        <v>2345</v>
      </c>
      <c r="G217">
        <v>0</v>
      </c>
      <c r="H217">
        <v>21.21</v>
      </c>
      <c r="I217">
        <v>2703</v>
      </c>
      <c r="J217">
        <v>2973</v>
      </c>
      <c r="K217">
        <v>3049</v>
      </c>
      <c r="L217">
        <v>-15.29</v>
      </c>
      <c r="M217">
        <v>-26.78</v>
      </c>
      <c r="N217">
        <v>-30.04</v>
      </c>
      <c r="O217">
        <v>6.81</v>
      </c>
      <c r="P217" t="b">
        <v>1</v>
      </c>
      <c r="Q217">
        <v>0</v>
      </c>
      <c r="R217">
        <v>104</v>
      </c>
      <c r="U217" t="s">
        <v>1979</v>
      </c>
      <c r="V217" t="s">
        <v>2843</v>
      </c>
      <c r="W217">
        <v>0</v>
      </c>
      <c r="X217">
        <v>0</v>
      </c>
      <c r="Y217" t="s">
        <v>3686</v>
      </c>
      <c r="Z217">
        <v>-6.1362684048725136</v>
      </c>
      <c r="AA217">
        <v>2132</v>
      </c>
      <c r="AB217">
        <v>2245274</v>
      </c>
      <c r="AC217" t="s">
        <v>4498</v>
      </c>
      <c r="AD217">
        <v>47.89</v>
      </c>
      <c r="AE217" t="s">
        <v>5362</v>
      </c>
      <c r="AF217" t="s">
        <v>6216</v>
      </c>
      <c r="AG217">
        <v>6208</v>
      </c>
      <c r="AH217">
        <v>96</v>
      </c>
      <c r="AI217">
        <v>4675998</v>
      </c>
    </row>
    <row r="218" spans="1:36">
      <c r="A218" s="1" t="s">
        <v>252</v>
      </c>
      <c r="B218" t="s">
        <v>1116</v>
      </c>
      <c r="C218" t="str">
        <f>HYPERLINK("https://finance.naver.com/item/coinfo.nhn?code=081150", "A081150")</f>
        <v>A081150</v>
      </c>
      <c r="D218" t="str">
        <f>HYPERLINK("http://comp.fnguide.com/SVO2/ASP/SVD_Consensus.asp?pGB=1&amp;gicode=A081150&amp;cID=&amp;MenuYn=Y&amp;ReportGB=&amp;NewMenuID=108&amp;stkGb=701", "티플랙스")</f>
        <v>티플랙스</v>
      </c>
      <c r="E218">
        <v>3</v>
      </c>
      <c r="F218">
        <v>3050</v>
      </c>
      <c r="G218">
        <v>0</v>
      </c>
      <c r="H218">
        <v>25.7</v>
      </c>
      <c r="I218">
        <v>1358</v>
      </c>
      <c r="J218">
        <v>2971</v>
      </c>
      <c r="K218">
        <v>3429</v>
      </c>
      <c r="L218">
        <v>55.48</v>
      </c>
      <c r="M218">
        <v>2.6</v>
      </c>
      <c r="N218">
        <v>-12.42</v>
      </c>
      <c r="O218">
        <v>2.67</v>
      </c>
      <c r="P218" t="b">
        <v>1</v>
      </c>
      <c r="Q218">
        <v>0</v>
      </c>
      <c r="R218">
        <v>91</v>
      </c>
      <c r="U218" t="s">
        <v>1980</v>
      </c>
      <c r="V218" t="s">
        <v>2844</v>
      </c>
      <c r="W218">
        <v>0</v>
      </c>
      <c r="X218">
        <v>55.4</v>
      </c>
      <c r="Y218" t="s">
        <v>3687</v>
      </c>
      <c r="Z218">
        <v>25.04087971952795</v>
      </c>
      <c r="AA218">
        <v>740</v>
      </c>
      <c r="AB218">
        <v>162375</v>
      </c>
      <c r="AC218" t="s">
        <v>4499</v>
      </c>
      <c r="AD218">
        <v>25.62</v>
      </c>
      <c r="AE218" t="s">
        <v>5363</v>
      </c>
      <c r="AF218" t="s">
        <v>6217</v>
      </c>
      <c r="AG218">
        <v>1312</v>
      </c>
      <c r="AH218">
        <v>39</v>
      </c>
      <c r="AJ218">
        <v>0.85</v>
      </c>
    </row>
    <row r="219" spans="1:36">
      <c r="A219" s="1" t="s">
        <v>253</v>
      </c>
      <c r="B219" t="s">
        <v>1117</v>
      </c>
      <c r="C219" t="str">
        <f>HYPERLINK("https://finance.naver.com/item/coinfo.nhn?code=130740", "A130740")</f>
        <v>A130740</v>
      </c>
      <c r="D219" t="str">
        <f>HYPERLINK("http://comp.fnguide.com/SVO2/ASP/SVD_Consensus.asp?pGB=1&amp;gicode=A130740&amp;cID=&amp;MenuYn=Y&amp;ReportGB=&amp;NewMenuID=108&amp;stkGb=701", "티피씨글로벌")</f>
        <v>티피씨글로벌</v>
      </c>
      <c r="E219">
        <v>3</v>
      </c>
      <c r="F219">
        <v>3000</v>
      </c>
      <c r="G219">
        <v>0</v>
      </c>
      <c r="I219">
        <v>1412</v>
      </c>
      <c r="J219">
        <v>3919</v>
      </c>
      <c r="K219">
        <v>4631</v>
      </c>
      <c r="L219">
        <v>52.93</v>
      </c>
      <c r="M219">
        <v>-30.64</v>
      </c>
      <c r="N219">
        <v>-54.38</v>
      </c>
      <c r="O219">
        <v>2.0099999999999998</v>
      </c>
      <c r="P219" t="b">
        <v>0</v>
      </c>
      <c r="Q219">
        <v>0</v>
      </c>
      <c r="R219">
        <v>-217</v>
      </c>
      <c r="U219" t="s">
        <v>1981</v>
      </c>
      <c r="V219" t="s">
        <v>2845</v>
      </c>
      <c r="W219">
        <v>0</v>
      </c>
      <c r="X219">
        <v>0</v>
      </c>
      <c r="Y219" t="s">
        <v>3688</v>
      </c>
      <c r="Z219">
        <v>-12.70470203820638</v>
      </c>
      <c r="AA219">
        <v>324</v>
      </c>
      <c r="AB219">
        <v>289243</v>
      </c>
      <c r="AC219" t="s">
        <v>4500</v>
      </c>
      <c r="AD219">
        <v>44.88</v>
      </c>
      <c r="AE219" t="s">
        <v>5364</v>
      </c>
      <c r="AF219" t="s">
        <v>6218</v>
      </c>
      <c r="AG219">
        <v>847</v>
      </c>
      <c r="AH219">
        <v>5</v>
      </c>
      <c r="AI219">
        <v>416865</v>
      </c>
      <c r="AJ219">
        <v>0.81</v>
      </c>
    </row>
    <row r="220" spans="1:36">
      <c r="A220" s="1" t="s">
        <v>254</v>
      </c>
      <c r="B220" t="s">
        <v>1118</v>
      </c>
      <c r="C220" t="str">
        <f>HYPERLINK("https://finance.naver.com/item/coinfo.nhn?code=084730", "A084730")</f>
        <v>A084730</v>
      </c>
      <c r="D220" t="str">
        <f>HYPERLINK("http://comp.fnguide.com/SVO2/ASP/SVD_Consensus.asp?pGB=1&amp;gicode=A084730&amp;cID=&amp;MenuYn=Y&amp;ReportGB=&amp;NewMenuID=108&amp;stkGb=701", "팅크웨어")</f>
        <v>팅크웨어</v>
      </c>
      <c r="E220">
        <v>3</v>
      </c>
      <c r="F220">
        <v>11700</v>
      </c>
      <c r="G220">
        <v>0</v>
      </c>
      <c r="H220">
        <v>18.36</v>
      </c>
      <c r="I220">
        <v>4546</v>
      </c>
      <c r="J220">
        <v>11300</v>
      </c>
      <c r="K220">
        <v>13220</v>
      </c>
      <c r="L220">
        <v>61.15</v>
      </c>
      <c r="M220">
        <v>3.42</v>
      </c>
      <c r="N220">
        <v>-12.99</v>
      </c>
      <c r="O220">
        <v>2.29</v>
      </c>
      <c r="P220" t="b">
        <v>1</v>
      </c>
      <c r="Q220">
        <v>0</v>
      </c>
      <c r="R220">
        <v>389</v>
      </c>
      <c r="U220" t="s">
        <v>1982</v>
      </c>
      <c r="V220" t="s">
        <v>2846</v>
      </c>
      <c r="W220">
        <v>0</v>
      </c>
      <c r="X220">
        <v>69.099999999999994</v>
      </c>
      <c r="Y220" t="s">
        <v>3689</v>
      </c>
      <c r="Z220">
        <v>47.128380248283918</v>
      </c>
      <c r="AA220">
        <v>1220</v>
      </c>
      <c r="AB220">
        <v>595760</v>
      </c>
      <c r="AC220" t="s">
        <v>4501</v>
      </c>
      <c r="AD220">
        <v>32.93</v>
      </c>
      <c r="AE220" t="s">
        <v>5365</v>
      </c>
      <c r="AF220" t="s">
        <v>6219</v>
      </c>
      <c r="AG220">
        <v>1822</v>
      </c>
      <c r="AH220">
        <v>78</v>
      </c>
      <c r="AI220">
        <v>997646</v>
      </c>
    </row>
    <row r="221" spans="1:36">
      <c r="A221" s="1" t="s">
        <v>255</v>
      </c>
      <c r="B221" t="s">
        <v>1119</v>
      </c>
      <c r="C221" t="str">
        <f>HYPERLINK("https://finance.naver.com/item/coinfo.nhn?code=049430", "A049430")</f>
        <v>A049430</v>
      </c>
      <c r="D221" t="str">
        <f>HYPERLINK("http://comp.fnguide.com/SVO2/ASP/SVD_Consensus.asp?pGB=1&amp;gicode=A049430&amp;cID=&amp;MenuYn=Y&amp;ReportGB=&amp;NewMenuID=108&amp;stkGb=701", "코메론")</f>
        <v>코메론</v>
      </c>
      <c r="E221">
        <v>3</v>
      </c>
      <c r="F221">
        <v>8990</v>
      </c>
      <c r="G221">
        <v>0</v>
      </c>
      <c r="H221">
        <v>5.41</v>
      </c>
      <c r="I221">
        <v>21313</v>
      </c>
      <c r="J221">
        <v>18694</v>
      </c>
      <c r="K221">
        <v>17949</v>
      </c>
      <c r="L221">
        <v>-137.08000000000001</v>
      </c>
      <c r="M221">
        <v>-107.94</v>
      </c>
      <c r="N221">
        <v>-99.66</v>
      </c>
      <c r="O221">
        <v>9.98</v>
      </c>
      <c r="P221" t="b">
        <v>1</v>
      </c>
      <c r="Q221">
        <v>0</v>
      </c>
      <c r="R221">
        <v>1581</v>
      </c>
      <c r="U221" t="s">
        <v>1983</v>
      </c>
      <c r="V221" t="s">
        <v>2847</v>
      </c>
      <c r="W221">
        <v>0</v>
      </c>
      <c r="X221">
        <v>-23.1</v>
      </c>
      <c r="Y221" t="s">
        <v>3690</v>
      </c>
      <c r="Z221">
        <v>-2.0897040258445299</v>
      </c>
      <c r="AA221">
        <v>813</v>
      </c>
      <c r="AB221">
        <v>17032</v>
      </c>
      <c r="AC221" t="s">
        <v>4502</v>
      </c>
      <c r="AD221">
        <v>38.729999999999997</v>
      </c>
      <c r="AE221" t="s">
        <v>5366</v>
      </c>
      <c r="AF221" t="s">
        <v>6220</v>
      </c>
      <c r="AG221">
        <v>666</v>
      </c>
      <c r="AH221">
        <v>139</v>
      </c>
      <c r="AI221">
        <v>763630</v>
      </c>
      <c r="AJ221">
        <v>2.34</v>
      </c>
    </row>
    <row r="222" spans="1:36">
      <c r="A222" s="1" t="s">
        <v>256</v>
      </c>
      <c r="B222" t="s">
        <v>1120</v>
      </c>
      <c r="C222" t="str">
        <f>HYPERLINK("https://finance.naver.com/item/coinfo.nhn?code=123410", "A123410")</f>
        <v>A123410</v>
      </c>
      <c r="D222" t="str">
        <f>HYPERLINK("http://comp.fnguide.com/SVO2/ASP/SVD_Consensus.asp?pGB=1&amp;gicode=A123410&amp;cID=&amp;MenuYn=Y&amp;ReportGB=&amp;NewMenuID=108&amp;stkGb=701", "코리아에프티")</f>
        <v>코리아에프티</v>
      </c>
      <c r="E222">
        <v>3</v>
      </c>
      <c r="F222">
        <v>2895</v>
      </c>
      <c r="G222">
        <v>0</v>
      </c>
      <c r="H222">
        <v>14.29</v>
      </c>
      <c r="I222">
        <v>2101</v>
      </c>
      <c r="J222">
        <v>3419</v>
      </c>
      <c r="K222">
        <v>3794</v>
      </c>
      <c r="L222">
        <v>27.42</v>
      </c>
      <c r="M222">
        <v>-18.11</v>
      </c>
      <c r="N222">
        <v>-31.06</v>
      </c>
      <c r="O222">
        <v>3.89</v>
      </c>
      <c r="P222" t="b">
        <v>1</v>
      </c>
      <c r="Q222">
        <v>0</v>
      </c>
      <c r="R222">
        <v>206</v>
      </c>
      <c r="U222" t="s">
        <v>1984</v>
      </c>
      <c r="V222" t="s">
        <v>2848</v>
      </c>
      <c r="W222">
        <v>0</v>
      </c>
      <c r="X222">
        <v>0</v>
      </c>
      <c r="Y222" t="s">
        <v>3691</v>
      </c>
      <c r="Z222">
        <v>-20.193693217840149</v>
      </c>
      <c r="AA222">
        <v>806</v>
      </c>
      <c r="AB222">
        <v>931355</v>
      </c>
      <c r="AC222" t="s">
        <v>4503</v>
      </c>
      <c r="AD222">
        <v>39.520000000000003</v>
      </c>
      <c r="AE222" t="s">
        <v>5367</v>
      </c>
      <c r="AF222" t="s">
        <v>6221</v>
      </c>
      <c r="AG222">
        <v>4387</v>
      </c>
      <c r="AH222">
        <v>82</v>
      </c>
      <c r="AI222">
        <v>5</v>
      </c>
      <c r="AJ222">
        <v>2.04</v>
      </c>
    </row>
    <row r="223" spans="1:36">
      <c r="A223" s="1" t="s">
        <v>257</v>
      </c>
      <c r="B223" t="s">
        <v>1121</v>
      </c>
      <c r="C223" t="str">
        <f>HYPERLINK("https://finance.naver.com/item/coinfo.nhn?code=101670", "A101670")</f>
        <v>A101670</v>
      </c>
      <c r="D223" t="str">
        <f>HYPERLINK("http://comp.fnguide.com/SVO2/ASP/SVD_Consensus.asp?pGB=1&amp;gicode=A101670&amp;cID=&amp;MenuYn=Y&amp;ReportGB=&amp;NewMenuID=108&amp;stkGb=701", "코리아에스이")</f>
        <v>코리아에스이</v>
      </c>
      <c r="E223">
        <v>3</v>
      </c>
      <c r="F223">
        <v>1215</v>
      </c>
      <c r="G223">
        <v>0</v>
      </c>
      <c r="I223">
        <v>452</v>
      </c>
      <c r="J223">
        <v>1240</v>
      </c>
      <c r="K223">
        <v>1463</v>
      </c>
      <c r="L223">
        <v>62.79</v>
      </c>
      <c r="M223">
        <v>-2.02</v>
      </c>
      <c r="N223">
        <v>-20.440000000000001</v>
      </c>
      <c r="O223">
        <v>2.04</v>
      </c>
      <c r="P223" t="b">
        <v>0</v>
      </c>
      <c r="Q223">
        <v>0</v>
      </c>
      <c r="R223">
        <v>-35</v>
      </c>
      <c r="U223" t="s">
        <v>1985</v>
      </c>
      <c r="V223" t="s">
        <v>2849</v>
      </c>
      <c r="W223">
        <v>0</v>
      </c>
      <c r="X223">
        <v>0</v>
      </c>
      <c r="Y223" t="s">
        <v>3692</v>
      </c>
      <c r="Z223">
        <v>99.274458975554609</v>
      </c>
      <c r="AA223">
        <v>230</v>
      </c>
      <c r="AB223">
        <v>108412</v>
      </c>
      <c r="AC223" t="s">
        <v>4504</v>
      </c>
      <c r="AD223">
        <v>22.07</v>
      </c>
      <c r="AE223" t="s">
        <v>5368</v>
      </c>
      <c r="AF223" t="s">
        <v>6222</v>
      </c>
      <c r="AG223">
        <v>133</v>
      </c>
      <c r="AH223">
        <v>-26</v>
      </c>
      <c r="AI223">
        <v>1750000</v>
      </c>
    </row>
    <row r="224" spans="1:36">
      <c r="A224" s="1" t="s">
        <v>258</v>
      </c>
      <c r="B224" t="s">
        <v>1122</v>
      </c>
      <c r="C224" t="str">
        <f>HYPERLINK("https://finance.naver.com/item/coinfo.nhn?code=114570", "A114570")</f>
        <v>A114570</v>
      </c>
      <c r="D224" t="str">
        <f>HYPERLINK("http://comp.fnguide.com/SVO2/ASP/SVD_Consensus.asp?pGB=1&amp;gicode=A114570&amp;cID=&amp;MenuYn=Y&amp;ReportGB=&amp;NewMenuID=108&amp;stkGb=701", "지스마트글로벌")</f>
        <v>지스마트글로벌</v>
      </c>
      <c r="E224">
        <v>3</v>
      </c>
      <c r="F224">
        <v>620</v>
      </c>
      <c r="G224">
        <v>0</v>
      </c>
      <c r="I224">
        <v>1235</v>
      </c>
      <c r="J224">
        <v>3007</v>
      </c>
      <c r="K224">
        <v>3510</v>
      </c>
      <c r="L224">
        <v>-99.12</v>
      </c>
      <c r="M224">
        <v>-384.97</v>
      </c>
      <c r="N224">
        <v>-466.2</v>
      </c>
      <c r="O224">
        <v>2.35</v>
      </c>
      <c r="P224" t="b">
        <v>0</v>
      </c>
      <c r="Q224">
        <v>0</v>
      </c>
      <c r="R224">
        <v>-8212</v>
      </c>
      <c r="U224" t="s">
        <v>1986</v>
      </c>
      <c r="V224" t="s">
        <v>2850</v>
      </c>
      <c r="W224">
        <v>0</v>
      </c>
      <c r="X224">
        <v>0</v>
      </c>
      <c r="Y224" t="s">
        <v>3693</v>
      </c>
      <c r="Z224">
        <v>7.5853149830403144</v>
      </c>
      <c r="AA224">
        <v>70</v>
      </c>
      <c r="AB224">
        <v>0</v>
      </c>
      <c r="AC224" t="s">
        <v>4505</v>
      </c>
      <c r="AD224">
        <v>5.93</v>
      </c>
      <c r="AE224" t="s">
        <v>5369</v>
      </c>
      <c r="AF224" t="s">
        <v>6223</v>
      </c>
      <c r="AG224">
        <v>124</v>
      </c>
      <c r="AH224">
        <v>-636</v>
      </c>
    </row>
    <row r="225" spans="1:36">
      <c r="A225" s="1" t="s">
        <v>259</v>
      </c>
      <c r="B225" t="s">
        <v>1123</v>
      </c>
      <c r="C225" t="str">
        <f>HYPERLINK("https://finance.naver.com/item/coinfo.nhn?code=019540", "A019540")</f>
        <v>A019540</v>
      </c>
      <c r="D225" t="str">
        <f>HYPERLINK("http://comp.fnguide.com/SVO2/ASP/SVD_Consensus.asp?pGB=1&amp;gicode=A019540&amp;cID=&amp;MenuYn=Y&amp;ReportGB=&amp;NewMenuID=108&amp;stkGb=701", "일지테크")</f>
        <v>일지테크</v>
      </c>
      <c r="E225">
        <v>3</v>
      </c>
      <c r="F225">
        <v>3955</v>
      </c>
      <c r="G225">
        <v>0</v>
      </c>
      <c r="I225">
        <v>1225</v>
      </c>
      <c r="J225">
        <v>5906</v>
      </c>
      <c r="K225">
        <v>7236</v>
      </c>
      <c r="L225">
        <v>69.03</v>
      </c>
      <c r="M225">
        <v>-49.32</v>
      </c>
      <c r="N225">
        <v>-82.96</v>
      </c>
      <c r="O225">
        <v>1.08</v>
      </c>
      <c r="P225" t="b">
        <v>0</v>
      </c>
      <c r="Q225">
        <v>0</v>
      </c>
      <c r="R225">
        <v>-317</v>
      </c>
      <c r="U225" t="s">
        <v>1987</v>
      </c>
      <c r="V225" t="s">
        <v>2851</v>
      </c>
      <c r="W225">
        <v>0</v>
      </c>
      <c r="X225">
        <v>0</v>
      </c>
      <c r="Y225" t="s">
        <v>3694</v>
      </c>
      <c r="Z225">
        <v>-2.4696457506689811</v>
      </c>
      <c r="AA225">
        <v>534</v>
      </c>
      <c r="AB225">
        <v>6374223</v>
      </c>
      <c r="AC225" t="s">
        <v>4506</v>
      </c>
      <c r="AD225">
        <v>46.41</v>
      </c>
      <c r="AE225" t="s">
        <v>5370</v>
      </c>
      <c r="AF225" t="s">
        <v>6224</v>
      </c>
      <c r="AG225">
        <v>1911</v>
      </c>
      <c r="AH225">
        <v>-146</v>
      </c>
      <c r="AI225">
        <v>298034</v>
      </c>
    </row>
    <row r="226" spans="1:36">
      <c r="A226" s="1" t="s">
        <v>260</v>
      </c>
      <c r="B226" t="s">
        <v>1124</v>
      </c>
      <c r="C226" t="str">
        <f>HYPERLINK("https://finance.naver.com/item/coinfo.nhn?code=094820", "A094820")</f>
        <v>A094820</v>
      </c>
      <c r="D226" t="str">
        <f>HYPERLINK("http://comp.fnguide.com/SVO2/ASP/SVD_Consensus.asp?pGB=1&amp;gicode=A094820&amp;cID=&amp;MenuYn=Y&amp;ReportGB=&amp;NewMenuID=108&amp;stkGb=701", "일진파워")</f>
        <v>일진파워</v>
      </c>
      <c r="E226">
        <v>3</v>
      </c>
      <c r="F226">
        <v>5770</v>
      </c>
      <c r="G226">
        <v>0</v>
      </c>
      <c r="H226">
        <v>6.94</v>
      </c>
      <c r="I226">
        <v>13192</v>
      </c>
      <c r="J226">
        <v>9179</v>
      </c>
      <c r="K226">
        <v>8039</v>
      </c>
      <c r="L226">
        <v>-128.62</v>
      </c>
      <c r="M226">
        <v>-59.09</v>
      </c>
      <c r="N226">
        <v>-39.33</v>
      </c>
      <c r="O226">
        <v>16.059999999999999</v>
      </c>
      <c r="P226" t="b">
        <v>1</v>
      </c>
      <c r="Q226">
        <v>0</v>
      </c>
      <c r="R226">
        <v>781</v>
      </c>
      <c r="U226" t="s">
        <v>1988</v>
      </c>
      <c r="V226" t="s">
        <v>2852</v>
      </c>
      <c r="W226">
        <v>0</v>
      </c>
      <c r="X226">
        <v>19</v>
      </c>
      <c r="Y226" t="s">
        <v>3695</v>
      </c>
      <c r="Z226">
        <v>36.771051027315771</v>
      </c>
      <c r="AA226">
        <v>870</v>
      </c>
      <c r="AB226">
        <v>123766</v>
      </c>
      <c r="AC226" t="s">
        <v>4507</v>
      </c>
      <c r="AD226">
        <v>38.44</v>
      </c>
      <c r="AE226" t="s">
        <v>5371</v>
      </c>
      <c r="AF226" t="s">
        <v>6225</v>
      </c>
      <c r="AG226">
        <v>1828</v>
      </c>
      <c r="AH226">
        <v>144</v>
      </c>
      <c r="AI226">
        <v>361965</v>
      </c>
      <c r="AJ226">
        <v>5.54</v>
      </c>
    </row>
    <row r="227" spans="1:36">
      <c r="A227" s="1" t="s">
        <v>261</v>
      </c>
      <c r="B227" t="s">
        <v>1125</v>
      </c>
      <c r="C227" t="str">
        <f>HYPERLINK("https://finance.naver.com/item/coinfo.nhn?code=022220", "A022220")</f>
        <v>A022220</v>
      </c>
      <c r="D227" t="str">
        <f>HYPERLINK("http://comp.fnguide.com/SVO2/ASP/SVD_Consensus.asp?pGB=1&amp;gicode=A022220&amp;cID=&amp;MenuYn=Y&amp;ReportGB=&amp;NewMenuID=108&amp;stkGb=701", "정산애강")</f>
        <v>정산애강</v>
      </c>
      <c r="E227">
        <v>3</v>
      </c>
      <c r="F227">
        <v>1815</v>
      </c>
      <c r="G227">
        <v>0</v>
      </c>
      <c r="H227">
        <v>9.4600000000000009</v>
      </c>
      <c r="I227">
        <v>2789</v>
      </c>
      <c r="J227">
        <v>2075</v>
      </c>
      <c r="K227">
        <v>1872</v>
      </c>
      <c r="L227">
        <v>-53.64</v>
      </c>
      <c r="M227">
        <v>-14.32</v>
      </c>
      <c r="N227">
        <v>-3.15</v>
      </c>
      <c r="O227">
        <v>13.82</v>
      </c>
      <c r="P227" t="b">
        <v>1</v>
      </c>
      <c r="Q227">
        <v>0</v>
      </c>
      <c r="R227">
        <v>222</v>
      </c>
      <c r="U227" t="s">
        <v>1989</v>
      </c>
      <c r="V227" t="s">
        <v>2853</v>
      </c>
      <c r="W227">
        <v>0</v>
      </c>
      <c r="X227">
        <v>-71</v>
      </c>
      <c r="Y227" t="s">
        <v>3696</v>
      </c>
      <c r="Z227">
        <v>-12.035110730846389</v>
      </c>
      <c r="AA227">
        <v>940</v>
      </c>
      <c r="AB227">
        <v>83631</v>
      </c>
      <c r="AC227" t="s">
        <v>4508</v>
      </c>
      <c r="AD227">
        <v>47.53</v>
      </c>
      <c r="AE227" t="s">
        <v>5372</v>
      </c>
      <c r="AF227" t="s">
        <v>6226</v>
      </c>
      <c r="AG227">
        <v>714</v>
      </c>
      <c r="AH227">
        <v>102</v>
      </c>
    </row>
    <row r="228" spans="1:36">
      <c r="A228" s="1" t="s">
        <v>262</v>
      </c>
      <c r="B228" t="s">
        <v>1126</v>
      </c>
      <c r="C228" t="str">
        <f>HYPERLINK("https://finance.naver.com/item/coinfo.nhn?code=090470", "A090470")</f>
        <v>A090470</v>
      </c>
      <c r="D228" t="str">
        <f>HYPERLINK("http://comp.fnguide.com/SVO2/ASP/SVD_Consensus.asp?pGB=1&amp;gicode=A090470&amp;cID=&amp;MenuYn=Y&amp;ReportGB=&amp;NewMenuID=108&amp;stkGb=701", "제이스텍")</f>
        <v>제이스텍</v>
      </c>
      <c r="E228">
        <v>3</v>
      </c>
      <c r="F228">
        <v>7880</v>
      </c>
      <c r="G228">
        <v>0</v>
      </c>
      <c r="H228">
        <v>129.11000000000001</v>
      </c>
      <c r="I228">
        <v>18112</v>
      </c>
      <c r="J228">
        <v>12619</v>
      </c>
      <c r="K228">
        <v>11059</v>
      </c>
      <c r="L228">
        <v>-129.84</v>
      </c>
      <c r="M228">
        <v>-60.14</v>
      </c>
      <c r="N228">
        <v>-40.340000000000003</v>
      </c>
      <c r="O228">
        <v>16.010000000000002</v>
      </c>
      <c r="P228" t="b">
        <v>0</v>
      </c>
      <c r="Q228">
        <v>0</v>
      </c>
      <c r="R228">
        <v>107</v>
      </c>
      <c r="U228" t="s">
        <v>1990</v>
      </c>
      <c r="V228" t="s">
        <v>2854</v>
      </c>
      <c r="W228">
        <v>0</v>
      </c>
      <c r="X228">
        <v>0</v>
      </c>
      <c r="Y228" t="s">
        <v>3697</v>
      </c>
      <c r="Z228">
        <v>-23.7505459312436</v>
      </c>
      <c r="AA228">
        <v>1150</v>
      </c>
      <c r="AB228">
        <v>27007</v>
      </c>
      <c r="AC228" t="s">
        <v>4509</v>
      </c>
      <c r="AD228">
        <v>44.24</v>
      </c>
      <c r="AE228" t="s">
        <v>5373</v>
      </c>
      <c r="AF228" t="s">
        <v>6227</v>
      </c>
      <c r="AG228">
        <v>1269</v>
      </c>
      <c r="AH228">
        <v>4</v>
      </c>
      <c r="AI228">
        <v>126393</v>
      </c>
      <c r="AJ228">
        <v>0.36</v>
      </c>
    </row>
    <row r="229" spans="1:36">
      <c r="A229" s="1" t="s">
        <v>263</v>
      </c>
      <c r="B229" t="s">
        <v>1127</v>
      </c>
      <c r="C229" t="str">
        <f>HYPERLINK("https://finance.naver.com/item/coinfo.nhn?code=026040", "A026040")</f>
        <v>A026040</v>
      </c>
      <c r="D229" t="str">
        <f>HYPERLINK("http://comp.fnguide.com/SVO2/ASP/SVD_Consensus.asp?pGB=1&amp;gicode=A026040&amp;cID=&amp;MenuYn=Y&amp;ReportGB=&amp;NewMenuID=108&amp;stkGb=701", "제이에스티나")</f>
        <v>제이에스티나</v>
      </c>
      <c r="E229">
        <v>3</v>
      </c>
      <c r="F229">
        <v>2045</v>
      </c>
      <c r="G229">
        <v>0</v>
      </c>
      <c r="I229">
        <v>41</v>
      </c>
      <c r="J229">
        <v>1738</v>
      </c>
      <c r="K229">
        <v>2220</v>
      </c>
      <c r="L229">
        <v>98</v>
      </c>
      <c r="M229">
        <v>15.02</v>
      </c>
      <c r="N229">
        <v>-8.57</v>
      </c>
      <c r="O229">
        <v>0.11</v>
      </c>
      <c r="P229" t="b">
        <v>0</v>
      </c>
      <c r="Q229">
        <v>0</v>
      </c>
      <c r="R229">
        <v>-2026</v>
      </c>
      <c r="U229" t="s">
        <v>1991</v>
      </c>
      <c r="V229" t="s">
        <v>2855</v>
      </c>
      <c r="W229">
        <v>0</v>
      </c>
      <c r="X229">
        <v>0</v>
      </c>
      <c r="Y229" t="s">
        <v>3698</v>
      </c>
      <c r="Z229">
        <v>6.2999999999999936</v>
      </c>
      <c r="AA229">
        <v>338</v>
      </c>
      <c r="AB229">
        <v>23440</v>
      </c>
      <c r="AC229" t="s">
        <v>4510</v>
      </c>
      <c r="AD229">
        <v>24.21</v>
      </c>
      <c r="AE229" t="s">
        <v>5374</v>
      </c>
      <c r="AF229" t="s">
        <v>6228</v>
      </c>
      <c r="AG229">
        <v>961</v>
      </c>
      <c r="AH229">
        <v>-285</v>
      </c>
      <c r="AI229">
        <v>672391</v>
      </c>
    </row>
    <row r="230" spans="1:36">
      <c r="A230" s="1" t="s">
        <v>264</v>
      </c>
      <c r="B230" t="s">
        <v>1128</v>
      </c>
      <c r="C230" t="str">
        <f>HYPERLINK("https://finance.naver.com/item/coinfo.nhn?code=094970", "A094970")</f>
        <v>A094970</v>
      </c>
      <c r="D230" t="str">
        <f>HYPERLINK("http://comp.fnguide.com/SVO2/ASP/SVD_Consensus.asp?pGB=1&amp;gicode=A094970&amp;cID=&amp;MenuYn=Y&amp;ReportGB=&amp;NewMenuID=108&amp;stkGb=701", "제이엠티")</f>
        <v>제이엠티</v>
      </c>
      <c r="E230">
        <v>3</v>
      </c>
      <c r="F230">
        <v>2765</v>
      </c>
      <c r="G230">
        <v>0</v>
      </c>
      <c r="H230">
        <v>67.05</v>
      </c>
      <c r="I230">
        <v>4720</v>
      </c>
      <c r="J230">
        <v>3871</v>
      </c>
      <c r="K230">
        <v>3630</v>
      </c>
      <c r="L230">
        <v>-70.69</v>
      </c>
      <c r="M230">
        <v>-40</v>
      </c>
      <c r="N230">
        <v>-31.27</v>
      </c>
      <c r="O230">
        <v>11.33</v>
      </c>
      <c r="P230" t="b">
        <v>0</v>
      </c>
      <c r="Q230">
        <v>0</v>
      </c>
      <c r="R230">
        <v>57</v>
      </c>
      <c r="U230" t="s">
        <v>1992</v>
      </c>
      <c r="V230" t="s">
        <v>2856</v>
      </c>
      <c r="W230">
        <v>0</v>
      </c>
      <c r="X230">
        <v>-30.3</v>
      </c>
      <c r="Y230" t="s">
        <v>3699</v>
      </c>
      <c r="Z230">
        <v>-2.0264594347908389</v>
      </c>
      <c r="AA230">
        <v>463</v>
      </c>
      <c r="AB230">
        <v>70803</v>
      </c>
      <c r="AC230" t="s">
        <v>4511</v>
      </c>
      <c r="AD230">
        <v>43.98</v>
      </c>
      <c r="AE230" t="s">
        <v>5375</v>
      </c>
      <c r="AF230" t="s">
        <v>6229</v>
      </c>
      <c r="AG230">
        <v>833</v>
      </c>
      <c r="AH230">
        <v>20</v>
      </c>
      <c r="AI230">
        <v>36106</v>
      </c>
      <c r="AJ230">
        <v>1.31</v>
      </c>
    </row>
    <row r="231" spans="1:36">
      <c r="A231" s="1" t="s">
        <v>265</v>
      </c>
      <c r="B231" t="s">
        <v>1129</v>
      </c>
      <c r="C231" t="str">
        <f>HYPERLINK("https://finance.naver.com/item/coinfo.nhn?code=038010", "A038010")</f>
        <v>A038010</v>
      </c>
      <c r="D231" t="str">
        <f>HYPERLINK("http://comp.fnguide.com/SVO2/ASP/SVD_Consensus.asp?pGB=1&amp;gicode=A038010&amp;cID=&amp;MenuYn=Y&amp;ReportGB=&amp;NewMenuID=108&amp;stkGb=701", "제일테크노스")</f>
        <v>제일테크노스</v>
      </c>
      <c r="E231">
        <v>3</v>
      </c>
      <c r="F231">
        <v>6930</v>
      </c>
      <c r="G231">
        <v>0</v>
      </c>
      <c r="H231">
        <v>9.09</v>
      </c>
      <c r="I231">
        <v>7032</v>
      </c>
      <c r="J231">
        <v>8307</v>
      </c>
      <c r="K231">
        <v>8669</v>
      </c>
      <c r="L231">
        <v>-1.48</v>
      </c>
      <c r="M231">
        <v>-19.87</v>
      </c>
      <c r="N231">
        <v>-25.1</v>
      </c>
      <c r="O231">
        <v>6.1</v>
      </c>
      <c r="P231" t="b">
        <v>1</v>
      </c>
      <c r="Q231">
        <v>0</v>
      </c>
      <c r="R231">
        <v>466</v>
      </c>
      <c r="U231" t="s">
        <v>1993</v>
      </c>
      <c r="V231" t="s">
        <v>2857</v>
      </c>
      <c r="W231">
        <v>0</v>
      </c>
      <c r="X231">
        <v>0</v>
      </c>
      <c r="Y231" t="s">
        <v>3700</v>
      </c>
      <c r="Z231">
        <v>-2.5848950294811268</v>
      </c>
      <c r="AA231">
        <v>624</v>
      </c>
      <c r="AB231">
        <v>885996</v>
      </c>
      <c r="AC231" t="s">
        <v>4512</v>
      </c>
      <c r="AD231">
        <v>44.65</v>
      </c>
      <c r="AE231" t="s">
        <v>5376</v>
      </c>
      <c r="AF231" t="s">
        <v>6230</v>
      </c>
      <c r="AG231">
        <v>1670</v>
      </c>
      <c r="AH231">
        <v>49</v>
      </c>
      <c r="AI231">
        <v>684000</v>
      </c>
      <c r="AJ231">
        <v>2.13</v>
      </c>
    </row>
    <row r="232" spans="1:36">
      <c r="A232" s="1" t="s">
        <v>266</v>
      </c>
      <c r="B232" t="s">
        <v>1130</v>
      </c>
      <c r="C232" t="str">
        <f>HYPERLINK("https://finance.naver.com/item/coinfo.nhn?code=064800", "A064800")</f>
        <v>A064800</v>
      </c>
      <c r="D232" t="str">
        <f>HYPERLINK("http://comp.fnguide.com/SVO2/ASP/SVD_Consensus.asp?pGB=1&amp;gicode=A064800&amp;cID=&amp;MenuYn=Y&amp;ReportGB=&amp;NewMenuID=108&amp;stkGb=701", "젬백스링크")</f>
        <v>젬백스링크</v>
      </c>
      <c r="E232">
        <v>3</v>
      </c>
      <c r="F232">
        <v>1320</v>
      </c>
      <c r="G232">
        <v>0</v>
      </c>
      <c r="H232">
        <v>32.56</v>
      </c>
      <c r="I232">
        <v>293</v>
      </c>
      <c r="J232">
        <v>1132</v>
      </c>
      <c r="K232">
        <v>1371</v>
      </c>
      <c r="L232">
        <v>77.78</v>
      </c>
      <c r="M232">
        <v>14.22</v>
      </c>
      <c r="N232">
        <v>-3.84</v>
      </c>
      <c r="O232">
        <v>1.38</v>
      </c>
      <c r="P232" t="b">
        <v>1</v>
      </c>
      <c r="Q232">
        <v>0</v>
      </c>
      <c r="R232">
        <v>47</v>
      </c>
      <c r="U232" t="s">
        <v>1994</v>
      </c>
      <c r="V232" t="s">
        <v>2858</v>
      </c>
      <c r="W232">
        <v>0</v>
      </c>
      <c r="X232">
        <v>330.6</v>
      </c>
      <c r="Y232" t="s">
        <v>3701</v>
      </c>
      <c r="Z232">
        <v>-7.6643080926990574</v>
      </c>
      <c r="AA232">
        <v>1037</v>
      </c>
      <c r="AB232">
        <v>562858</v>
      </c>
      <c r="AC232" t="s">
        <v>4513</v>
      </c>
      <c r="AD232">
        <v>25</v>
      </c>
      <c r="AE232" t="s">
        <v>5377</v>
      </c>
      <c r="AF232" t="s">
        <v>6231</v>
      </c>
      <c r="AG232">
        <v>951</v>
      </c>
      <c r="AH232">
        <v>59</v>
      </c>
      <c r="AJ232">
        <v>0.66</v>
      </c>
    </row>
    <row r="233" spans="1:36">
      <c r="A233" s="1" t="s">
        <v>267</v>
      </c>
      <c r="B233" t="s">
        <v>1131</v>
      </c>
      <c r="C233" t="str">
        <f>HYPERLINK("https://finance.naver.com/item/coinfo.nhn?code=041590", "A041590")</f>
        <v>A041590</v>
      </c>
      <c r="D233" t="str">
        <f>HYPERLINK("http://comp.fnguide.com/SVO2/ASP/SVD_Consensus.asp?pGB=1&amp;gicode=A041590&amp;cID=&amp;MenuYn=Y&amp;ReportGB=&amp;NewMenuID=108&amp;stkGb=701", "젬백스지오")</f>
        <v>젬백스지오</v>
      </c>
      <c r="E233">
        <v>3</v>
      </c>
      <c r="F233">
        <v>700</v>
      </c>
      <c r="G233">
        <v>0</v>
      </c>
      <c r="I233">
        <v>0</v>
      </c>
      <c r="J233">
        <v>600</v>
      </c>
      <c r="K233">
        <v>770</v>
      </c>
      <c r="L233">
        <v>100</v>
      </c>
      <c r="M233">
        <v>14.3</v>
      </c>
      <c r="N233">
        <v>-10.050000000000001</v>
      </c>
      <c r="O233">
        <v>0</v>
      </c>
      <c r="P233" t="b">
        <v>0</v>
      </c>
      <c r="Q233">
        <v>0</v>
      </c>
      <c r="R233">
        <v>-1108</v>
      </c>
      <c r="U233" t="s">
        <v>1995</v>
      </c>
      <c r="V233" t="s">
        <v>2859</v>
      </c>
      <c r="W233">
        <v>0</v>
      </c>
      <c r="X233">
        <v>0</v>
      </c>
      <c r="Y233" t="s">
        <v>3499</v>
      </c>
      <c r="Z233">
        <v>0</v>
      </c>
      <c r="AA233">
        <v>542</v>
      </c>
      <c r="AB233">
        <v>137536</v>
      </c>
      <c r="AC233" t="s">
        <v>4514</v>
      </c>
      <c r="AD233">
        <v>33.36</v>
      </c>
      <c r="AE233" t="s">
        <v>5378</v>
      </c>
      <c r="AF233" t="s">
        <v>6021</v>
      </c>
      <c r="AG233">
        <v>189</v>
      </c>
      <c r="AH233">
        <v>-40</v>
      </c>
      <c r="AI233">
        <v>500000</v>
      </c>
    </row>
    <row r="234" spans="1:36">
      <c r="A234" s="1" t="s">
        <v>268</v>
      </c>
      <c r="B234" t="s">
        <v>1132</v>
      </c>
      <c r="C234" t="str">
        <f>HYPERLINK("https://finance.naver.com/item/coinfo.nhn?code=053050", "A053050")</f>
        <v>A053050</v>
      </c>
      <c r="D234" t="str">
        <f>HYPERLINK("http://comp.fnguide.com/SVO2/ASP/SVD_Consensus.asp?pGB=1&amp;gicode=A053050&amp;cID=&amp;MenuYn=Y&amp;ReportGB=&amp;NewMenuID=108&amp;stkGb=701", "지에스이")</f>
        <v>지에스이</v>
      </c>
      <c r="E234">
        <v>3</v>
      </c>
      <c r="F234">
        <v>1615</v>
      </c>
      <c r="G234">
        <v>0</v>
      </c>
      <c r="H234">
        <v>10.16</v>
      </c>
      <c r="I234">
        <v>2377</v>
      </c>
      <c r="J234">
        <v>2447</v>
      </c>
      <c r="K234">
        <v>2467</v>
      </c>
      <c r="L234">
        <v>-47.17</v>
      </c>
      <c r="M234">
        <v>-51.54</v>
      </c>
      <c r="N234">
        <v>-52.78</v>
      </c>
      <c r="O234">
        <v>7.57</v>
      </c>
      <c r="P234" t="b">
        <v>0</v>
      </c>
      <c r="Q234">
        <v>0</v>
      </c>
      <c r="R234">
        <v>143</v>
      </c>
      <c r="U234" t="s">
        <v>1996</v>
      </c>
      <c r="V234" t="s">
        <v>2860</v>
      </c>
      <c r="W234">
        <v>0</v>
      </c>
      <c r="X234">
        <v>-23.4</v>
      </c>
      <c r="Y234" t="s">
        <v>3702</v>
      </c>
      <c r="Z234">
        <v>-10.256538344856841</v>
      </c>
      <c r="AA234">
        <v>484</v>
      </c>
      <c r="AB234">
        <v>158247</v>
      </c>
      <c r="AC234" t="s">
        <v>4515</v>
      </c>
      <c r="AD234">
        <v>44.6</v>
      </c>
      <c r="AE234" t="s">
        <v>5379</v>
      </c>
      <c r="AF234" t="s">
        <v>6232</v>
      </c>
      <c r="AG234">
        <v>1364</v>
      </c>
      <c r="AH234">
        <v>56</v>
      </c>
      <c r="AI234">
        <v>2282342</v>
      </c>
      <c r="AJ234">
        <v>2.75</v>
      </c>
    </row>
    <row r="235" spans="1:36">
      <c r="A235" s="1" t="s">
        <v>269</v>
      </c>
      <c r="B235" t="s">
        <v>1133</v>
      </c>
      <c r="C235" t="str">
        <f>HYPERLINK("https://finance.naver.com/item/coinfo.nhn?code=190650", "A190650")</f>
        <v>A190650</v>
      </c>
      <c r="D235" t="str">
        <f>HYPERLINK("http://comp.fnguide.com/SVO2/ASP/SVD_Consensus.asp?pGB=1&amp;gicode=A190650&amp;cID=&amp;MenuYn=Y&amp;ReportGB=&amp;NewMenuID=108&amp;stkGb=701", "코리아에셋투자증권")</f>
        <v>코리아에셋투자증권</v>
      </c>
      <c r="E235">
        <v>3</v>
      </c>
      <c r="F235">
        <v>7640</v>
      </c>
      <c r="G235">
        <v>0</v>
      </c>
      <c r="H235">
        <v>4.5</v>
      </c>
      <c r="I235">
        <v>15641</v>
      </c>
      <c r="J235">
        <v>12786</v>
      </c>
      <c r="K235">
        <v>11974</v>
      </c>
      <c r="L235">
        <v>-104.73</v>
      </c>
      <c r="M235">
        <v>-67.349999999999994</v>
      </c>
      <c r="N235">
        <v>-56.73</v>
      </c>
      <c r="O235">
        <v>11.4</v>
      </c>
      <c r="P235" t="b">
        <v>1</v>
      </c>
      <c r="Q235">
        <v>0</v>
      </c>
      <c r="R235">
        <v>1207</v>
      </c>
      <c r="U235" t="s">
        <v>1997</v>
      </c>
      <c r="V235" t="s">
        <v>2861</v>
      </c>
      <c r="W235">
        <v>0</v>
      </c>
      <c r="X235">
        <v>17.399999999999999</v>
      </c>
      <c r="Y235" t="s">
        <v>3703</v>
      </c>
      <c r="Z235">
        <v>13.29630875068155</v>
      </c>
      <c r="AA235">
        <v>488</v>
      </c>
      <c r="AB235">
        <v>23218</v>
      </c>
      <c r="AC235" t="s">
        <v>4516</v>
      </c>
      <c r="AD235">
        <v>51.42</v>
      </c>
      <c r="AE235" t="s">
        <v>5380</v>
      </c>
      <c r="AF235" t="s">
        <v>6233</v>
      </c>
      <c r="AG235">
        <v>560</v>
      </c>
      <c r="AH235">
        <v>94</v>
      </c>
      <c r="AJ235">
        <v>5.52</v>
      </c>
    </row>
    <row r="236" spans="1:36">
      <c r="A236" s="1" t="s">
        <v>270</v>
      </c>
      <c r="B236" t="s">
        <v>1134</v>
      </c>
      <c r="C236" t="str">
        <f>HYPERLINK("https://finance.naver.com/item/coinfo.nhn?code=094850", "A094850")</f>
        <v>A094850</v>
      </c>
      <c r="D236" t="str">
        <f>HYPERLINK("http://comp.fnguide.com/SVO2/ASP/SVD_Consensus.asp?pGB=1&amp;gicode=A094850&amp;cID=&amp;MenuYn=Y&amp;ReportGB=&amp;NewMenuID=108&amp;stkGb=701", "참좋은여행")</f>
        <v>참좋은여행</v>
      </c>
      <c r="E236">
        <v>3</v>
      </c>
      <c r="F236">
        <v>9550</v>
      </c>
      <c r="G236">
        <v>0</v>
      </c>
      <c r="H236">
        <v>4.0999999999999996</v>
      </c>
      <c r="I236">
        <v>18540</v>
      </c>
      <c r="J236">
        <v>11793</v>
      </c>
      <c r="K236">
        <v>9875</v>
      </c>
      <c r="L236">
        <v>-94.14</v>
      </c>
      <c r="M236">
        <v>-23.49</v>
      </c>
      <c r="N236">
        <v>-3.41</v>
      </c>
      <c r="O236">
        <v>20.100000000000001</v>
      </c>
      <c r="P236" t="b">
        <v>0</v>
      </c>
      <c r="Q236">
        <v>0</v>
      </c>
      <c r="R236">
        <v>1635</v>
      </c>
      <c r="U236" t="s">
        <v>1998</v>
      </c>
      <c r="V236" t="s">
        <v>2862</v>
      </c>
      <c r="W236">
        <v>0</v>
      </c>
      <c r="X236">
        <v>0</v>
      </c>
      <c r="Y236" t="s">
        <v>3704</v>
      </c>
      <c r="Z236">
        <v>41.140812263368993</v>
      </c>
      <c r="AA236">
        <v>1337</v>
      </c>
      <c r="AB236">
        <v>852829</v>
      </c>
      <c r="AC236" t="s">
        <v>4517</v>
      </c>
      <c r="AD236">
        <v>35.71</v>
      </c>
      <c r="AE236" t="s">
        <v>5381</v>
      </c>
      <c r="AF236" t="s">
        <v>6234</v>
      </c>
      <c r="AG236">
        <v>621</v>
      </c>
      <c r="AH236">
        <v>71</v>
      </c>
      <c r="AI236">
        <v>800000</v>
      </c>
      <c r="AJ236">
        <v>2.54</v>
      </c>
    </row>
    <row r="237" spans="1:36">
      <c r="A237" s="1" t="s">
        <v>271</v>
      </c>
      <c r="B237" t="s">
        <v>1135</v>
      </c>
      <c r="C237" t="str">
        <f>HYPERLINK("https://finance.naver.com/item/coinfo.nhn?code=004650", "A004650")</f>
        <v>A004650</v>
      </c>
      <c r="D237" t="str">
        <f>HYPERLINK("http://comp.fnguide.com/SVO2/ASP/SVD_Consensus.asp?pGB=1&amp;gicode=A004650&amp;cID=&amp;MenuYn=Y&amp;ReportGB=&amp;NewMenuID=108&amp;stkGb=701", "창해에탄올")</f>
        <v>창해에탄올</v>
      </c>
      <c r="E237">
        <v>3</v>
      </c>
      <c r="F237">
        <v>13950</v>
      </c>
      <c r="G237">
        <v>0</v>
      </c>
      <c r="H237">
        <v>5.39</v>
      </c>
      <c r="I237">
        <v>23131</v>
      </c>
      <c r="J237">
        <v>19079</v>
      </c>
      <c r="K237">
        <v>17927</v>
      </c>
      <c r="L237">
        <v>-65.81</v>
      </c>
      <c r="M237">
        <v>-36.76</v>
      </c>
      <c r="N237">
        <v>-28.51</v>
      </c>
      <c r="O237">
        <v>11.2</v>
      </c>
      <c r="P237" t="b">
        <v>1</v>
      </c>
      <c r="Q237">
        <v>0</v>
      </c>
      <c r="R237">
        <v>2328</v>
      </c>
      <c r="U237" t="s">
        <v>1999</v>
      </c>
      <c r="V237" t="s">
        <v>2863</v>
      </c>
      <c r="W237">
        <v>0</v>
      </c>
      <c r="X237">
        <v>-11.1</v>
      </c>
      <c r="Y237" t="s">
        <v>3705</v>
      </c>
      <c r="Z237">
        <v>6.6843102671651833</v>
      </c>
      <c r="AA237">
        <v>1282</v>
      </c>
      <c r="AB237">
        <v>77848</v>
      </c>
      <c r="AC237" t="s">
        <v>4518</v>
      </c>
      <c r="AD237">
        <v>27.13</v>
      </c>
      <c r="AE237" t="s">
        <v>5382</v>
      </c>
      <c r="AF237" t="s">
        <v>6235</v>
      </c>
      <c r="AG237">
        <v>1873</v>
      </c>
      <c r="AH237">
        <v>89</v>
      </c>
      <c r="AI237">
        <v>1603534</v>
      </c>
      <c r="AJ237">
        <v>4.78</v>
      </c>
    </row>
    <row r="238" spans="1:36">
      <c r="A238" s="1" t="s">
        <v>272</v>
      </c>
      <c r="B238" t="s">
        <v>1136</v>
      </c>
      <c r="C238" t="str">
        <f>HYPERLINK("https://finance.naver.com/item/coinfo.nhn?code=066360", "A066360")</f>
        <v>A066360</v>
      </c>
      <c r="D238" t="str">
        <f>HYPERLINK("http://comp.fnguide.com/SVO2/ASP/SVD_Consensus.asp?pGB=1&amp;gicode=A066360&amp;cID=&amp;MenuYn=Y&amp;ReportGB=&amp;NewMenuID=108&amp;stkGb=701", "체리부로")</f>
        <v>체리부로</v>
      </c>
      <c r="E238">
        <v>3</v>
      </c>
      <c r="F238">
        <v>2280</v>
      </c>
      <c r="G238">
        <v>0</v>
      </c>
      <c r="I238">
        <v>1668</v>
      </c>
      <c r="J238">
        <v>2605</v>
      </c>
      <c r="K238">
        <v>2871</v>
      </c>
      <c r="L238">
        <v>26.86</v>
      </c>
      <c r="M238">
        <v>-14.25</v>
      </c>
      <c r="N238">
        <v>-25.93</v>
      </c>
      <c r="O238">
        <v>4.0999999999999996</v>
      </c>
      <c r="P238" t="b">
        <v>0</v>
      </c>
      <c r="Q238">
        <v>0</v>
      </c>
      <c r="R238">
        <v>-703</v>
      </c>
      <c r="U238" t="s">
        <v>2000</v>
      </c>
      <c r="V238" t="s">
        <v>2864</v>
      </c>
      <c r="W238">
        <v>0</v>
      </c>
      <c r="X238">
        <v>0</v>
      </c>
      <c r="Y238" t="s">
        <v>3706</v>
      </c>
      <c r="Z238">
        <v>837.21702929470928</v>
      </c>
      <c r="AA238">
        <v>635</v>
      </c>
      <c r="AB238">
        <v>77780</v>
      </c>
      <c r="AC238" t="s">
        <v>4519</v>
      </c>
      <c r="AD238">
        <v>72.08</v>
      </c>
      <c r="AE238" t="s">
        <v>5383</v>
      </c>
      <c r="AF238" t="s">
        <v>6236</v>
      </c>
      <c r="AG238">
        <v>3015</v>
      </c>
      <c r="AH238">
        <v>-145</v>
      </c>
    </row>
    <row r="239" spans="1:36">
      <c r="A239" s="1" t="s">
        <v>273</v>
      </c>
      <c r="B239" t="s">
        <v>1137</v>
      </c>
      <c r="C239" t="str">
        <f>HYPERLINK("https://finance.naver.com/item/coinfo.nhn?code=071850", "A071850")</f>
        <v>A071850</v>
      </c>
      <c r="D239" t="str">
        <f>HYPERLINK("http://comp.fnguide.com/SVO2/ASP/SVD_Consensus.asp?pGB=1&amp;gicode=A071850&amp;cID=&amp;MenuYn=Y&amp;ReportGB=&amp;NewMenuID=108&amp;stkGb=701", "캐스텍코리아")</f>
        <v>캐스텍코리아</v>
      </c>
      <c r="E239">
        <v>3</v>
      </c>
      <c r="F239">
        <v>3075</v>
      </c>
      <c r="G239">
        <v>0</v>
      </c>
      <c r="I239">
        <v>707</v>
      </c>
      <c r="J239">
        <v>4774</v>
      </c>
      <c r="K239">
        <v>5929</v>
      </c>
      <c r="L239">
        <v>77.02</v>
      </c>
      <c r="M239">
        <v>-55.24</v>
      </c>
      <c r="N239">
        <v>-92.82</v>
      </c>
      <c r="O239">
        <v>0.75</v>
      </c>
      <c r="P239" t="b">
        <v>0</v>
      </c>
      <c r="Q239">
        <v>0</v>
      </c>
      <c r="R239">
        <v>-346</v>
      </c>
      <c r="U239" t="s">
        <v>2001</v>
      </c>
      <c r="V239" t="s">
        <v>2865</v>
      </c>
      <c r="W239">
        <v>0</v>
      </c>
      <c r="X239">
        <v>0</v>
      </c>
      <c r="Y239" t="s">
        <v>3707</v>
      </c>
      <c r="Z239">
        <v>-54.916559751123764</v>
      </c>
      <c r="AA239">
        <v>510</v>
      </c>
      <c r="AB239">
        <v>50946</v>
      </c>
      <c r="AC239" t="s">
        <v>4520</v>
      </c>
      <c r="AD239">
        <v>17.739999999999998</v>
      </c>
      <c r="AE239" t="s">
        <v>5384</v>
      </c>
      <c r="AF239" t="s">
        <v>6237</v>
      </c>
      <c r="AG239">
        <v>1901</v>
      </c>
      <c r="AH239">
        <v>-19</v>
      </c>
      <c r="AI239">
        <v>268250</v>
      </c>
    </row>
    <row r="240" spans="1:36">
      <c r="A240" s="1" t="s">
        <v>274</v>
      </c>
      <c r="B240" t="s">
        <v>1138</v>
      </c>
      <c r="C240" t="str">
        <f>HYPERLINK("https://finance.naver.com/item/coinfo.nhn?code=900310", "A900310")</f>
        <v>A900310</v>
      </c>
      <c r="D240" t="str">
        <f>HYPERLINK("http://comp.fnguide.com/SVO2/ASP/SVD_Consensus.asp?pGB=1&amp;gicode=A900310&amp;cID=&amp;MenuYn=Y&amp;ReportGB=&amp;NewMenuID=108&amp;stkGb=701", "컬러레이")</f>
        <v>컬러레이</v>
      </c>
      <c r="E240">
        <v>3</v>
      </c>
      <c r="F240">
        <v>1960</v>
      </c>
      <c r="G240">
        <v>0</v>
      </c>
      <c r="H240">
        <v>4.1500000000000004</v>
      </c>
      <c r="I240">
        <v>7718</v>
      </c>
      <c r="J240">
        <v>4838</v>
      </c>
      <c r="K240">
        <v>4020</v>
      </c>
      <c r="L240">
        <v>-293.79000000000002</v>
      </c>
      <c r="M240">
        <v>-146.85</v>
      </c>
      <c r="N240">
        <v>-105.09</v>
      </c>
      <c r="O240">
        <v>20.91</v>
      </c>
      <c r="P240" t="b">
        <v>0</v>
      </c>
      <c r="Q240">
        <v>0</v>
      </c>
      <c r="R240">
        <v>448</v>
      </c>
      <c r="U240" t="s">
        <v>2002</v>
      </c>
      <c r="V240" t="s">
        <v>2866</v>
      </c>
      <c r="W240">
        <v>0</v>
      </c>
      <c r="X240">
        <v>-22.9</v>
      </c>
      <c r="Y240" t="s">
        <v>3708</v>
      </c>
      <c r="Z240">
        <v>-80.130958456691488</v>
      </c>
      <c r="AA240">
        <v>1058</v>
      </c>
      <c r="AB240">
        <v>207351</v>
      </c>
      <c r="AC240" t="s">
        <v>4521</v>
      </c>
      <c r="AD240">
        <v>54.03</v>
      </c>
      <c r="AE240" t="s">
        <v>5385</v>
      </c>
      <c r="AF240" t="s">
        <v>6238</v>
      </c>
      <c r="AG240">
        <v>509</v>
      </c>
      <c r="AH240">
        <v>276</v>
      </c>
    </row>
    <row r="241" spans="1:36">
      <c r="A241" s="1" t="s">
        <v>275</v>
      </c>
      <c r="B241" t="s">
        <v>1139</v>
      </c>
      <c r="C241" t="str">
        <f>HYPERLINK("https://finance.naver.com/item/coinfo.nhn?code=221980", "A221980")</f>
        <v>A221980</v>
      </c>
      <c r="D241" t="str">
        <f>HYPERLINK("http://comp.fnguide.com/SVO2/ASP/SVD_Consensus.asp?pGB=1&amp;gicode=A221980&amp;cID=&amp;MenuYn=Y&amp;ReportGB=&amp;NewMenuID=108&amp;stkGb=701", "케이디켐")</f>
        <v>케이디켐</v>
      </c>
      <c r="E241">
        <v>3</v>
      </c>
      <c r="F241">
        <v>14200</v>
      </c>
      <c r="G241">
        <v>0</v>
      </c>
      <c r="H241">
        <v>6.62</v>
      </c>
      <c r="I241">
        <v>25349</v>
      </c>
      <c r="J241">
        <v>22268</v>
      </c>
      <c r="K241">
        <v>21393</v>
      </c>
      <c r="L241">
        <v>-78.52</v>
      </c>
      <c r="M241">
        <v>-56.82</v>
      </c>
      <c r="N241">
        <v>-50.65</v>
      </c>
      <c r="O241">
        <v>9.9499999999999993</v>
      </c>
      <c r="P241" t="b">
        <v>1</v>
      </c>
      <c r="Q241">
        <v>0</v>
      </c>
      <c r="R241">
        <v>1857</v>
      </c>
      <c r="U241" t="s">
        <v>2003</v>
      </c>
      <c r="V241" t="s">
        <v>2867</v>
      </c>
      <c r="W241">
        <v>0</v>
      </c>
      <c r="X241">
        <v>5.4</v>
      </c>
      <c r="Y241" t="s">
        <v>3709</v>
      </c>
      <c r="Z241">
        <v>-8.6382214051367701</v>
      </c>
      <c r="AA241">
        <v>573</v>
      </c>
      <c r="AB241">
        <v>3376</v>
      </c>
      <c r="AC241" t="s">
        <v>4522</v>
      </c>
      <c r="AD241">
        <v>71.069999999999993</v>
      </c>
      <c r="AE241" t="s">
        <v>5386</v>
      </c>
      <c r="AF241" t="s">
        <v>6239</v>
      </c>
      <c r="AG241">
        <v>488</v>
      </c>
      <c r="AH241">
        <v>64</v>
      </c>
      <c r="AI241">
        <v>213443</v>
      </c>
      <c r="AJ241">
        <v>4.07</v>
      </c>
    </row>
    <row r="242" spans="1:36">
      <c r="A242" s="1" t="s">
        <v>276</v>
      </c>
      <c r="B242" t="s">
        <v>1140</v>
      </c>
      <c r="C242" t="str">
        <f>HYPERLINK("https://finance.naver.com/item/coinfo.nhn?code=025880", "A025880")</f>
        <v>A025880</v>
      </c>
      <c r="D242" t="str">
        <f>HYPERLINK("http://comp.fnguide.com/SVO2/ASP/SVD_Consensus.asp?pGB=1&amp;gicode=A025880&amp;cID=&amp;MenuYn=Y&amp;ReportGB=&amp;NewMenuID=108&amp;stkGb=701", "케이씨피드")</f>
        <v>케이씨피드</v>
      </c>
      <c r="E242">
        <v>3</v>
      </c>
      <c r="F242">
        <v>2275</v>
      </c>
      <c r="G242">
        <v>0</v>
      </c>
      <c r="I242">
        <v>1086</v>
      </c>
      <c r="J242">
        <v>2422</v>
      </c>
      <c r="K242">
        <v>2802</v>
      </c>
      <c r="L242">
        <v>52.28</v>
      </c>
      <c r="M242">
        <v>-6.47</v>
      </c>
      <c r="N242">
        <v>-23.16</v>
      </c>
      <c r="O242">
        <v>2.61</v>
      </c>
      <c r="P242" t="b">
        <v>0</v>
      </c>
      <c r="Q242">
        <v>0</v>
      </c>
      <c r="R242">
        <v>-386</v>
      </c>
      <c r="U242" t="s">
        <v>2004</v>
      </c>
      <c r="V242" t="s">
        <v>2868</v>
      </c>
      <c r="W242">
        <v>0</v>
      </c>
      <c r="X242">
        <v>104.3</v>
      </c>
      <c r="Y242" t="s">
        <v>3710</v>
      </c>
      <c r="Z242">
        <v>31.35080290961028</v>
      </c>
      <c r="AA242">
        <v>380</v>
      </c>
      <c r="AB242">
        <v>218740</v>
      </c>
      <c r="AC242" t="s">
        <v>4523</v>
      </c>
      <c r="AD242">
        <v>27.82</v>
      </c>
      <c r="AE242" t="s">
        <v>5387</v>
      </c>
      <c r="AF242" t="s">
        <v>6240</v>
      </c>
      <c r="AG242">
        <v>643</v>
      </c>
      <c r="AH242">
        <v>-17</v>
      </c>
      <c r="AI242">
        <v>930722</v>
      </c>
      <c r="AJ242">
        <v>0.64</v>
      </c>
    </row>
    <row r="243" spans="1:36">
      <c r="A243" s="1" t="s">
        <v>277</v>
      </c>
      <c r="B243" t="s">
        <v>1141</v>
      </c>
      <c r="C243" t="str">
        <f>HYPERLINK("https://finance.naver.com/item/coinfo.nhn?code=024880", "A024880")</f>
        <v>A024880</v>
      </c>
      <c r="D243" t="str">
        <f>HYPERLINK("http://comp.fnguide.com/SVO2/ASP/SVD_Consensus.asp?pGB=1&amp;gicode=A024880&amp;cID=&amp;MenuYn=Y&amp;ReportGB=&amp;NewMenuID=108&amp;stkGb=701", "케이피에프")</f>
        <v>케이피에프</v>
      </c>
      <c r="E243">
        <v>3</v>
      </c>
      <c r="F243">
        <v>5050</v>
      </c>
      <c r="G243">
        <v>0</v>
      </c>
      <c r="H243">
        <v>10.73</v>
      </c>
      <c r="I243">
        <v>7717</v>
      </c>
      <c r="J243">
        <v>9015</v>
      </c>
      <c r="K243">
        <v>9384</v>
      </c>
      <c r="L243">
        <v>-52.81</v>
      </c>
      <c r="M243">
        <v>-78.510000000000005</v>
      </c>
      <c r="N243">
        <v>-85.82</v>
      </c>
      <c r="O243">
        <v>6.21</v>
      </c>
      <c r="P243" t="b">
        <v>1</v>
      </c>
      <c r="Q243">
        <v>0</v>
      </c>
      <c r="R243">
        <v>436</v>
      </c>
      <c r="U243" t="s">
        <v>2005</v>
      </c>
      <c r="V243" t="s">
        <v>2869</v>
      </c>
      <c r="W243">
        <v>0</v>
      </c>
      <c r="X243">
        <v>0</v>
      </c>
      <c r="Y243" t="s">
        <v>3711</v>
      </c>
      <c r="Z243">
        <v>-12.41898673799782</v>
      </c>
      <c r="AA243">
        <v>895</v>
      </c>
      <c r="AB243">
        <v>248835</v>
      </c>
      <c r="AC243" t="s">
        <v>4524</v>
      </c>
      <c r="AD243">
        <v>36.72</v>
      </c>
      <c r="AE243" t="s">
        <v>5388</v>
      </c>
      <c r="AF243" t="s">
        <v>6241</v>
      </c>
      <c r="AG243">
        <v>3763</v>
      </c>
      <c r="AH243">
        <v>163</v>
      </c>
      <c r="AI243">
        <v>1332412</v>
      </c>
      <c r="AJ243">
        <v>3.42</v>
      </c>
    </row>
    <row r="244" spans="1:36">
      <c r="A244" s="1" t="s">
        <v>278</v>
      </c>
      <c r="B244" t="s">
        <v>1142</v>
      </c>
      <c r="C244" t="str">
        <f>HYPERLINK("https://finance.naver.com/item/coinfo.nhn?code=033110", "A033110")</f>
        <v>A033110</v>
      </c>
      <c r="D244" t="str">
        <f>HYPERLINK("http://comp.fnguide.com/SVO2/ASP/SVD_Consensus.asp?pGB=1&amp;gicode=A033110&amp;cID=&amp;MenuYn=Y&amp;ReportGB=&amp;NewMenuID=108&amp;stkGb=701", "코너스톤네트웍스")</f>
        <v>코너스톤네트웍스</v>
      </c>
      <c r="E244">
        <v>3</v>
      </c>
      <c r="F244">
        <v>204</v>
      </c>
      <c r="G244">
        <v>0</v>
      </c>
      <c r="I244">
        <v>0</v>
      </c>
      <c r="J244">
        <v>167</v>
      </c>
      <c r="K244">
        <v>214</v>
      </c>
      <c r="L244">
        <v>100</v>
      </c>
      <c r="M244">
        <v>18.18</v>
      </c>
      <c r="N244">
        <v>-5.07</v>
      </c>
      <c r="O244">
        <v>0</v>
      </c>
      <c r="P244" t="b">
        <v>0</v>
      </c>
      <c r="Q244">
        <v>0</v>
      </c>
      <c r="R244">
        <v>-416</v>
      </c>
      <c r="U244" t="s">
        <v>2006</v>
      </c>
      <c r="V244" t="s">
        <v>2870</v>
      </c>
      <c r="W244">
        <v>0</v>
      </c>
      <c r="X244">
        <v>0</v>
      </c>
      <c r="Y244" t="s">
        <v>3499</v>
      </c>
      <c r="Z244">
        <v>0</v>
      </c>
      <c r="AA244">
        <v>265</v>
      </c>
      <c r="AB244">
        <v>0</v>
      </c>
      <c r="AC244" t="s">
        <v>4525</v>
      </c>
      <c r="AD244">
        <v>19.260000000000002</v>
      </c>
      <c r="AE244" t="s">
        <v>5389</v>
      </c>
      <c r="AF244" t="s">
        <v>6021</v>
      </c>
      <c r="AG244">
        <v>136</v>
      </c>
      <c r="AH244">
        <v>-109</v>
      </c>
    </row>
    <row r="245" spans="1:36">
      <c r="A245" s="1" t="s">
        <v>279</v>
      </c>
      <c r="B245" t="s">
        <v>1143</v>
      </c>
      <c r="C245" t="str">
        <f>HYPERLINK("https://finance.naver.com/item/coinfo.nhn?code=047310", "A047310")</f>
        <v>A047310</v>
      </c>
      <c r="D245" t="str">
        <f>HYPERLINK("http://comp.fnguide.com/SVO2/ASP/SVD_Consensus.asp?pGB=1&amp;gicode=A047310&amp;cID=&amp;MenuYn=Y&amp;ReportGB=&amp;NewMenuID=108&amp;stkGb=701", "파워로직스")</f>
        <v>파워로직스</v>
      </c>
      <c r="E245">
        <v>3</v>
      </c>
      <c r="F245">
        <v>8710</v>
      </c>
      <c r="G245">
        <v>0</v>
      </c>
      <c r="H245">
        <v>6.33</v>
      </c>
      <c r="I245">
        <v>16615</v>
      </c>
      <c r="J245">
        <v>10819</v>
      </c>
      <c r="K245">
        <v>9171</v>
      </c>
      <c r="L245">
        <v>-90.76</v>
      </c>
      <c r="M245">
        <v>-24.21</v>
      </c>
      <c r="N245">
        <v>-5.3</v>
      </c>
      <c r="O245">
        <v>18.899999999999999</v>
      </c>
      <c r="P245" t="b">
        <v>1</v>
      </c>
      <c r="Q245">
        <v>0</v>
      </c>
      <c r="R245">
        <v>1611</v>
      </c>
      <c r="U245" t="s">
        <v>2007</v>
      </c>
      <c r="V245" t="s">
        <v>2871</v>
      </c>
      <c r="W245">
        <v>0</v>
      </c>
      <c r="X245">
        <v>0</v>
      </c>
      <c r="Y245" t="s">
        <v>3712</v>
      </c>
      <c r="Z245">
        <v>78.73607819767912</v>
      </c>
      <c r="AA245">
        <v>2998</v>
      </c>
      <c r="AB245">
        <v>1105627</v>
      </c>
      <c r="AC245" t="s">
        <v>4526</v>
      </c>
      <c r="AD245">
        <v>33.61</v>
      </c>
      <c r="AE245" t="s">
        <v>5390</v>
      </c>
      <c r="AF245" t="s">
        <v>6242</v>
      </c>
      <c r="AG245">
        <v>11079</v>
      </c>
      <c r="AH245">
        <v>506</v>
      </c>
      <c r="AJ245">
        <v>0.49</v>
      </c>
    </row>
    <row r="246" spans="1:36">
      <c r="A246" s="1" t="s">
        <v>280</v>
      </c>
      <c r="B246" t="s">
        <v>1144</v>
      </c>
      <c r="C246" t="str">
        <f>HYPERLINK("https://finance.naver.com/item/coinfo.nhn?code=065690", "A065690")</f>
        <v>A065690</v>
      </c>
      <c r="D246" t="str">
        <f>HYPERLINK("http://comp.fnguide.com/SVO2/ASP/SVD_Consensus.asp?pGB=1&amp;gicode=A065690&amp;cID=&amp;MenuYn=Y&amp;ReportGB=&amp;NewMenuID=108&amp;stkGb=701", "파커스")</f>
        <v>파커스</v>
      </c>
      <c r="E246">
        <v>3</v>
      </c>
      <c r="F246">
        <v>2920</v>
      </c>
      <c r="G246">
        <v>0</v>
      </c>
      <c r="I246">
        <v>1306</v>
      </c>
      <c r="J246">
        <v>4273</v>
      </c>
      <c r="K246">
        <v>5116</v>
      </c>
      <c r="L246">
        <v>55.26</v>
      </c>
      <c r="M246">
        <v>-46.32</v>
      </c>
      <c r="N246">
        <v>-75.19</v>
      </c>
      <c r="O246">
        <v>1.66</v>
      </c>
      <c r="P246" t="b">
        <v>0</v>
      </c>
      <c r="Q246">
        <v>0</v>
      </c>
      <c r="R246">
        <v>-255</v>
      </c>
      <c r="U246" t="s">
        <v>2008</v>
      </c>
      <c r="V246" t="s">
        <v>2872</v>
      </c>
      <c r="W246">
        <v>0</v>
      </c>
      <c r="X246">
        <v>0</v>
      </c>
      <c r="Y246" t="s">
        <v>3713</v>
      </c>
      <c r="Z246">
        <v>-32.200000000000003</v>
      </c>
      <c r="AA246">
        <v>408</v>
      </c>
      <c r="AB246">
        <v>25187</v>
      </c>
      <c r="AC246" t="s">
        <v>4527</v>
      </c>
      <c r="AD246">
        <v>44.05</v>
      </c>
      <c r="AE246" t="s">
        <v>5391</v>
      </c>
      <c r="AF246" t="s">
        <v>6243</v>
      </c>
      <c r="AG246">
        <v>1008</v>
      </c>
      <c r="AH246">
        <v>-41</v>
      </c>
      <c r="AI246">
        <v>718634</v>
      </c>
      <c r="AJ246">
        <v>5.28</v>
      </c>
    </row>
    <row r="247" spans="1:36">
      <c r="A247" s="1" t="s">
        <v>281</v>
      </c>
      <c r="B247" t="s">
        <v>1145</v>
      </c>
      <c r="C247" t="str">
        <f>HYPERLINK("https://finance.naver.com/item/coinfo.nhn?code=099440", "A099440")</f>
        <v>A099440</v>
      </c>
      <c r="D247" t="str">
        <f>HYPERLINK("http://comp.fnguide.com/SVO2/ASP/SVD_Consensus.asp?pGB=1&amp;gicode=A099440&amp;cID=&amp;MenuYn=Y&amp;ReportGB=&amp;NewMenuID=108&amp;stkGb=701", "스맥")</f>
        <v>스맥</v>
      </c>
      <c r="E247">
        <v>3</v>
      </c>
      <c r="F247">
        <v>1925</v>
      </c>
      <c r="G247">
        <v>0</v>
      </c>
      <c r="I247">
        <v>26</v>
      </c>
      <c r="J247">
        <v>2103</v>
      </c>
      <c r="K247">
        <v>2693</v>
      </c>
      <c r="L247">
        <v>98.63</v>
      </c>
      <c r="M247">
        <v>-9.24</v>
      </c>
      <c r="N247">
        <v>-39.9</v>
      </c>
      <c r="O247">
        <v>0.06</v>
      </c>
      <c r="P247" t="b">
        <v>0</v>
      </c>
      <c r="Q247">
        <v>0</v>
      </c>
      <c r="R247">
        <v>-603</v>
      </c>
      <c r="U247" t="s">
        <v>2009</v>
      </c>
      <c r="V247" t="s">
        <v>2873</v>
      </c>
      <c r="W247">
        <v>0</v>
      </c>
      <c r="X247">
        <v>0</v>
      </c>
      <c r="Y247" t="s">
        <v>3714</v>
      </c>
      <c r="Z247">
        <v>-70.726804069251344</v>
      </c>
      <c r="AA247">
        <v>592</v>
      </c>
      <c r="AB247">
        <v>379342</v>
      </c>
      <c r="AC247" t="s">
        <v>4528</v>
      </c>
      <c r="AD247">
        <v>15.33</v>
      </c>
      <c r="AE247" t="s">
        <v>5392</v>
      </c>
      <c r="AF247" t="s">
        <v>6244</v>
      </c>
      <c r="AG247">
        <v>1370</v>
      </c>
      <c r="AH247">
        <v>-148</v>
      </c>
      <c r="AI247">
        <v>2957902</v>
      </c>
    </row>
    <row r="248" spans="1:36">
      <c r="A248" s="1" t="s">
        <v>282</v>
      </c>
      <c r="B248" t="s">
        <v>1146</v>
      </c>
      <c r="C248" t="str">
        <f>HYPERLINK("https://finance.naver.com/item/coinfo.nhn?code=027710", "A027710")</f>
        <v>A027710</v>
      </c>
      <c r="D248" t="str">
        <f>HYPERLINK("http://comp.fnguide.com/SVO2/ASP/SVD_Consensus.asp?pGB=1&amp;gicode=A027710&amp;cID=&amp;MenuYn=Y&amp;ReportGB=&amp;NewMenuID=108&amp;stkGb=701", "팜스토리")</f>
        <v>팜스토리</v>
      </c>
      <c r="E248">
        <v>3</v>
      </c>
      <c r="F248">
        <v>1135</v>
      </c>
      <c r="G248">
        <v>0</v>
      </c>
      <c r="I248">
        <v>291</v>
      </c>
      <c r="J248">
        <v>997</v>
      </c>
      <c r="K248">
        <v>1198</v>
      </c>
      <c r="L248">
        <v>74.37</v>
      </c>
      <c r="M248">
        <v>12.15</v>
      </c>
      <c r="N248">
        <v>-5.54</v>
      </c>
      <c r="O248">
        <v>1.58</v>
      </c>
      <c r="P248" t="b">
        <v>0</v>
      </c>
      <c r="Q248">
        <v>0</v>
      </c>
      <c r="R248">
        <v>-57</v>
      </c>
      <c r="U248" t="s">
        <v>2010</v>
      </c>
      <c r="V248" t="s">
        <v>2874</v>
      </c>
      <c r="W248">
        <v>0</v>
      </c>
      <c r="X248">
        <v>0.2</v>
      </c>
      <c r="Y248" t="s">
        <v>3715</v>
      </c>
      <c r="Z248">
        <v>63.239769179219493</v>
      </c>
      <c r="AA248">
        <v>1265</v>
      </c>
      <c r="AB248">
        <v>375820</v>
      </c>
      <c r="AC248" t="s">
        <v>4529</v>
      </c>
      <c r="AD248">
        <v>70.63</v>
      </c>
      <c r="AE248" t="s">
        <v>5393</v>
      </c>
      <c r="AF248" t="s">
        <v>6245</v>
      </c>
      <c r="AG248">
        <v>9708</v>
      </c>
      <c r="AH248">
        <v>148</v>
      </c>
      <c r="AI248">
        <v>814339</v>
      </c>
      <c r="AJ248">
        <v>2.2200000000000002</v>
      </c>
    </row>
    <row r="249" spans="1:36">
      <c r="A249" s="1" t="s">
        <v>283</v>
      </c>
      <c r="B249" t="s">
        <v>1147</v>
      </c>
      <c r="C249" t="str">
        <f>HYPERLINK("https://finance.naver.com/item/coinfo.nhn?code=054040", "A054040")</f>
        <v>A054040</v>
      </c>
      <c r="D249" t="str">
        <f>HYPERLINK("http://comp.fnguide.com/SVO2/ASP/SVD_Consensus.asp?pGB=1&amp;gicode=A054040&amp;cID=&amp;MenuYn=Y&amp;ReportGB=&amp;NewMenuID=108&amp;stkGb=701", "한국컴퓨터")</f>
        <v>한국컴퓨터</v>
      </c>
      <c r="E249">
        <v>3</v>
      </c>
      <c r="F249">
        <v>2900</v>
      </c>
      <c r="G249">
        <v>0</v>
      </c>
      <c r="H249">
        <v>6.49</v>
      </c>
      <c r="I249">
        <v>3254</v>
      </c>
      <c r="J249">
        <v>4997</v>
      </c>
      <c r="K249">
        <v>5493</v>
      </c>
      <c r="L249">
        <v>-12.21</v>
      </c>
      <c r="M249">
        <v>-72.319999999999993</v>
      </c>
      <c r="N249">
        <v>-89.41</v>
      </c>
      <c r="O249">
        <v>4.2</v>
      </c>
      <c r="P249" t="b">
        <v>1</v>
      </c>
      <c r="Q249">
        <v>0</v>
      </c>
      <c r="R249">
        <v>472</v>
      </c>
      <c r="U249" t="s">
        <v>2011</v>
      </c>
      <c r="V249" t="s">
        <v>2875</v>
      </c>
      <c r="W249">
        <v>0</v>
      </c>
      <c r="X249">
        <v>-94.9</v>
      </c>
      <c r="Y249" t="s">
        <v>3716</v>
      </c>
      <c r="Z249">
        <v>-79.130404891325767</v>
      </c>
      <c r="AA249">
        <v>466</v>
      </c>
      <c r="AB249">
        <v>140300</v>
      </c>
      <c r="AC249" t="s">
        <v>4530</v>
      </c>
      <c r="AD249">
        <v>42.11</v>
      </c>
      <c r="AE249" t="s">
        <v>5394</v>
      </c>
      <c r="AF249" t="s">
        <v>6246</v>
      </c>
      <c r="AG249">
        <v>1104</v>
      </c>
      <c r="AH249">
        <v>72</v>
      </c>
      <c r="AI249">
        <v>790656</v>
      </c>
      <c r="AJ249">
        <v>4.25</v>
      </c>
    </row>
    <row r="250" spans="1:36">
      <c r="A250" s="1" t="s">
        <v>284</v>
      </c>
      <c r="B250" t="s">
        <v>1148</v>
      </c>
      <c r="C250" t="str">
        <f>HYPERLINK("https://finance.naver.com/item/coinfo.nhn?code=050540", "A050540")</f>
        <v>A050540</v>
      </c>
      <c r="D250" t="str">
        <f>HYPERLINK("http://comp.fnguide.com/SVO2/ASP/SVD_Consensus.asp?pGB=1&amp;gicode=A050540&amp;cID=&amp;MenuYn=Y&amp;ReportGB=&amp;NewMenuID=108&amp;stkGb=701", "한국코퍼레이션")</f>
        <v>한국코퍼레이션</v>
      </c>
      <c r="E250">
        <v>3</v>
      </c>
      <c r="F250">
        <v>282</v>
      </c>
      <c r="G250">
        <v>0</v>
      </c>
      <c r="I250">
        <v>26</v>
      </c>
      <c r="J250">
        <v>458</v>
      </c>
      <c r="K250">
        <v>581</v>
      </c>
      <c r="L250">
        <v>90.91</v>
      </c>
      <c r="M250">
        <v>-62.42</v>
      </c>
      <c r="N250">
        <v>-106</v>
      </c>
      <c r="O250">
        <v>0.27</v>
      </c>
      <c r="P250" t="b">
        <v>0</v>
      </c>
      <c r="Q250">
        <v>0</v>
      </c>
      <c r="R250">
        <v>-264</v>
      </c>
      <c r="U250" t="s">
        <v>2012</v>
      </c>
      <c r="V250" t="s">
        <v>2876</v>
      </c>
      <c r="W250">
        <v>0</v>
      </c>
      <c r="X250">
        <v>0</v>
      </c>
      <c r="Y250" t="s">
        <v>3499</v>
      </c>
      <c r="Z250">
        <v>0</v>
      </c>
      <c r="AA250">
        <v>143</v>
      </c>
      <c r="AB250">
        <v>0</v>
      </c>
      <c r="AC250" t="s">
        <v>4531</v>
      </c>
      <c r="AD250">
        <v>19.690000000000001</v>
      </c>
      <c r="AE250" t="s">
        <v>5395</v>
      </c>
      <c r="AF250" t="s">
        <v>6247</v>
      </c>
      <c r="AG250">
        <v>1215</v>
      </c>
      <c r="AH250">
        <v>-92</v>
      </c>
    </row>
    <row r="251" spans="1:36">
      <c r="A251" s="1" t="s">
        <v>285</v>
      </c>
      <c r="B251" t="s">
        <v>1149</v>
      </c>
      <c r="C251" t="str">
        <f>HYPERLINK("https://finance.naver.com/item/coinfo.nhn?code=092460", "A092460")</f>
        <v>A092460</v>
      </c>
      <c r="D251" t="str">
        <f>HYPERLINK("http://comp.fnguide.com/SVO2/ASP/SVD_Consensus.asp?pGB=1&amp;gicode=A092460&amp;cID=&amp;MenuYn=Y&amp;ReportGB=&amp;NewMenuID=108&amp;stkGb=701", "한라IMS")</f>
        <v>한라IMS</v>
      </c>
      <c r="E251">
        <v>3</v>
      </c>
      <c r="F251">
        <v>6470</v>
      </c>
      <c r="G251">
        <v>0</v>
      </c>
      <c r="H251">
        <v>20.21</v>
      </c>
      <c r="I251">
        <v>4050</v>
      </c>
      <c r="J251">
        <v>6088</v>
      </c>
      <c r="K251">
        <v>6667</v>
      </c>
      <c r="L251">
        <v>37.409999999999997</v>
      </c>
      <c r="M251">
        <v>5.9</v>
      </c>
      <c r="N251">
        <v>-3.05</v>
      </c>
      <c r="O251">
        <v>4.32</v>
      </c>
      <c r="P251" t="b">
        <v>1</v>
      </c>
      <c r="Q251">
        <v>0</v>
      </c>
      <c r="R251">
        <v>375</v>
      </c>
      <c r="U251" t="s">
        <v>2013</v>
      </c>
      <c r="V251" t="s">
        <v>2877</v>
      </c>
      <c r="W251">
        <v>0</v>
      </c>
      <c r="X251">
        <v>-17.5</v>
      </c>
      <c r="Y251" t="s">
        <v>3717</v>
      </c>
      <c r="Z251">
        <v>-12.283555123913469</v>
      </c>
      <c r="AA251">
        <v>760</v>
      </c>
      <c r="AB251">
        <v>55816</v>
      </c>
      <c r="AC251" t="s">
        <v>4532</v>
      </c>
      <c r="AD251">
        <v>56.93</v>
      </c>
      <c r="AE251" t="s">
        <v>5396</v>
      </c>
      <c r="AF251" t="s">
        <v>6248</v>
      </c>
      <c r="AG251">
        <v>484</v>
      </c>
      <c r="AH251">
        <v>12</v>
      </c>
      <c r="AI251">
        <v>867954</v>
      </c>
      <c r="AJ251">
        <v>1.32</v>
      </c>
    </row>
    <row r="252" spans="1:36">
      <c r="A252" s="1" t="s">
        <v>286</v>
      </c>
      <c r="B252" t="s">
        <v>1150</v>
      </c>
      <c r="C252" t="str">
        <f>HYPERLINK("https://finance.naver.com/item/coinfo.nhn?code=045100", "A045100")</f>
        <v>A045100</v>
      </c>
      <c r="D252" t="str">
        <f>HYPERLINK("http://comp.fnguide.com/SVO2/ASP/SVD_Consensus.asp?pGB=1&amp;gicode=A045100&amp;cID=&amp;MenuYn=Y&amp;ReportGB=&amp;NewMenuID=108&amp;stkGb=701", "한양이엔지")</f>
        <v>한양이엔지</v>
      </c>
      <c r="E252">
        <v>3</v>
      </c>
      <c r="F252">
        <v>16500</v>
      </c>
      <c r="G252">
        <v>0</v>
      </c>
      <c r="H252">
        <v>7.5</v>
      </c>
      <c r="I252">
        <v>39194</v>
      </c>
      <c r="J252">
        <v>26935</v>
      </c>
      <c r="K252">
        <v>23451</v>
      </c>
      <c r="L252">
        <v>-137.54</v>
      </c>
      <c r="M252">
        <v>-63.24</v>
      </c>
      <c r="N252">
        <v>-42.13</v>
      </c>
      <c r="O252">
        <v>16.54</v>
      </c>
      <c r="P252" t="b">
        <v>0</v>
      </c>
      <c r="Q252">
        <v>0</v>
      </c>
      <c r="R252">
        <v>1641</v>
      </c>
      <c r="U252" t="s">
        <v>2014</v>
      </c>
      <c r="V252" t="s">
        <v>2878</v>
      </c>
      <c r="W252">
        <v>0</v>
      </c>
      <c r="X252">
        <v>46.9</v>
      </c>
      <c r="Y252" t="s">
        <v>3718</v>
      </c>
      <c r="Z252">
        <v>9.4168876569966642E-2</v>
      </c>
      <c r="AA252">
        <v>2970</v>
      </c>
      <c r="AB252">
        <v>237718</v>
      </c>
      <c r="AC252" t="s">
        <v>4533</v>
      </c>
      <c r="AD252">
        <v>45.6</v>
      </c>
      <c r="AE252" t="s">
        <v>5397</v>
      </c>
      <c r="AF252" t="s">
        <v>6249</v>
      </c>
      <c r="AG252">
        <v>7721</v>
      </c>
      <c r="AH252">
        <v>334</v>
      </c>
      <c r="AI252">
        <v>602572</v>
      </c>
      <c r="AJ252">
        <v>3.66</v>
      </c>
    </row>
    <row r="253" spans="1:36">
      <c r="A253" s="1" t="s">
        <v>287</v>
      </c>
      <c r="B253" t="s">
        <v>1151</v>
      </c>
      <c r="C253" t="str">
        <f>HYPERLINK("https://finance.naver.com/item/coinfo.nhn?code=046110", "A046110")</f>
        <v>A046110</v>
      </c>
      <c r="D253" t="str">
        <f>HYPERLINK("http://comp.fnguide.com/SVO2/ASP/SVD_Consensus.asp?pGB=1&amp;gicode=A046110&amp;cID=&amp;MenuYn=Y&amp;ReportGB=&amp;NewMenuID=108&amp;stkGb=701", "한일네트웍스")</f>
        <v>한일네트웍스</v>
      </c>
      <c r="E253">
        <v>3</v>
      </c>
      <c r="F253">
        <v>5060</v>
      </c>
      <c r="G253">
        <v>0</v>
      </c>
      <c r="H253">
        <v>7.53</v>
      </c>
      <c r="I253">
        <v>9712</v>
      </c>
      <c r="J253">
        <v>7261</v>
      </c>
      <c r="K253">
        <v>6564</v>
      </c>
      <c r="L253">
        <v>-91.93</v>
      </c>
      <c r="M253">
        <v>-43.49</v>
      </c>
      <c r="N253">
        <v>-29.73</v>
      </c>
      <c r="O253">
        <v>13.68</v>
      </c>
      <c r="P253" t="b">
        <v>1</v>
      </c>
      <c r="Q253">
        <v>0</v>
      </c>
      <c r="R253">
        <v>589</v>
      </c>
      <c r="U253" t="s">
        <v>2015</v>
      </c>
      <c r="V253" t="s">
        <v>2879</v>
      </c>
      <c r="W253">
        <v>0</v>
      </c>
      <c r="X253">
        <v>13.6</v>
      </c>
      <c r="Y253" t="s">
        <v>3719</v>
      </c>
      <c r="Z253">
        <v>28.70544131727133</v>
      </c>
      <c r="AA253">
        <v>605</v>
      </c>
      <c r="AB253">
        <v>61402</v>
      </c>
      <c r="AC253" t="s">
        <v>4534</v>
      </c>
      <c r="AD253">
        <v>50.1</v>
      </c>
      <c r="AE253" t="s">
        <v>5398</v>
      </c>
      <c r="AF253" t="s">
        <v>6250</v>
      </c>
      <c r="AG253">
        <v>1216</v>
      </c>
      <c r="AH253">
        <v>87</v>
      </c>
      <c r="AJ253">
        <v>5.19</v>
      </c>
    </row>
    <row r="254" spans="1:36">
      <c r="A254" s="1" t="s">
        <v>288</v>
      </c>
      <c r="B254" t="s">
        <v>1152</v>
      </c>
      <c r="C254" t="str">
        <f>HYPERLINK("https://finance.naver.com/item/coinfo.nhn?code=024740", "A024740")</f>
        <v>A024740</v>
      </c>
      <c r="D254" t="str">
        <f>HYPERLINK("http://comp.fnguide.com/SVO2/ASP/SVD_Consensus.asp?pGB=1&amp;gicode=A024740&amp;cID=&amp;MenuYn=Y&amp;ReportGB=&amp;NewMenuID=108&amp;stkGb=701", "한일단조")</f>
        <v>한일단조</v>
      </c>
      <c r="E254">
        <v>3</v>
      </c>
      <c r="F254">
        <v>1880</v>
      </c>
      <c r="G254">
        <v>0</v>
      </c>
      <c r="H254">
        <v>15.68</v>
      </c>
      <c r="I254">
        <v>691</v>
      </c>
      <c r="J254">
        <v>2522</v>
      </c>
      <c r="K254">
        <v>3042</v>
      </c>
      <c r="L254">
        <v>63.23</v>
      </c>
      <c r="M254">
        <v>-34.159999999999997</v>
      </c>
      <c r="N254">
        <v>-61.83</v>
      </c>
      <c r="O254">
        <v>1.47</v>
      </c>
      <c r="P254" t="b">
        <v>1</v>
      </c>
      <c r="Q254">
        <v>0</v>
      </c>
      <c r="R254">
        <v>106</v>
      </c>
      <c r="U254" t="s">
        <v>2016</v>
      </c>
      <c r="V254" t="s">
        <v>2880</v>
      </c>
      <c r="W254">
        <v>0</v>
      </c>
      <c r="X254">
        <v>0</v>
      </c>
      <c r="Y254" t="s">
        <v>3720</v>
      </c>
      <c r="Z254">
        <v>15.7</v>
      </c>
      <c r="AA254">
        <v>562</v>
      </c>
      <c r="AB254">
        <v>214070</v>
      </c>
      <c r="AC254" t="s">
        <v>4535</v>
      </c>
      <c r="AD254">
        <v>31.24</v>
      </c>
      <c r="AE254" t="s">
        <v>5399</v>
      </c>
      <c r="AF254" t="s">
        <v>6251</v>
      </c>
      <c r="AG254">
        <v>1412</v>
      </c>
      <c r="AH254">
        <v>57</v>
      </c>
      <c r="AI254">
        <v>299794</v>
      </c>
    </row>
    <row r="255" spans="1:36">
      <c r="A255" s="1" t="s">
        <v>289</v>
      </c>
      <c r="B255" t="s">
        <v>1153</v>
      </c>
      <c r="C255" t="str">
        <f>HYPERLINK("https://finance.naver.com/item/coinfo.nhn?code=123840", "A123840")</f>
        <v>A123840</v>
      </c>
      <c r="D255" t="str">
        <f>HYPERLINK("http://comp.fnguide.com/SVO2/ASP/SVD_Consensus.asp?pGB=1&amp;gicode=A123840&amp;cID=&amp;MenuYn=Y&amp;ReportGB=&amp;NewMenuID=108&amp;stkGb=701", "한일진공")</f>
        <v>한일진공</v>
      </c>
      <c r="E255">
        <v>3</v>
      </c>
      <c r="F255">
        <v>1120</v>
      </c>
      <c r="G255">
        <v>0</v>
      </c>
      <c r="I255">
        <v>710</v>
      </c>
      <c r="J255">
        <v>1063</v>
      </c>
      <c r="K255">
        <v>1164</v>
      </c>
      <c r="L255">
        <v>36.64</v>
      </c>
      <c r="M255">
        <v>5.05</v>
      </c>
      <c r="N255">
        <v>-3.93</v>
      </c>
      <c r="O255">
        <v>4.34</v>
      </c>
      <c r="P255" t="b">
        <v>0</v>
      </c>
      <c r="Q255">
        <v>0</v>
      </c>
      <c r="R255">
        <v>-523</v>
      </c>
      <c r="U255" t="s">
        <v>2017</v>
      </c>
      <c r="V255" t="s">
        <v>2881</v>
      </c>
      <c r="W255">
        <v>0</v>
      </c>
      <c r="X255">
        <v>0</v>
      </c>
      <c r="Y255" t="s">
        <v>3721</v>
      </c>
      <c r="Z255">
        <v>83.404034852017375</v>
      </c>
      <c r="AA255">
        <v>877</v>
      </c>
      <c r="AB255">
        <v>648600</v>
      </c>
      <c r="AC255" t="s">
        <v>4536</v>
      </c>
      <c r="AD255">
        <v>39.24</v>
      </c>
      <c r="AE255" t="s">
        <v>5400</v>
      </c>
      <c r="AF255" t="s">
        <v>6252</v>
      </c>
      <c r="AG255">
        <v>262</v>
      </c>
      <c r="AH255">
        <v>-84</v>
      </c>
      <c r="AI255">
        <v>248176</v>
      </c>
    </row>
    <row r="256" spans="1:36">
      <c r="A256" s="1" t="s">
        <v>290</v>
      </c>
      <c r="B256" t="s">
        <v>1154</v>
      </c>
      <c r="C256" t="str">
        <f>HYPERLINK("https://finance.naver.com/item/coinfo.nhn?code=007770", "A007770")</f>
        <v>A007770</v>
      </c>
      <c r="D256" t="str">
        <f>HYPERLINK("http://comp.fnguide.com/SVO2/ASP/SVD_Consensus.asp?pGB=1&amp;gicode=A007770&amp;cID=&amp;MenuYn=Y&amp;ReportGB=&amp;NewMenuID=108&amp;stkGb=701", "한일화학")</f>
        <v>한일화학</v>
      </c>
      <c r="E256">
        <v>3</v>
      </c>
      <c r="F256">
        <v>9880</v>
      </c>
      <c r="G256">
        <v>0</v>
      </c>
      <c r="H256">
        <v>24.19</v>
      </c>
      <c r="I256">
        <v>8579</v>
      </c>
      <c r="J256">
        <v>19428</v>
      </c>
      <c r="K256">
        <v>22511</v>
      </c>
      <c r="L256">
        <v>13.16</v>
      </c>
      <c r="M256">
        <v>-96.64</v>
      </c>
      <c r="N256">
        <v>-127.84</v>
      </c>
      <c r="O256">
        <v>2.56</v>
      </c>
      <c r="P256" t="b">
        <v>1</v>
      </c>
      <c r="Q256">
        <v>0</v>
      </c>
      <c r="R256">
        <v>475</v>
      </c>
      <c r="U256" t="s">
        <v>2018</v>
      </c>
      <c r="V256" t="s">
        <v>2882</v>
      </c>
      <c r="W256">
        <v>0</v>
      </c>
      <c r="X256">
        <v>0</v>
      </c>
      <c r="Y256" t="s">
        <v>3722</v>
      </c>
      <c r="Z256">
        <v>1.2025522733448479</v>
      </c>
      <c r="AA256">
        <v>347</v>
      </c>
      <c r="AB256">
        <v>9320</v>
      </c>
      <c r="AC256" t="s">
        <v>4537</v>
      </c>
      <c r="AD256">
        <v>69</v>
      </c>
      <c r="AE256" t="s">
        <v>5401</v>
      </c>
      <c r="AF256" t="s">
        <v>6253</v>
      </c>
      <c r="AG256">
        <v>1087</v>
      </c>
      <c r="AH256">
        <v>23</v>
      </c>
      <c r="AJ256">
        <v>1.3</v>
      </c>
    </row>
    <row r="257" spans="1:36">
      <c r="A257" s="1" t="s">
        <v>291</v>
      </c>
      <c r="B257" t="s">
        <v>1155</v>
      </c>
      <c r="C257" t="str">
        <f>HYPERLINK("https://finance.naver.com/item/coinfo.nhn?code=079170", "A079170")</f>
        <v>A079170</v>
      </c>
      <c r="D257" t="str">
        <f>HYPERLINK("http://comp.fnguide.com/SVO2/ASP/SVD_Consensus.asp?pGB=1&amp;gicode=A079170&amp;cID=&amp;MenuYn=Y&amp;ReportGB=&amp;NewMenuID=108&amp;stkGb=701", "한창산업")</f>
        <v>한창산업</v>
      </c>
      <c r="E257">
        <v>3</v>
      </c>
      <c r="F257">
        <v>7470</v>
      </c>
      <c r="G257">
        <v>0</v>
      </c>
      <c r="H257">
        <v>24.19</v>
      </c>
      <c r="I257">
        <v>3089</v>
      </c>
      <c r="J257">
        <v>7340</v>
      </c>
      <c r="K257">
        <v>8549</v>
      </c>
      <c r="L257">
        <v>58.65</v>
      </c>
      <c r="M257">
        <v>1.74</v>
      </c>
      <c r="N257">
        <v>-14.44</v>
      </c>
      <c r="O257">
        <v>2.42</v>
      </c>
      <c r="P257" t="b">
        <v>1</v>
      </c>
      <c r="Q257">
        <v>0</v>
      </c>
      <c r="R257">
        <v>226</v>
      </c>
      <c r="U257" t="s">
        <v>2019</v>
      </c>
      <c r="V257" t="s">
        <v>2883</v>
      </c>
      <c r="W257">
        <v>0</v>
      </c>
      <c r="X257">
        <v>65.7</v>
      </c>
      <c r="Y257" t="s">
        <v>3723</v>
      </c>
      <c r="Z257">
        <v>-1.023505753116738</v>
      </c>
      <c r="AA257">
        <v>388</v>
      </c>
      <c r="AB257">
        <v>19050</v>
      </c>
      <c r="AC257" t="s">
        <v>4538</v>
      </c>
      <c r="AD257">
        <v>56.21</v>
      </c>
      <c r="AE257" t="s">
        <v>5402</v>
      </c>
      <c r="AF257" t="s">
        <v>6254</v>
      </c>
      <c r="AG257">
        <v>654</v>
      </c>
      <c r="AH257">
        <v>10</v>
      </c>
      <c r="AI257">
        <v>30153</v>
      </c>
      <c r="AJ257">
        <v>2.0099999999999998</v>
      </c>
    </row>
    <row r="258" spans="1:36">
      <c r="A258" s="1" t="s">
        <v>292</v>
      </c>
      <c r="B258" t="s">
        <v>1156</v>
      </c>
      <c r="C258" t="str">
        <f>HYPERLINK("https://finance.naver.com/item/coinfo.nhn?code=054920", "A054920")</f>
        <v>A054920</v>
      </c>
      <c r="D258" t="str">
        <f>HYPERLINK("http://comp.fnguide.com/SVO2/ASP/SVD_Consensus.asp?pGB=1&amp;gicode=A054920&amp;cID=&amp;MenuYn=Y&amp;ReportGB=&amp;NewMenuID=108&amp;stkGb=701", "한컴위드")</f>
        <v>한컴위드</v>
      </c>
      <c r="E258">
        <v>3</v>
      </c>
      <c r="F258">
        <v>6200</v>
      </c>
      <c r="G258">
        <v>0</v>
      </c>
      <c r="H258">
        <v>1.46</v>
      </c>
      <c r="I258">
        <v>11906</v>
      </c>
      <c r="J258">
        <v>7756</v>
      </c>
      <c r="K258">
        <v>6576</v>
      </c>
      <c r="L258">
        <v>-92.03</v>
      </c>
      <c r="M258">
        <v>-25.09</v>
      </c>
      <c r="N258">
        <v>-6.07</v>
      </c>
      <c r="O258">
        <v>18.88</v>
      </c>
      <c r="P258" t="b">
        <v>1</v>
      </c>
      <c r="Q258">
        <v>0</v>
      </c>
      <c r="R258">
        <v>1903</v>
      </c>
      <c r="U258" t="s">
        <v>2020</v>
      </c>
      <c r="V258" t="s">
        <v>2884</v>
      </c>
      <c r="W258">
        <v>0</v>
      </c>
      <c r="X258">
        <v>2490.9</v>
      </c>
      <c r="Y258" t="s">
        <v>3724</v>
      </c>
      <c r="Z258">
        <v>666.56665799145662</v>
      </c>
      <c r="AA258">
        <v>1749</v>
      </c>
      <c r="AB258">
        <v>348584</v>
      </c>
      <c r="AC258" t="s">
        <v>4539</v>
      </c>
      <c r="AD258">
        <v>31.37</v>
      </c>
      <c r="AE258" t="s">
        <v>5403</v>
      </c>
      <c r="AF258" t="s">
        <v>6255</v>
      </c>
      <c r="AG258">
        <v>158</v>
      </c>
      <c r="AH258">
        <v>-4</v>
      </c>
      <c r="AI258">
        <v>3398468</v>
      </c>
    </row>
    <row r="259" spans="1:36">
      <c r="A259" s="1" t="s">
        <v>293</v>
      </c>
      <c r="B259" t="s">
        <v>1157</v>
      </c>
      <c r="C259" t="str">
        <f>HYPERLINK("https://finance.naver.com/item/coinfo.nhn?code=102210", "A102210")</f>
        <v>A102210</v>
      </c>
      <c r="D259" t="str">
        <f>HYPERLINK("http://comp.fnguide.com/SVO2/ASP/SVD_Consensus.asp?pGB=1&amp;gicode=A102210&amp;cID=&amp;MenuYn=Y&amp;ReportGB=&amp;NewMenuID=108&amp;stkGb=701", "해덕파워웨이")</f>
        <v>해덕파워웨이</v>
      </c>
      <c r="E259">
        <v>3</v>
      </c>
      <c r="F259">
        <v>1100</v>
      </c>
      <c r="G259">
        <v>0</v>
      </c>
      <c r="I259">
        <v>0</v>
      </c>
      <c r="J259">
        <v>944</v>
      </c>
      <c r="K259">
        <v>1212</v>
      </c>
      <c r="L259">
        <v>100</v>
      </c>
      <c r="M259">
        <v>14.19</v>
      </c>
      <c r="N259">
        <v>-10.199999999999999</v>
      </c>
      <c r="O259">
        <v>0</v>
      </c>
      <c r="P259" t="b">
        <v>0</v>
      </c>
      <c r="Q259">
        <v>0</v>
      </c>
      <c r="R259">
        <v>-182</v>
      </c>
      <c r="U259" t="s">
        <v>2021</v>
      </c>
      <c r="V259" t="s">
        <v>2885</v>
      </c>
      <c r="W259">
        <v>0</v>
      </c>
      <c r="X259">
        <v>0</v>
      </c>
      <c r="Y259" t="s">
        <v>3725</v>
      </c>
      <c r="Z259">
        <v>-78.099999999999994</v>
      </c>
      <c r="AA259">
        <v>811</v>
      </c>
      <c r="AB259">
        <v>0</v>
      </c>
      <c r="AC259" t="s">
        <v>4540</v>
      </c>
      <c r="AD259">
        <v>15.89</v>
      </c>
      <c r="AE259" t="s">
        <v>5404</v>
      </c>
      <c r="AF259" t="s">
        <v>6021</v>
      </c>
      <c r="AG259">
        <v>378</v>
      </c>
      <c r="AH259">
        <v>-28</v>
      </c>
      <c r="AI259">
        <v>2433472</v>
      </c>
    </row>
    <row r="260" spans="1:36">
      <c r="A260" s="1" t="s">
        <v>294</v>
      </c>
      <c r="B260" t="s">
        <v>1158</v>
      </c>
      <c r="C260" t="str">
        <f>HYPERLINK("https://finance.naver.com/item/coinfo.nhn?code=900270", "A900270")</f>
        <v>A900270</v>
      </c>
      <c r="D260" t="str">
        <f>HYPERLINK("http://comp.fnguide.com/SVO2/ASP/SVD_Consensus.asp?pGB=1&amp;gicode=A900270&amp;cID=&amp;MenuYn=Y&amp;ReportGB=&amp;NewMenuID=108&amp;stkGb=701", "헝셩그룹")</f>
        <v>헝셩그룹</v>
      </c>
      <c r="E260">
        <v>3</v>
      </c>
      <c r="F260">
        <v>628</v>
      </c>
      <c r="G260">
        <v>0</v>
      </c>
      <c r="H260">
        <v>2.62</v>
      </c>
      <c r="I260">
        <v>5442</v>
      </c>
      <c r="J260">
        <v>4258</v>
      </c>
      <c r="K260">
        <v>3921</v>
      </c>
      <c r="L260">
        <v>-766.64</v>
      </c>
      <c r="M260">
        <v>-578.02</v>
      </c>
      <c r="N260">
        <v>-524.41999999999996</v>
      </c>
      <c r="O260">
        <v>12.44</v>
      </c>
      <c r="P260" t="b">
        <v>0</v>
      </c>
      <c r="Q260">
        <v>0</v>
      </c>
      <c r="R260">
        <v>407</v>
      </c>
      <c r="U260" t="s">
        <v>2022</v>
      </c>
      <c r="V260" t="s">
        <v>2886</v>
      </c>
      <c r="W260">
        <v>0</v>
      </c>
      <c r="X260">
        <v>-50.5</v>
      </c>
      <c r="Y260" t="s">
        <v>3726</v>
      </c>
      <c r="Z260">
        <v>-15.529280226390799</v>
      </c>
      <c r="AA260">
        <v>502</v>
      </c>
      <c r="AB260">
        <v>476805</v>
      </c>
      <c r="AC260" t="s">
        <v>4541</v>
      </c>
      <c r="AD260">
        <v>27.42</v>
      </c>
      <c r="AE260" t="s">
        <v>5405</v>
      </c>
      <c r="AF260" t="s">
        <v>6256</v>
      </c>
      <c r="AG260">
        <v>2212</v>
      </c>
      <c r="AH260">
        <v>439</v>
      </c>
    </row>
    <row r="261" spans="1:36">
      <c r="A261" s="1" t="s">
        <v>295</v>
      </c>
      <c r="B261" t="s">
        <v>1159</v>
      </c>
      <c r="C261" t="str">
        <f>HYPERLINK("https://finance.naver.com/item/coinfo.nhn?code=039010", "A039010")</f>
        <v>A039010</v>
      </c>
      <c r="D261" t="str">
        <f>HYPERLINK("http://comp.fnguide.com/SVO2/ASP/SVD_Consensus.asp?pGB=1&amp;gicode=A039010&amp;cID=&amp;MenuYn=Y&amp;ReportGB=&amp;NewMenuID=108&amp;stkGb=701", "현대통신")</f>
        <v>현대통신</v>
      </c>
      <c r="E261">
        <v>3</v>
      </c>
      <c r="F261">
        <v>8000</v>
      </c>
      <c r="G261">
        <v>0</v>
      </c>
      <c r="H261">
        <v>6.49</v>
      </c>
      <c r="I261">
        <v>25602</v>
      </c>
      <c r="J261">
        <v>16306</v>
      </c>
      <c r="K261">
        <v>13665</v>
      </c>
      <c r="L261">
        <v>-220.03</v>
      </c>
      <c r="M261">
        <v>-103.83</v>
      </c>
      <c r="N261">
        <v>-70.81</v>
      </c>
      <c r="O261">
        <v>20.02</v>
      </c>
      <c r="P261" t="b">
        <v>1</v>
      </c>
      <c r="Q261">
        <v>0</v>
      </c>
      <c r="R261">
        <v>1236</v>
      </c>
      <c r="U261" t="s">
        <v>2023</v>
      </c>
      <c r="V261" t="s">
        <v>2887</v>
      </c>
      <c r="W261">
        <v>0</v>
      </c>
      <c r="X261">
        <v>-21.7</v>
      </c>
      <c r="Y261" t="s">
        <v>3727</v>
      </c>
      <c r="Z261">
        <v>-1.0079566552380179</v>
      </c>
      <c r="AA261">
        <v>690</v>
      </c>
      <c r="AB261">
        <v>39376</v>
      </c>
      <c r="AC261" t="s">
        <v>4542</v>
      </c>
      <c r="AD261">
        <v>38.47</v>
      </c>
      <c r="AE261" t="s">
        <v>5406</v>
      </c>
      <c r="AF261" t="s">
        <v>6257</v>
      </c>
      <c r="AG261">
        <v>1046</v>
      </c>
      <c r="AH261">
        <v>105</v>
      </c>
      <c r="AI261">
        <v>597186</v>
      </c>
      <c r="AJ261">
        <v>3.74</v>
      </c>
    </row>
    <row r="262" spans="1:36">
      <c r="A262" s="1" t="s">
        <v>296</v>
      </c>
      <c r="B262" t="s">
        <v>1160</v>
      </c>
      <c r="C262" t="str">
        <f>HYPERLINK("https://finance.naver.com/item/coinfo.nhn?code=092300", "A092300")</f>
        <v>A092300</v>
      </c>
      <c r="D262" t="str">
        <f>HYPERLINK("http://comp.fnguide.com/SVO2/ASP/SVD_Consensus.asp?pGB=1&amp;gicode=A092300&amp;cID=&amp;MenuYn=Y&amp;ReportGB=&amp;NewMenuID=108&amp;stkGb=701", "현우산업")</f>
        <v>현우산업</v>
      </c>
      <c r="E262">
        <v>3</v>
      </c>
      <c r="F262">
        <v>3450</v>
      </c>
      <c r="G262">
        <v>0</v>
      </c>
      <c r="H262">
        <v>23.34</v>
      </c>
      <c r="I262">
        <v>3542</v>
      </c>
      <c r="J262">
        <v>4433</v>
      </c>
      <c r="K262">
        <v>4686</v>
      </c>
      <c r="L262">
        <v>-2.66</v>
      </c>
      <c r="M262">
        <v>-28.49</v>
      </c>
      <c r="N262">
        <v>-35.83</v>
      </c>
      <c r="O262">
        <v>5.6</v>
      </c>
      <c r="P262" t="b">
        <v>1</v>
      </c>
      <c r="Q262">
        <v>0</v>
      </c>
      <c r="R262">
        <v>146</v>
      </c>
      <c r="U262" t="s">
        <v>2024</v>
      </c>
      <c r="V262" t="s">
        <v>2888</v>
      </c>
      <c r="W262">
        <v>0</v>
      </c>
      <c r="X262">
        <v>0</v>
      </c>
      <c r="Y262" t="s">
        <v>3728</v>
      </c>
      <c r="Z262">
        <v>129.63838238569369</v>
      </c>
      <c r="AA262">
        <v>532</v>
      </c>
      <c r="AB262">
        <v>5183159</v>
      </c>
      <c r="AC262" t="s">
        <v>4543</v>
      </c>
      <c r="AD262">
        <v>36.770000000000003</v>
      </c>
      <c r="AE262" t="s">
        <v>5407</v>
      </c>
      <c r="AF262" t="s">
        <v>6258</v>
      </c>
      <c r="AG262">
        <v>1685</v>
      </c>
      <c r="AH262">
        <v>51</v>
      </c>
      <c r="AI262">
        <v>375227</v>
      </c>
      <c r="AJ262">
        <v>2.93</v>
      </c>
    </row>
    <row r="263" spans="1:36">
      <c r="A263" s="1" t="s">
        <v>297</v>
      </c>
      <c r="B263" t="s">
        <v>1161</v>
      </c>
      <c r="C263" t="str">
        <f>HYPERLINK("https://finance.naver.com/item/coinfo.nhn?code=039610", "A039610")</f>
        <v>A039610</v>
      </c>
      <c r="D263" t="str">
        <f>HYPERLINK("http://comp.fnguide.com/SVO2/ASP/SVD_Consensus.asp?pGB=1&amp;gicode=A039610&amp;cID=&amp;MenuYn=Y&amp;ReportGB=&amp;NewMenuID=108&amp;stkGb=701", "화성밸브")</f>
        <v>화성밸브</v>
      </c>
      <c r="E263">
        <v>3</v>
      </c>
      <c r="F263">
        <v>5620</v>
      </c>
      <c r="G263">
        <v>0</v>
      </c>
      <c r="H263">
        <v>20.77</v>
      </c>
      <c r="I263">
        <v>3822</v>
      </c>
      <c r="J263">
        <v>5724</v>
      </c>
      <c r="K263">
        <v>6265</v>
      </c>
      <c r="L263">
        <v>32</v>
      </c>
      <c r="M263">
        <v>-1.85</v>
      </c>
      <c r="N263">
        <v>-11.47</v>
      </c>
      <c r="O263">
        <v>4.34</v>
      </c>
      <c r="P263" t="b">
        <v>1</v>
      </c>
      <c r="Q263">
        <v>0</v>
      </c>
      <c r="R263">
        <v>283</v>
      </c>
      <c r="U263" t="s">
        <v>2025</v>
      </c>
      <c r="V263" t="s">
        <v>2889</v>
      </c>
      <c r="W263">
        <v>0</v>
      </c>
      <c r="X263">
        <v>-66.400000000000006</v>
      </c>
      <c r="Y263" t="s">
        <v>3729</v>
      </c>
      <c r="Z263">
        <v>-14.27004434300752</v>
      </c>
      <c r="AA263">
        <v>585</v>
      </c>
      <c r="AB263">
        <v>64586</v>
      </c>
      <c r="AC263" t="s">
        <v>4544</v>
      </c>
      <c r="AD263">
        <v>46.7</v>
      </c>
      <c r="AE263" t="s">
        <v>5408</v>
      </c>
      <c r="AF263" t="s">
        <v>6259</v>
      </c>
      <c r="AG263">
        <v>681</v>
      </c>
      <c r="AH263">
        <v>34</v>
      </c>
    </row>
    <row r="264" spans="1:36">
      <c r="A264" s="1" t="s">
        <v>298</v>
      </c>
      <c r="B264" t="s">
        <v>1162</v>
      </c>
      <c r="C264" t="str">
        <f>HYPERLINK("https://finance.naver.com/item/coinfo.nhn?code=126640", "A126640")</f>
        <v>A126640</v>
      </c>
      <c r="D264" t="str">
        <f>HYPERLINK("http://comp.fnguide.com/SVO2/ASP/SVD_Consensus.asp?pGB=1&amp;gicode=A126640&amp;cID=&amp;MenuYn=Y&amp;ReportGB=&amp;NewMenuID=108&amp;stkGb=701", "화신정공")</f>
        <v>화신정공</v>
      </c>
      <c r="E264">
        <v>3</v>
      </c>
      <c r="F264">
        <v>1870</v>
      </c>
      <c r="G264">
        <v>0</v>
      </c>
      <c r="H264">
        <v>13.48</v>
      </c>
      <c r="I264">
        <v>950</v>
      </c>
      <c r="J264">
        <v>1762</v>
      </c>
      <c r="K264">
        <v>1992</v>
      </c>
      <c r="L264">
        <v>49.21</v>
      </c>
      <c r="M264">
        <v>5.79</v>
      </c>
      <c r="N264">
        <v>-6.55</v>
      </c>
      <c r="O264">
        <v>3.28</v>
      </c>
      <c r="P264" t="b">
        <v>1</v>
      </c>
      <c r="Q264">
        <v>0</v>
      </c>
      <c r="R264">
        <v>95</v>
      </c>
      <c r="U264" t="s">
        <v>2026</v>
      </c>
      <c r="V264" t="s">
        <v>2890</v>
      </c>
      <c r="W264">
        <v>0</v>
      </c>
      <c r="X264">
        <v>9.1</v>
      </c>
      <c r="Y264" t="s">
        <v>3730</v>
      </c>
      <c r="Z264">
        <v>-2.8209135986481781</v>
      </c>
      <c r="AA264">
        <v>680</v>
      </c>
      <c r="AB264">
        <v>116088351</v>
      </c>
      <c r="AC264" t="s">
        <v>4545</v>
      </c>
      <c r="AD264">
        <v>35.1</v>
      </c>
      <c r="AE264" t="s">
        <v>5409</v>
      </c>
      <c r="AF264" t="s">
        <v>6260</v>
      </c>
      <c r="AG264">
        <v>2311</v>
      </c>
      <c r="AH264">
        <v>40</v>
      </c>
      <c r="AI264">
        <v>1317977</v>
      </c>
      <c r="AJ264">
        <v>2.34</v>
      </c>
    </row>
    <row r="265" spans="1:36">
      <c r="A265" s="1" t="s">
        <v>299</v>
      </c>
      <c r="B265" t="s">
        <v>1163</v>
      </c>
      <c r="C265" t="str">
        <f>HYPERLINK("https://finance.naver.com/item/coinfo.nhn?code=115160", "A115160")</f>
        <v>A115160</v>
      </c>
      <c r="D265" t="str">
        <f>HYPERLINK("http://comp.fnguide.com/SVO2/ASP/SVD_Consensus.asp?pGB=1&amp;gicode=A115160&amp;cID=&amp;MenuYn=Y&amp;ReportGB=&amp;NewMenuID=108&amp;stkGb=701", "휴맥스")</f>
        <v>휴맥스</v>
      </c>
      <c r="E265">
        <v>3</v>
      </c>
      <c r="F265">
        <v>5580</v>
      </c>
      <c r="G265">
        <v>0</v>
      </c>
      <c r="H265">
        <v>6.34</v>
      </c>
      <c r="I265">
        <v>4519</v>
      </c>
      <c r="J265">
        <v>10367</v>
      </c>
      <c r="K265">
        <v>12028</v>
      </c>
      <c r="L265">
        <v>19.02</v>
      </c>
      <c r="M265">
        <v>-85.78</v>
      </c>
      <c r="N265">
        <v>-115.56</v>
      </c>
      <c r="O265">
        <v>2.52</v>
      </c>
      <c r="P265" t="b">
        <v>1</v>
      </c>
      <c r="Q265">
        <v>0</v>
      </c>
      <c r="R265">
        <v>820</v>
      </c>
      <c r="U265" t="s">
        <v>2027</v>
      </c>
      <c r="V265" t="s">
        <v>2891</v>
      </c>
      <c r="W265">
        <v>0</v>
      </c>
      <c r="X265">
        <v>0</v>
      </c>
      <c r="Y265" t="s">
        <v>3731</v>
      </c>
      <c r="Z265">
        <v>-79.7</v>
      </c>
      <c r="AA265">
        <v>1609</v>
      </c>
      <c r="AB265">
        <v>2571641</v>
      </c>
      <c r="AC265" t="s">
        <v>4546</v>
      </c>
      <c r="AD265">
        <v>26.88</v>
      </c>
      <c r="AE265" t="s">
        <v>5410</v>
      </c>
      <c r="AF265" t="s">
        <v>6261</v>
      </c>
      <c r="AG265">
        <v>11739</v>
      </c>
      <c r="AH265">
        <v>229</v>
      </c>
      <c r="AI265">
        <v>848701</v>
      </c>
    </row>
    <row r="266" spans="1:36">
      <c r="A266" s="1" t="s">
        <v>300</v>
      </c>
      <c r="B266" t="s">
        <v>1164</v>
      </c>
      <c r="C266" t="str">
        <f>HYPERLINK("https://finance.naver.com/item/coinfo.nhn?code=028080", "A028080")</f>
        <v>A028080</v>
      </c>
      <c r="D266" t="str">
        <f>HYPERLINK("http://comp.fnguide.com/SVO2/ASP/SVD_Consensus.asp?pGB=1&amp;gicode=A028080&amp;cID=&amp;MenuYn=Y&amp;ReportGB=&amp;NewMenuID=108&amp;stkGb=701", "휴맥스홀딩스")</f>
        <v>휴맥스홀딩스</v>
      </c>
      <c r="E266">
        <v>3</v>
      </c>
      <c r="F266">
        <v>4495</v>
      </c>
      <c r="G266">
        <v>0</v>
      </c>
      <c r="H266">
        <v>6.77</v>
      </c>
      <c r="I266">
        <v>3400</v>
      </c>
      <c r="J266">
        <v>9791</v>
      </c>
      <c r="K266">
        <v>11608</v>
      </c>
      <c r="L266">
        <v>24.37</v>
      </c>
      <c r="M266">
        <v>-117.82</v>
      </c>
      <c r="N266">
        <v>-158.22999999999999</v>
      </c>
      <c r="O266">
        <v>1.93</v>
      </c>
      <c r="P266" t="b">
        <v>1</v>
      </c>
      <c r="Q266">
        <v>0</v>
      </c>
      <c r="R266">
        <v>464</v>
      </c>
      <c r="U266" t="s">
        <v>2028</v>
      </c>
      <c r="V266" t="s">
        <v>2892</v>
      </c>
      <c r="W266">
        <v>0</v>
      </c>
      <c r="X266">
        <v>0</v>
      </c>
      <c r="Y266" t="s">
        <v>3499</v>
      </c>
      <c r="Z266">
        <v>0</v>
      </c>
      <c r="AA266">
        <v>565</v>
      </c>
      <c r="AB266">
        <v>159306</v>
      </c>
      <c r="AC266" t="s">
        <v>4547</v>
      </c>
      <c r="AD266">
        <v>36.549999999999997</v>
      </c>
      <c r="AE266" t="s">
        <v>5411</v>
      </c>
      <c r="AF266" t="s">
        <v>6262</v>
      </c>
      <c r="AG266">
        <v>93</v>
      </c>
      <c r="AH266">
        <v>10</v>
      </c>
      <c r="AI266">
        <v>1659448</v>
      </c>
    </row>
    <row r="267" spans="1:36">
      <c r="A267" s="1" t="s">
        <v>301</v>
      </c>
      <c r="B267" t="s">
        <v>1165</v>
      </c>
      <c r="C267" t="str">
        <f>HYPERLINK("https://finance.naver.com/item/coinfo.nhn?code=065510", "A065510")</f>
        <v>A065510</v>
      </c>
      <c r="D267" t="str">
        <f>HYPERLINK("http://comp.fnguide.com/SVO2/ASP/SVD_Consensus.asp?pGB=1&amp;gicode=A065510&amp;cID=&amp;MenuYn=Y&amp;ReportGB=&amp;NewMenuID=108&amp;stkGb=701", "휴비츠")</f>
        <v>휴비츠</v>
      </c>
      <c r="E267">
        <v>3</v>
      </c>
      <c r="F267">
        <v>7500</v>
      </c>
      <c r="G267">
        <v>0</v>
      </c>
      <c r="H267">
        <v>12.57</v>
      </c>
      <c r="I267">
        <v>8522</v>
      </c>
      <c r="J267">
        <v>8389</v>
      </c>
      <c r="K267">
        <v>8351</v>
      </c>
      <c r="L267">
        <v>-13.63</v>
      </c>
      <c r="M267">
        <v>-11.85</v>
      </c>
      <c r="N267">
        <v>-11.35</v>
      </c>
      <c r="O267">
        <v>8.15</v>
      </c>
      <c r="P267" t="b">
        <v>1</v>
      </c>
      <c r="Q267">
        <v>0</v>
      </c>
      <c r="R267">
        <v>663</v>
      </c>
      <c r="S267">
        <v>-290</v>
      </c>
      <c r="T267">
        <v>-143.69999999999999</v>
      </c>
      <c r="U267" t="s">
        <v>2029</v>
      </c>
      <c r="V267" t="s">
        <v>2893</v>
      </c>
      <c r="W267">
        <v>0</v>
      </c>
      <c r="X267">
        <v>0</v>
      </c>
      <c r="Y267" t="s">
        <v>3732</v>
      </c>
      <c r="Z267">
        <v>3.6143554263397442</v>
      </c>
      <c r="AA267">
        <v>891</v>
      </c>
      <c r="AB267">
        <v>77412</v>
      </c>
      <c r="AC267" t="s">
        <v>4548</v>
      </c>
      <c r="AD267">
        <v>26.62</v>
      </c>
      <c r="AE267" t="s">
        <v>5412</v>
      </c>
      <c r="AF267" t="s">
        <v>6263</v>
      </c>
      <c r="AG267">
        <v>880</v>
      </c>
      <c r="AH267">
        <v>117</v>
      </c>
      <c r="AI267">
        <v>1281476</v>
      </c>
      <c r="AJ267">
        <v>1.8</v>
      </c>
    </row>
    <row r="268" spans="1:36">
      <c r="A268" s="1" t="s">
        <v>302</v>
      </c>
      <c r="B268" t="s">
        <v>1166</v>
      </c>
      <c r="C268" t="str">
        <f>HYPERLINK("https://finance.naver.com/item/coinfo.nhn?code=084110", "A084110")</f>
        <v>A084110</v>
      </c>
      <c r="D268" t="str">
        <f>HYPERLINK("http://comp.fnguide.com/SVO2/ASP/SVD_Consensus.asp?pGB=1&amp;gicode=A084110&amp;cID=&amp;MenuYn=Y&amp;ReportGB=&amp;NewMenuID=108&amp;stkGb=701", "휴온스글로벌")</f>
        <v>휴온스글로벌</v>
      </c>
      <c r="E268">
        <v>3</v>
      </c>
      <c r="F268">
        <v>30900</v>
      </c>
      <c r="G268">
        <v>0</v>
      </c>
      <c r="H268">
        <v>15.12</v>
      </c>
      <c r="I268">
        <v>32155</v>
      </c>
      <c r="J268">
        <v>32914</v>
      </c>
      <c r="K268">
        <v>33130</v>
      </c>
      <c r="L268">
        <v>-4.0599999999999996</v>
      </c>
      <c r="M268">
        <v>-6.52</v>
      </c>
      <c r="N268">
        <v>-7.22</v>
      </c>
      <c r="O268">
        <v>7.64</v>
      </c>
      <c r="P268" t="b">
        <v>1</v>
      </c>
      <c r="Q268">
        <v>0</v>
      </c>
      <c r="R268">
        <v>2325</v>
      </c>
      <c r="U268" t="s">
        <v>2030</v>
      </c>
      <c r="V268" t="s">
        <v>2894</v>
      </c>
      <c r="W268">
        <v>0</v>
      </c>
      <c r="X268">
        <v>35.9</v>
      </c>
      <c r="Y268" t="s">
        <v>3733</v>
      </c>
      <c r="Z268">
        <v>5.5971417756304653</v>
      </c>
      <c r="AA268">
        <v>3542</v>
      </c>
      <c r="AB268">
        <v>63626</v>
      </c>
      <c r="AC268" t="s">
        <v>4549</v>
      </c>
      <c r="AD268">
        <v>56.66</v>
      </c>
      <c r="AE268" t="s">
        <v>5413</v>
      </c>
      <c r="AF268" t="s">
        <v>6264</v>
      </c>
      <c r="AG268">
        <v>4494</v>
      </c>
      <c r="AH268">
        <v>729</v>
      </c>
      <c r="AI268">
        <v>137681</v>
      </c>
      <c r="AJ268">
        <v>1.08</v>
      </c>
    </row>
    <row r="269" spans="1:36">
      <c r="A269" s="1" t="s">
        <v>303</v>
      </c>
      <c r="B269" t="s">
        <v>1167</v>
      </c>
      <c r="C269" t="str">
        <f>HYPERLINK("https://finance.naver.com/item/coinfo.nhn?code=010240", "A010240")</f>
        <v>A010240</v>
      </c>
      <c r="D269" t="str">
        <f>HYPERLINK("http://comp.fnguide.com/SVO2/ASP/SVD_Consensus.asp?pGB=1&amp;gicode=A010240&amp;cID=&amp;MenuYn=Y&amp;ReportGB=&amp;NewMenuID=108&amp;stkGb=701", "흥국")</f>
        <v>흥국</v>
      </c>
      <c r="E269">
        <v>3</v>
      </c>
      <c r="F269">
        <v>6130</v>
      </c>
      <c r="G269">
        <v>0</v>
      </c>
      <c r="H269">
        <v>7.79</v>
      </c>
      <c r="I269">
        <v>9106</v>
      </c>
      <c r="J269">
        <v>7144</v>
      </c>
      <c r="K269">
        <v>6586</v>
      </c>
      <c r="L269">
        <v>-48.55</v>
      </c>
      <c r="M269">
        <v>-16.53</v>
      </c>
      <c r="N269">
        <v>-7.44</v>
      </c>
      <c r="O269">
        <v>12.37</v>
      </c>
      <c r="P269" t="b">
        <v>1</v>
      </c>
      <c r="Q269">
        <v>0</v>
      </c>
      <c r="R269">
        <v>568</v>
      </c>
      <c r="U269" t="s">
        <v>2031</v>
      </c>
      <c r="V269" t="s">
        <v>2895</v>
      </c>
      <c r="W269">
        <v>0</v>
      </c>
      <c r="X269">
        <v>60.8</v>
      </c>
      <c r="Y269" t="s">
        <v>3734</v>
      </c>
      <c r="Z269">
        <v>51.503500197006737</v>
      </c>
      <c r="AA269">
        <v>755</v>
      </c>
      <c r="AB269">
        <v>102631</v>
      </c>
      <c r="AC269" t="s">
        <v>4550</v>
      </c>
      <c r="AD269">
        <v>51.18</v>
      </c>
      <c r="AE269" t="s">
        <v>5414</v>
      </c>
      <c r="AF269" t="s">
        <v>6265</v>
      </c>
      <c r="AG269">
        <v>1045</v>
      </c>
      <c r="AH269">
        <v>89</v>
      </c>
      <c r="AI269">
        <v>772811</v>
      </c>
      <c r="AJ269">
        <v>3.39</v>
      </c>
    </row>
    <row r="270" spans="1:36">
      <c r="A270" s="1" t="s">
        <v>304</v>
      </c>
      <c r="B270" t="s">
        <v>1168</v>
      </c>
      <c r="C270" t="str">
        <f>HYPERLINK("https://finance.naver.com/item/coinfo.nhn?code=023760", "A023760")</f>
        <v>A023760</v>
      </c>
      <c r="D270" t="str">
        <f>HYPERLINK("http://comp.fnguide.com/SVO2/ASP/SVD_Consensus.asp?pGB=1&amp;gicode=A023760&amp;cID=&amp;MenuYn=Y&amp;ReportGB=&amp;NewMenuID=108&amp;stkGb=701", "한국캐피탈")</f>
        <v>한국캐피탈</v>
      </c>
      <c r="E270">
        <v>3</v>
      </c>
      <c r="F270">
        <v>597</v>
      </c>
      <c r="G270">
        <v>0</v>
      </c>
      <c r="H270">
        <v>4.9800000000000004</v>
      </c>
      <c r="I270">
        <v>786</v>
      </c>
      <c r="J270">
        <v>859</v>
      </c>
      <c r="K270">
        <v>880</v>
      </c>
      <c r="L270">
        <v>-31.68</v>
      </c>
      <c r="M270">
        <v>-43.89</v>
      </c>
      <c r="N270">
        <v>-47.36</v>
      </c>
      <c r="O270">
        <v>6.88</v>
      </c>
      <c r="P270" t="b">
        <v>1</v>
      </c>
      <c r="Q270">
        <v>0</v>
      </c>
      <c r="R270">
        <v>109</v>
      </c>
      <c r="U270" t="s">
        <v>2032</v>
      </c>
      <c r="V270" t="s">
        <v>2896</v>
      </c>
      <c r="W270">
        <v>0</v>
      </c>
      <c r="Y270" t="s">
        <v>3605</v>
      </c>
      <c r="Z270">
        <v>-5.3165201775832287</v>
      </c>
      <c r="AA270">
        <v>1884</v>
      </c>
      <c r="AB270">
        <v>352928</v>
      </c>
      <c r="AC270" t="s">
        <v>4551</v>
      </c>
      <c r="AD270">
        <v>80.41</v>
      </c>
      <c r="AE270" t="s">
        <v>5415</v>
      </c>
      <c r="AF270" t="s">
        <v>6266</v>
      </c>
      <c r="AG270">
        <v>564</v>
      </c>
      <c r="AH270">
        <v>269</v>
      </c>
      <c r="AI270">
        <v>3578001</v>
      </c>
      <c r="AJ270">
        <v>4.59</v>
      </c>
    </row>
    <row r="271" spans="1:36">
      <c r="A271" s="1" t="s">
        <v>305</v>
      </c>
      <c r="B271" t="s">
        <v>1169</v>
      </c>
      <c r="C271" t="str">
        <f>HYPERLINK("https://finance.naver.com/item/coinfo.nhn?code=039740", "A039740")</f>
        <v>A039740</v>
      </c>
      <c r="D271" t="str">
        <f>HYPERLINK("http://comp.fnguide.com/SVO2/ASP/SVD_Consensus.asp?pGB=1&amp;gicode=A039740&amp;cID=&amp;MenuYn=Y&amp;ReportGB=&amp;NewMenuID=108&amp;stkGb=701", "한국정보공학")</f>
        <v>한국정보공학</v>
      </c>
      <c r="E271">
        <v>3</v>
      </c>
      <c r="F271">
        <v>3650</v>
      </c>
      <c r="G271">
        <v>0</v>
      </c>
      <c r="H271">
        <v>13.63</v>
      </c>
      <c r="I271">
        <v>1434</v>
      </c>
      <c r="J271">
        <v>3595</v>
      </c>
      <c r="K271">
        <v>4209</v>
      </c>
      <c r="L271">
        <v>60.72</v>
      </c>
      <c r="M271">
        <v>1.51</v>
      </c>
      <c r="N271">
        <v>-15.32</v>
      </c>
      <c r="O271">
        <v>2.27</v>
      </c>
      <c r="P271" t="b">
        <v>1</v>
      </c>
      <c r="Q271">
        <v>0</v>
      </c>
      <c r="R271">
        <v>223</v>
      </c>
      <c r="U271" t="s">
        <v>2033</v>
      </c>
      <c r="V271" t="s">
        <v>2897</v>
      </c>
      <c r="W271">
        <v>0</v>
      </c>
      <c r="X271">
        <v>0</v>
      </c>
      <c r="Y271" t="s">
        <v>3499</v>
      </c>
      <c r="Z271">
        <v>0</v>
      </c>
      <c r="AA271">
        <v>293</v>
      </c>
      <c r="AB271">
        <v>723478</v>
      </c>
      <c r="AC271" t="s">
        <v>4552</v>
      </c>
      <c r="AD271">
        <v>48.62</v>
      </c>
      <c r="AE271" t="s">
        <v>5416</v>
      </c>
      <c r="AF271" t="s">
        <v>6267</v>
      </c>
      <c r="AG271">
        <v>1617</v>
      </c>
      <c r="AH271">
        <v>10</v>
      </c>
    </row>
    <row r="272" spans="1:36">
      <c r="A272" s="1" t="s">
        <v>306</v>
      </c>
      <c r="B272" t="s">
        <v>1170</v>
      </c>
      <c r="C272" t="str">
        <f>HYPERLINK("https://finance.naver.com/item/coinfo.nhn?code=101680", "A101680")</f>
        <v>A101680</v>
      </c>
      <c r="D272" t="str">
        <f>HYPERLINK("http://comp.fnguide.com/SVO2/ASP/SVD_Consensus.asp?pGB=1&amp;gicode=A101680&amp;cID=&amp;MenuYn=Y&amp;ReportGB=&amp;NewMenuID=108&amp;stkGb=701", "한국정밀기계")</f>
        <v>한국정밀기계</v>
      </c>
      <c r="E272">
        <v>3</v>
      </c>
      <c r="F272">
        <v>1675</v>
      </c>
      <c r="G272">
        <v>0</v>
      </c>
      <c r="I272">
        <v>0</v>
      </c>
      <c r="J272">
        <v>4067</v>
      </c>
      <c r="K272">
        <v>5223</v>
      </c>
      <c r="L272">
        <v>100</v>
      </c>
      <c r="M272">
        <v>-142.81</v>
      </c>
      <c r="N272">
        <v>-211.82</v>
      </c>
      <c r="O272">
        <v>0</v>
      </c>
      <c r="P272" t="b">
        <v>0</v>
      </c>
      <c r="Q272">
        <v>0</v>
      </c>
      <c r="R272">
        <v>-146</v>
      </c>
      <c r="U272" t="s">
        <v>2034</v>
      </c>
      <c r="V272" t="s">
        <v>2898</v>
      </c>
      <c r="W272">
        <v>0</v>
      </c>
      <c r="X272">
        <v>0</v>
      </c>
      <c r="Y272" t="s">
        <v>3499</v>
      </c>
      <c r="Z272">
        <v>0</v>
      </c>
      <c r="AA272">
        <v>141</v>
      </c>
      <c r="AB272">
        <v>17438</v>
      </c>
      <c r="AC272" t="s">
        <v>4553</v>
      </c>
      <c r="AD272">
        <v>53.16</v>
      </c>
      <c r="AE272" t="s">
        <v>5417</v>
      </c>
      <c r="AF272" t="s">
        <v>6021</v>
      </c>
      <c r="AG272">
        <v>453</v>
      </c>
      <c r="AH272">
        <v>-14</v>
      </c>
      <c r="AI272">
        <v>1231</v>
      </c>
    </row>
    <row r="273" spans="1:36">
      <c r="A273" s="1" t="s">
        <v>307</v>
      </c>
      <c r="B273" t="s">
        <v>1171</v>
      </c>
      <c r="C273" t="str">
        <f>HYPERLINK("https://finance.naver.com/item/coinfo.nhn?code=075130", "A075130")</f>
        <v>A075130</v>
      </c>
      <c r="D273" t="str">
        <f>HYPERLINK("http://comp.fnguide.com/SVO2/ASP/SVD_Consensus.asp?pGB=1&amp;gicode=A075130&amp;cID=&amp;MenuYn=Y&amp;ReportGB=&amp;NewMenuID=108&amp;stkGb=701", "플랜티넷")</f>
        <v>플랜티넷</v>
      </c>
      <c r="E273">
        <v>3</v>
      </c>
      <c r="F273">
        <v>6250</v>
      </c>
      <c r="G273">
        <v>0</v>
      </c>
      <c r="H273">
        <v>17.25</v>
      </c>
      <c r="I273">
        <v>2686</v>
      </c>
      <c r="J273">
        <v>6377</v>
      </c>
      <c r="K273">
        <v>7426</v>
      </c>
      <c r="L273">
        <v>57.02</v>
      </c>
      <c r="M273">
        <v>-2.0299999999999998</v>
      </c>
      <c r="N273">
        <v>-18.809999999999999</v>
      </c>
      <c r="O273">
        <v>2.42</v>
      </c>
      <c r="P273" t="b">
        <v>1</v>
      </c>
      <c r="Q273">
        <v>0</v>
      </c>
      <c r="R273">
        <v>264</v>
      </c>
      <c r="U273" t="s">
        <v>2035</v>
      </c>
      <c r="V273" t="s">
        <v>2899</v>
      </c>
      <c r="W273">
        <v>0</v>
      </c>
      <c r="X273">
        <v>5.8</v>
      </c>
      <c r="Y273" t="s">
        <v>3735</v>
      </c>
      <c r="Z273">
        <v>45.179054078502489</v>
      </c>
      <c r="AA273">
        <v>560</v>
      </c>
      <c r="AB273">
        <v>819929</v>
      </c>
      <c r="AC273" t="s">
        <v>4554</v>
      </c>
      <c r="AD273">
        <v>28.12</v>
      </c>
      <c r="AE273" t="s">
        <v>5418</v>
      </c>
      <c r="AF273" t="s">
        <v>6268</v>
      </c>
      <c r="AG273">
        <v>236</v>
      </c>
      <c r="AH273">
        <v>27</v>
      </c>
      <c r="AI273">
        <v>1375196</v>
      </c>
      <c r="AJ273">
        <v>5.49</v>
      </c>
    </row>
    <row r="274" spans="1:36">
      <c r="A274" s="1" t="s">
        <v>308</v>
      </c>
      <c r="B274" t="s">
        <v>1172</v>
      </c>
      <c r="C274" t="str">
        <f>HYPERLINK("https://finance.naver.com/item/coinfo.nhn?code=225590", "A225590")</f>
        <v>A225590</v>
      </c>
      <c r="D274" t="str">
        <f>HYPERLINK("http://comp.fnguide.com/SVO2/ASP/SVD_Consensus.asp?pGB=1&amp;gicode=A225590&amp;cID=&amp;MenuYn=Y&amp;ReportGB=&amp;NewMenuID=108&amp;stkGb=701", "패션플랫폼")</f>
        <v>패션플랫폼</v>
      </c>
      <c r="E274">
        <v>3</v>
      </c>
      <c r="F274">
        <v>1295</v>
      </c>
      <c r="G274">
        <v>0</v>
      </c>
      <c r="H274">
        <v>8.16</v>
      </c>
      <c r="I274">
        <v>2303</v>
      </c>
      <c r="J274">
        <v>1841</v>
      </c>
      <c r="K274">
        <v>1709</v>
      </c>
      <c r="L274">
        <v>-77.87</v>
      </c>
      <c r="M274">
        <v>-42.16</v>
      </c>
      <c r="N274">
        <v>-32.01</v>
      </c>
      <c r="O274">
        <v>11.92</v>
      </c>
      <c r="P274" t="b">
        <v>1</v>
      </c>
      <c r="Q274">
        <v>0</v>
      </c>
      <c r="R274">
        <v>156</v>
      </c>
      <c r="U274" t="s">
        <v>2036</v>
      </c>
      <c r="V274" t="s">
        <v>2900</v>
      </c>
      <c r="W274">
        <v>0</v>
      </c>
      <c r="X274">
        <v>2.8</v>
      </c>
      <c r="Y274" t="s">
        <v>3736</v>
      </c>
      <c r="Z274">
        <v>0</v>
      </c>
      <c r="AA274">
        <v>345</v>
      </c>
      <c r="AB274">
        <v>95570</v>
      </c>
      <c r="AC274" t="s">
        <v>4555</v>
      </c>
      <c r="AD274">
        <v>53.61</v>
      </c>
      <c r="AE274" t="s">
        <v>5419</v>
      </c>
      <c r="AF274" t="s">
        <v>6269</v>
      </c>
      <c r="AG274">
        <v>794</v>
      </c>
      <c r="AH274">
        <v>61</v>
      </c>
      <c r="AI274">
        <v>1029831</v>
      </c>
    </row>
    <row r="275" spans="1:36">
      <c r="A275" s="1" t="s">
        <v>309</v>
      </c>
      <c r="B275" t="s">
        <v>1173</v>
      </c>
      <c r="C275" t="str">
        <f>HYPERLINK("https://finance.naver.com/item/coinfo.nhn?code=251970", "A251970")</f>
        <v>A251970</v>
      </c>
      <c r="D275" t="str">
        <f>HYPERLINK("http://comp.fnguide.com/SVO2/ASP/SVD_Consensus.asp?pGB=1&amp;gicode=A251970&amp;cID=&amp;MenuYn=Y&amp;ReportGB=&amp;NewMenuID=108&amp;stkGb=701", "펌텍코리아")</f>
        <v>펌텍코리아</v>
      </c>
      <c r="E275">
        <v>3</v>
      </c>
      <c r="F275">
        <v>16250</v>
      </c>
      <c r="G275">
        <v>0</v>
      </c>
      <c r="H275">
        <v>11.08</v>
      </c>
      <c r="I275">
        <v>35579</v>
      </c>
      <c r="J275">
        <v>21345</v>
      </c>
      <c r="K275">
        <v>17300</v>
      </c>
      <c r="L275">
        <v>-118.95</v>
      </c>
      <c r="M275">
        <v>-31.35</v>
      </c>
      <c r="N275">
        <v>-6.46</v>
      </c>
      <c r="O275">
        <v>23.7</v>
      </c>
      <c r="P275" t="b">
        <v>1</v>
      </c>
      <c r="Q275">
        <v>0</v>
      </c>
      <c r="R275">
        <v>1661</v>
      </c>
      <c r="U275" t="s">
        <v>2037</v>
      </c>
      <c r="V275" t="s">
        <v>2901</v>
      </c>
      <c r="W275">
        <v>0</v>
      </c>
      <c r="X275">
        <v>-3.2</v>
      </c>
      <c r="Y275" t="s">
        <v>3737</v>
      </c>
      <c r="Z275">
        <v>-4.7638557762942018</v>
      </c>
      <c r="AA275">
        <v>2015</v>
      </c>
      <c r="AB275">
        <v>80998</v>
      </c>
      <c r="AC275" t="s">
        <v>4556</v>
      </c>
      <c r="AD275">
        <v>61.4</v>
      </c>
      <c r="AE275" t="s">
        <v>5420</v>
      </c>
      <c r="AF275" t="s">
        <v>6270</v>
      </c>
      <c r="AG275">
        <v>1754</v>
      </c>
      <c r="AH275">
        <v>269</v>
      </c>
      <c r="AI275">
        <v>287382</v>
      </c>
      <c r="AJ275">
        <v>1.79</v>
      </c>
    </row>
    <row r="276" spans="1:36">
      <c r="A276" s="1" t="s">
        <v>310</v>
      </c>
      <c r="B276" t="s">
        <v>1174</v>
      </c>
      <c r="C276" t="str">
        <f>HYPERLINK("https://finance.naver.com/item/coinfo.nhn?code=043370", "A043370")</f>
        <v>A043370</v>
      </c>
      <c r="D276" t="str">
        <f>HYPERLINK("http://comp.fnguide.com/SVO2/ASP/SVD_Consensus.asp?pGB=1&amp;gicode=A043370&amp;cID=&amp;MenuYn=Y&amp;ReportGB=&amp;NewMenuID=108&amp;stkGb=701", "평화정공")</f>
        <v>평화정공</v>
      </c>
      <c r="E276">
        <v>3</v>
      </c>
      <c r="F276">
        <v>8590</v>
      </c>
      <c r="G276">
        <v>-0.12</v>
      </c>
      <c r="H276">
        <v>5.73</v>
      </c>
      <c r="I276">
        <v>28926</v>
      </c>
      <c r="J276">
        <v>28412</v>
      </c>
      <c r="K276">
        <v>28266</v>
      </c>
      <c r="L276">
        <v>-236.74</v>
      </c>
      <c r="M276">
        <v>-230.76</v>
      </c>
      <c r="N276">
        <v>-229.06</v>
      </c>
      <c r="O276">
        <v>8.18</v>
      </c>
      <c r="P276" t="b">
        <v>1</v>
      </c>
      <c r="Q276">
        <v>0</v>
      </c>
      <c r="R276">
        <v>1506</v>
      </c>
      <c r="S276">
        <v>486</v>
      </c>
      <c r="T276">
        <v>-67.7</v>
      </c>
      <c r="U276" t="s">
        <v>2038</v>
      </c>
      <c r="V276" t="s">
        <v>2902</v>
      </c>
      <c r="W276">
        <v>-48.438044839549541</v>
      </c>
      <c r="X276">
        <v>-87.9</v>
      </c>
      <c r="Y276" t="s">
        <v>3738</v>
      </c>
      <c r="Z276">
        <v>-12.27419855721225</v>
      </c>
      <c r="AA276">
        <v>1804</v>
      </c>
      <c r="AB276">
        <v>530852</v>
      </c>
      <c r="AC276" t="s">
        <v>4557</v>
      </c>
      <c r="AD276">
        <v>54.63</v>
      </c>
      <c r="AE276" t="s">
        <v>5421</v>
      </c>
      <c r="AF276" t="s">
        <v>6271</v>
      </c>
      <c r="AG276">
        <v>10884</v>
      </c>
      <c r="AH276">
        <v>156</v>
      </c>
      <c r="AI276">
        <v>463438</v>
      </c>
      <c r="AJ276">
        <v>2.09</v>
      </c>
    </row>
    <row r="277" spans="1:36">
      <c r="A277" s="1" t="s">
        <v>311</v>
      </c>
      <c r="B277" t="s">
        <v>1175</v>
      </c>
      <c r="C277" t="str">
        <f>HYPERLINK("https://finance.naver.com/item/coinfo.nhn?code=141020", "A141020")</f>
        <v>A141020</v>
      </c>
      <c r="D277" t="str">
        <f>HYPERLINK("http://comp.fnguide.com/SVO2/ASP/SVD_Consensus.asp?pGB=1&amp;gicode=A141020&amp;cID=&amp;MenuYn=Y&amp;ReportGB=&amp;NewMenuID=108&amp;stkGb=701", "포티스")</f>
        <v>포티스</v>
      </c>
      <c r="E277">
        <v>3</v>
      </c>
      <c r="F277">
        <v>108</v>
      </c>
      <c r="G277">
        <v>0</v>
      </c>
      <c r="I277">
        <v>59</v>
      </c>
      <c r="J277">
        <v>150</v>
      </c>
      <c r="K277">
        <v>176</v>
      </c>
      <c r="L277">
        <v>45.12</v>
      </c>
      <c r="M277">
        <v>-39.07</v>
      </c>
      <c r="N277">
        <v>-62.99</v>
      </c>
      <c r="O277">
        <v>2.2400000000000002</v>
      </c>
      <c r="P277" t="b">
        <v>0</v>
      </c>
      <c r="Q277">
        <v>0</v>
      </c>
      <c r="R277">
        <v>-344</v>
      </c>
      <c r="U277" t="s">
        <v>2039</v>
      </c>
      <c r="V277" t="s">
        <v>2903</v>
      </c>
      <c r="W277">
        <v>0</v>
      </c>
      <c r="X277">
        <v>0</v>
      </c>
      <c r="Y277" t="s">
        <v>3499</v>
      </c>
      <c r="Z277">
        <v>0</v>
      </c>
      <c r="AA277">
        <v>188</v>
      </c>
      <c r="AB277">
        <v>0</v>
      </c>
      <c r="AC277" t="s">
        <v>4558</v>
      </c>
      <c r="AD277">
        <v>0.85</v>
      </c>
      <c r="AE277" t="s">
        <v>5422</v>
      </c>
      <c r="AF277" t="s">
        <v>6272</v>
      </c>
      <c r="AG277">
        <v>386</v>
      </c>
      <c r="AH277">
        <v>-173</v>
      </c>
    </row>
    <row r="278" spans="1:36">
      <c r="A278" s="1" t="s">
        <v>312</v>
      </c>
      <c r="B278" t="s">
        <v>1176</v>
      </c>
      <c r="C278" t="str">
        <f>HYPERLINK("https://finance.naver.com/item/coinfo.nhn?code=005670", "A005670")</f>
        <v>A005670</v>
      </c>
      <c r="D278" t="str">
        <f>HYPERLINK("http://comp.fnguide.com/SVO2/ASP/SVD_Consensus.asp?pGB=1&amp;gicode=A005670&amp;cID=&amp;MenuYn=Y&amp;ReportGB=&amp;NewMenuID=108&amp;stkGb=701", "푸드웰")</f>
        <v>푸드웰</v>
      </c>
      <c r="E278">
        <v>3</v>
      </c>
      <c r="F278">
        <v>7570</v>
      </c>
      <c r="G278">
        <v>0</v>
      </c>
      <c r="H278">
        <v>1.96</v>
      </c>
      <c r="I278">
        <v>29242</v>
      </c>
      <c r="J278">
        <v>16402</v>
      </c>
      <c r="K278">
        <v>12753</v>
      </c>
      <c r="L278">
        <v>-286.27999999999997</v>
      </c>
      <c r="M278">
        <v>-116.67</v>
      </c>
      <c r="N278">
        <v>-68.47</v>
      </c>
      <c r="O278">
        <v>29.38</v>
      </c>
      <c r="P278" t="b">
        <v>1</v>
      </c>
      <c r="Q278">
        <v>0</v>
      </c>
      <c r="R278">
        <v>3109</v>
      </c>
      <c r="U278" t="s">
        <v>2040</v>
      </c>
      <c r="V278" t="s">
        <v>2904</v>
      </c>
      <c r="W278">
        <v>0</v>
      </c>
      <c r="X278">
        <v>-90.7</v>
      </c>
      <c r="Y278" t="s">
        <v>3739</v>
      </c>
      <c r="Z278">
        <v>35.9504940035307</v>
      </c>
      <c r="AA278">
        <v>757</v>
      </c>
      <c r="AB278">
        <v>580513</v>
      </c>
      <c r="AC278" t="s">
        <v>4559</v>
      </c>
      <c r="AD278">
        <v>45.81</v>
      </c>
      <c r="AE278" t="s">
        <v>5423</v>
      </c>
      <c r="AF278" t="s">
        <v>6273</v>
      </c>
      <c r="AG278">
        <v>1439</v>
      </c>
      <c r="AH278">
        <v>86</v>
      </c>
      <c r="AI278">
        <v>280618</v>
      </c>
      <c r="AJ278">
        <v>1.64</v>
      </c>
    </row>
    <row r="279" spans="1:36">
      <c r="A279" s="1" t="s">
        <v>313</v>
      </c>
      <c r="B279" t="s">
        <v>1177</v>
      </c>
      <c r="C279" t="str">
        <f>HYPERLINK("https://finance.naver.com/item/coinfo.nhn?code=007330", "A007330")</f>
        <v>A007330</v>
      </c>
      <c r="D279" t="str">
        <f>HYPERLINK("http://comp.fnguide.com/SVO2/ASP/SVD_Consensus.asp?pGB=1&amp;gicode=A007330&amp;cID=&amp;MenuYn=Y&amp;ReportGB=&amp;NewMenuID=108&amp;stkGb=701", "푸른저축은행")</f>
        <v>푸른저축은행</v>
      </c>
      <c r="E279">
        <v>3</v>
      </c>
      <c r="F279">
        <v>8960</v>
      </c>
      <c r="G279">
        <v>0</v>
      </c>
      <c r="H279">
        <v>4.8</v>
      </c>
      <c r="I279">
        <v>27517</v>
      </c>
      <c r="J279">
        <v>24448</v>
      </c>
      <c r="K279">
        <v>23576</v>
      </c>
      <c r="L279">
        <v>-207.11</v>
      </c>
      <c r="M279">
        <v>-172.86</v>
      </c>
      <c r="N279">
        <v>-163.13</v>
      </c>
      <c r="O279">
        <v>9.75</v>
      </c>
      <c r="P279" t="b">
        <v>1</v>
      </c>
      <c r="Q279">
        <v>0</v>
      </c>
      <c r="R279">
        <v>1631</v>
      </c>
      <c r="U279" t="s">
        <v>2041</v>
      </c>
      <c r="V279" t="s">
        <v>2905</v>
      </c>
      <c r="W279">
        <v>0</v>
      </c>
      <c r="Y279" t="s">
        <v>3605</v>
      </c>
      <c r="Z279">
        <v>-16.70070494091571</v>
      </c>
      <c r="AA279">
        <v>1351</v>
      </c>
      <c r="AB279">
        <v>33349</v>
      </c>
      <c r="AC279" t="s">
        <v>4560</v>
      </c>
      <c r="AD279">
        <v>62.3</v>
      </c>
      <c r="AE279" t="s">
        <v>5424</v>
      </c>
      <c r="AF279" t="s">
        <v>6274</v>
      </c>
      <c r="AG279">
        <v>559</v>
      </c>
      <c r="AH279">
        <v>321</v>
      </c>
      <c r="AI279">
        <v>3243332</v>
      </c>
      <c r="AJ279">
        <v>7.02</v>
      </c>
    </row>
    <row r="280" spans="1:36">
      <c r="A280" s="1" t="s">
        <v>314</v>
      </c>
      <c r="B280" t="s">
        <v>1178</v>
      </c>
      <c r="C280" t="str">
        <f>HYPERLINK("https://finance.naver.com/item/coinfo.nhn?code=093380", "A093380")</f>
        <v>A093380</v>
      </c>
      <c r="D280" t="str">
        <f>HYPERLINK("http://comp.fnguide.com/SVO2/ASP/SVD_Consensus.asp?pGB=1&amp;gicode=A093380&amp;cID=&amp;MenuYn=Y&amp;ReportGB=&amp;NewMenuID=108&amp;stkGb=701", "풍강")</f>
        <v>풍강</v>
      </c>
      <c r="E280">
        <v>3</v>
      </c>
      <c r="F280">
        <v>3235</v>
      </c>
      <c r="G280">
        <v>0</v>
      </c>
      <c r="H280">
        <v>173.62</v>
      </c>
      <c r="I280">
        <v>765</v>
      </c>
      <c r="J280">
        <v>4120</v>
      </c>
      <c r="K280">
        <v>5073</v>
      </c>
      <c r="L280">
        <v>76.34</v>
      </c>
      <c r="M280">
        <v>-27.36</v>
      </c>
      <c r="N280">
        <v>-56.83</v>
      </c>
      <c r="O280">
        <v>0.96</v>
      </c>
      <c r="P280" t="b">
        <v>0</v>
      </c>
      <c r="Q280">
        <v>0</v>
      </c>
      <c r="R280">
        <v>16</v>
      </c>
      <c r="U280" t="s">
        <v>2042</v>
      </c>
      <c r="V280" t="s">
        <v>2906</v>
      </c>
      <c r="W280">
        <v>0</v>
      </c>
      <c r="X280">
        <v>-85.6</v>
      </c>
      <c r="Y280" t="s">
        <v>3740</v>
      </c>
      <c r="Z280">
        <v>-44.306787438561223</v>
      </c>
      <c r="AA280">
        <v>320</v>
      </c>
      <c r="AB280">
        <v>3584278</v>
      </c>
      <c r="AC280" t="s">
        <v>4561</v>
      </c>
      <c r="AD280">
        <v>33.229999999999997</v>
      </c>
      <c r="AE280" t="s">
        <v>5425</v>
      </c>
      <c r="AF280" t="s">
        <v>6275</v>
      </c>
      <c r="AG280">
        <v>639</v>
      </c>
      <c r="AH280">
        <v>2</v>
      </c>
      <c r="AI280">
        <v>291091</v>
      </c>
      <c r="AJ280">
        <v>1.08</v>
      </c>
    </row>
    <row r="281" spans="1:36">
      <c r="A281" s="1" t="s">
        <v>315</v>
      </c>
      <c r="B281" t="s">
        <v>1179</v>
      </c>
      <c r="C281" t="str">
        <f>HYPERLINK("https://finance.naver.com/item/coinfo.nhn?code=195440", "A195440")</f>
        <v>A195440</v>
      </c>
      <c r="D281" t="str">
        <f>HYPERLINK("http://comp.fnguide.com/SVO2/ASP/SVD_Consensus.asp?pGB=1&amp;gicode=A195440&amp;cID=&amp;MenuYn=Y&amp;ReportGB=&amp;NewMenuID=108&amp;stkGb=701", "퓨전")</f>
        <v>퓨전</v>
      </c>
      <c r="E281">
        <v>3</v>
      </c>
      <c r="F281">
        <v>2075</v>
      </c>
      <c r="G281">
        <v>0</v>
      </c>
      <c r="I281">
        <v>0</v>
      </c>
      <c r="J281">
        <v>4513</v>
      </c>
      <c r="K281">
        <v>5795</v>
      </c>
      <c r="L281">
        <v>100</v>
      </c>
      <c r="M281">
        <v>-117.49</v>
      </c>
      <c r="N281">
        <v>-179.29</v>
      </c>
      <c r="O281">
        <v>0</v>
      </c>
      <c r="P281" t="b">
        <v>0</v>
      </c>
      <c r="Q281">
        <v>0</v>
      </c>
      <c r="R281">
        <v>-3655</v>
      </c>
      <c r="U281" t="s">
        <v>2043</v>
      </c>
      <c r="V281" t="s">
        <v>2907</v>
      </c>
      <c r="W281">
        <v>0</v>
      </c>
      <c r="X281">
        <v>0</v>
      </c>
      <c r="Y281" t="s">
        <v>3741</v>
      </c>
      <c r="Z281">
        <v>-70</v>
      </c>
      <c r="AA281">
        <v>86</v>
      </c>
      <c r="AB281">
        <v>0</v>
      </c>
      <c r="AC281" t="s">
        <v>4562</v>
      </c>
      <c r="AD281">
        <v>3.27</v>
      </c>
      <c r="AE281" t="s">
        <v>5426</v>
      </c>
      <c r="AF281" t="s">
        <v>6021</v>
      </c>
      <c r="AG281">
        <v>163</v>
      </c>
      <c r="AH281">
        <v>-104</v>
      </c>
      <c r="AI281">
        <v>2982</v>
      </c>
    </row>
    <row r="282" spans="1:36">
      <c r="A282" s="1" t="s">
        <v>316</v>
      </c>
      <c r="B282" t="s">
        <v>1180</v>
      </c>
      <c r="C282" t="str">
        <f>HYPERLINK("https://finance.naver.com/item/coinfo.nhn?code=053610", "A053610")</f>
        <v>A053610</v>
      </c>
      <c r="D282" t="str">
        <f>HYPERLINK("http://comp.fnguide.com/SVO2/ASP/SVD_Consensus.asp?pGB=1&amp;gicode=A053610&amp;cID=&amp;MenuYn=Y&amp;ReportGB=&amp;NewMenuID=108&amp;stkGb=701", "프로텍")</f>
        <v>프로텍</v>
      </c>
      <c r="E282">
        <v>3</v>
      </c>
      <c r="F282">
        <v>25250</v>
      </c>
      <c r="G282">
        <v>0</v>
      </c>
      <c r="H282">
        <v>4.5999999999999996</v>
      </c>
      <c r="I282">
        <v>50190</v>
      </c>
      <c r="J282">
        <v>32730</v>
      </c>
      <c r="K282">
        <v>27769</v>
      </c>
      <c r="L282">
        <v>-98.77</v>
      </c>
      <c r="M282">
        <v>-29.63</v>
      </c>
      <c r="N282">
        <v>-9.9700000000000006</v>
      </c>
      <c r="O282">
        <v>18.82</v>
      </c>
      <c r="P282" t="b">
        <v>1</v>
      </c>
      <c r="Q282">
        <v>0</v>
      </c>
      <c r="R282">
        <v>3502</v>
      </c>
      <c r="U282" t="s">
        <v>2044</v>
      </c>
      <c r="V282" t="s">
        <v>2908</v>
      </c>
      <c r="W282">
        <v>0</v>
      </c>
      <c r="X282">
        <v>-83.2</v>
      </c>
      <c r="Y282" t="s">
        <v>3742</v>
      </c>
      <c r="Z282">
        <v>-12.026627173118531</v>
      </c>
      <c r="AA282">
        <v>2778</v>
      </c>
      <c r="AB282">
        <v>82772</v>
      </c>
      <c r="AC282" t="s">
        <v>4563</v>
      </c>
      <c r="AD282">
        <v>31.25</v>
      </c>
      <c r="AE282" t="s">
        <v>5427</v>
      </c>
      <c r="AF282" t="s">
        <v>6276</v>
      </c>
      <c r="AG282">
        <v>1798</v>
      </c>
      <c r="AH282">
        <v>460</v>
      </c>
      <c r="AI282">
        <v>1232000</v>
      </c>
      <c r="AJ282">
        <v>2.48</v>
      </c>
    </row>
    <row r="283" spans="1:36">
      <c r="A283" s="1" t="s">
        <v>317</v>
      </c>
      <c r="B283" t="s">
        <v>1181</v>
      </c>
      <c r="C283" t="str">
        <f>HYPERLINK("https://finance.naver.com/item/coinfo.nhn?code=237750", "A237750")</f>
        <v>A237750</v>
      </c>
      <c r="D283" t="str">
        <f>HYPERLINK("http://comp.fnguide.com/SVO2/ASP/SVD_Consensus.asp?pGB=1&amp;gicode=A237750&amp;cID=&amp;MenuYn=Y&amp;ReportGB=&amp;NewMenuID=108&amp;stkGb=701", "피앤씨테크")</f>
        <v>피앤씨테크</v>
      </c>
      <c r="E283">
        <v>3</v>
      </c>
      <c r="F283">
        <v>5800</v>
      </c>
      <c r="G283">
        <v>0</v>
      </c>
      <c r="H283">
        <v>12.95</v>
      </c>
      <c r="I283">
        <v>5704</v>
      </c>
      <c r="J283">
        <v>7792</v>
      </c>
      <c r="K283">
        <v>8385</v>
      </c>
      <c r="L283">
        <v>1.66</v>
      </c>
      <c r="M283">
        <v>-34.340000000000003</v>
      </c>
      <c r="N283">
        <v>-44.57</v>
      </c>
      <c r="O283">
        <v>4.9400000000000004</v>
      </c>
      <c r="P283" t="b">
        <v>1</v>
      </c>
      <c r="Q283">
        <v>0</v>
      </c>
      <c r="R283">
        <v>428</v>
      </c>
      <c r="U283" t="s">
        <v>2045</v>
      </c>
      <c r="V283" t="s">
        <v>2909</v>
      </c>
      <c r="W283">
        <v>0</v>
      </c>
      <c r="X283">
        <v>-28.1</v>
      </c>
      <c r="Y283" t="s">
        <v>3743</v>
      </c>
      <c r="Z283">
        <v>-24.512343335767021</v>
      </c>
      <c r="AA283">
        <v>377</v>
      </c>
      <c r="AB283">
        <v>38491</v>
      </c>
      <c r="AC283" t="s">
        <v>4564</v>
      </c>
      <c r="AD283">
        <v>47.54</v>
      </c>
      <c r="AE283" t="s">
        <v>5428</v>
      </c>
      <c r="AF283" t="s">
        <v>6277</v>
      </c>
      <c r="AG283">
        <v>214</v>
      </c>
      <c r="AH283">
        <v>23</v>
      </c>
    </row>
    <row r="284" spans="1:36">
      <c r="A284" s="1" t="s">
        <v>318</v>
      </c>
      <c r="B284" t="s">
        <v>1182</v>
      </c>
      <c r="C284" t="str">
        <f>HYPERLINK("https://finance.naver.com/item/coinfo.nhn?code=017890", "A017890")</f>
        <v>A017890</v>
      </c>
      <c r="D284" t="str">
        <f>HYPERLINK("http://comp.fnguide.com/SVO2/ASP/SVD_Consensus.asp?pGB=1&amp;gicode=A017890&amp;cID=&amp;MenuYn=Y&amp;ReportGB=&amp;NewMenuID=108&amp;stkGb=701", "한국알콜")</f>
        <v>한국알콜</v>
      </c>
      <c r="E284">
        <v>3</v>
      </c>
      <c r="F284">
        <v>13000</v>
      </c>
      <c r="G284">
        <v>0</v>
      </c>
      <c r="H284">
        <v>5.1100000000000003</v>
      </c>
      <c r="I284">
        <v>20009</v>
      </c>
      <c r="J284">
        <v>17556</v>
      </c>
      <c r="K284">
        <v>16859</v>
      </c>
      <c r="L284">
        <v>-53.92</v>
      </c>
      <c r="M284">
        <v>-35.049999999999997</v>
      </c>
      <c r="N284">
        <v>-29.69</v>
      </c>
      <c r="O284">
        <v>9.9700000000000006</v>
      </c>
      <c r="P284" t="b">
        <v>1</v>
      </c>
      <c r="Q284">
        <v>0</v>
      </c>
      <c r="R284">
        <v>1472</v>
      </c>
      <c r="U284" t="s">
        <v>2046</v>
      </c>
      <c r="V284" t="s">
        <v>2910</v>
      </c>
      <c r="W284">
        <v>0</v>
      </c>
      <c r="X284">
        <v>61.6</v>
      </c>
      <c r="Y284" t="s">
        <v>3744</v>
      </c>
      <c r="Z284">
        <v>23.074733196424681</v>
      </c>
      <c r="AA284">
        <v>2809</v>
      </c>
      <c r="AB284">
        <v>184640</v>
      </c>
      <c r="AC284" t="s">
        <v>4565</v>
      </c>
      <c r="AD284">
        <v>40.49</v>
      </c>
      <c r="AE284" t="s">
        <v>5429</v>
      </c>
      <c r="AF284" t="s">
        <v>6278</v>
      </c>
      <c r="AG284">
        <v>2914</v>
      </c>
      <c r="AH284">
        <v>331</v>
      </c>
      <c r="AI284">
        <v>1025167</v>
      </c>
      <c r="AJ284">
        <v>1.33</v>
      </c>
    </row>
    <row r="285" spans="1:36">
      <c r="A285" s="1" t="s">
        <v>319</v>
      </c>
      <c r="B285" t="s">
        <v>1183</v>
      </c>
      <c r="C285" t="str">
        <f>HYPERLINK("https://finance.naver.com/item/coinfo.nhn?code=002230", "A002230")</f>
        <v>A002230</v>
      </c>
      <c r="D285" t="str">
        <f>HYPERLINK("http://comp.fnguide.com/SVO2/ASP/SVD_Consensus.asp?pGB=1&amp;gicode=A002230&amp;cID=&amp;MenuYn=Y&amp;ReportGB=&amp;NewMenuID=108&amp;stkGb=701", "피에스텍")</f>
        <v>피에스텍</v>
      </c>
      <c r="E285">
        <v>3</v>
      </c>
      <c r="F285">
        <v>4780</v>
      </c>
      <c r="G285">
        <v>0</v>
      </c>
      <c r="H285">
        <v>31.29</v>
      </c>
      <c r="I285">
        <v>2306</v>
      </c>
      <c r="J285">
        <v>5801</v>
      </c>
      <c r="K285">
        <v>6794</v>
      </c>
      <c r="L285">
        <v>51.75</v>
      </c>
      <c r="M285">
        <v>-21.35</v>
      </c>
      <c r="N285">
        <v>-42.13</v>
      </c>
      <c r="O285">
        <v>2.2599999999999998</v>
      </c>
      <c r="P285" t="b">
        <v>1</v>
      </c>
      <c r="Q285">
        <v>0</v>
      </c>
      <c r="R285">
        <v>129</v>
      </c>
      <c r="U285" t="s">
        <v>2047</v>
      </c>
      <c r="V285" t="s">
        <v>2911</v>
      </c>
      <c r="W285">
        <v>0</v>
      </c>
      <c r="X285">
        <v>0</v>
      </c>
      <c r="Y285" t="s">
        <v>3745</v>
      </c>
      <c r="Z285">
        <v>6.8612184096737749</v>
      </c>
      <c r="AA285">
        <v>940</v>
      </c>
      <c r="AB285">
        <v>281370</v>
      </c>
      <c r="AC285" t="s">
        <v>4566</v>
      </c>
      <c r="AD285">
        <v>49.86</v>
      </c>
      <c r="AE285" t="s">
        <v>5430</v>
      </c>
      <c r="AF285" t="s">
        <v>6279</v>
      </c>
      <c r="AG285">
        <v>507</v>
      </c>
      <c r="AH285">
        <v>-17</v>
      </c>
      <c r="AI285">
        <v>2020900</v>
      </c>
      <c r="AJ285">
        <v>3.72</v>
      </c>
    </row>
    <row r="286" spans="1:36">
      <c r="A286" s="1" t="s">
        <v>320</v>
      </c>
      <c r="B286" t="s">
        <v>1184</v>
      </c>
      <c r="C286" t="str">
        <f>HYPERLINK("https://finance.naver.com/item/coinfo.nhn?code=006140", "A006140")</f>
        <v>A006140</v>
      </c>
      <c r="D286" t="str">
        <f>HYPERLINK("http://comp.fnguide.com/SVO2/ASP/SVD_Consensus.asp?pGB=1&amp;gicode=A006140&amp;cID=&amp;MenuYn=Y&amp;ReportGB=&amp;NewMenuID=108&amp;stkGb=701", "피제이전자")</f>
        <v>피제이전자</v>
      </c>
      <c r="E286">
        <v>3</v>
      </c>
      <c r="F286">
        <v>6350</v>
      </c>
      <c r="G286">
        <v>0</v>
      </c>
      <c r="H286">
        <v>15.81</v>
      </c>
      <c r="I286">
        <v>5049</v>
      </c>
      <c r="J286">
        <v>6318</v>
      </c>
      <c r="K286">
        <v>6678</v>
      </c>
      <c r="L286">
        <v>20.48</v>
      </c>
      <c r="M286">
        <v>0.51</v>
      </c>
      <c r="N286">
        <v>-5.17</v>
      </c>
      <c r="O286">
        <v>5.6</v>
      </c>
      <c r="P286" t="b">
        <v>1</v>
      </c>
      <c r="Q286">
        <v>0</v>
      </c>
      <c r="R286">
        <v>326</v>
      </c>
      <c r="U286" t="s">
        <v>2048</v>
      </c>
      <c r="V286" t="s">
        <v>2912</v>
      </c>
      <c r="W286">
        <v>0</v>
      </c>
      <c r="X286">
        <v>-16.7</v>
      </c>
      <c r="Y286" t="s">
        <v>3746</v>
      </c>
      <c r="Z286">
        <v>-8.4208356350198521</v>
      </c>
      <c r="AA286">
        <v>953</v>
      </c>
      <c r="AB286">
        <v>17238</v>
      </c>
      <c r="AC286" t="s">
        <v>4567</v>
      </c>
      <c r="AD286">
        <v>70.180000000000007</v>
      </c>
      <c r="AE286" t="s">
        <v>5431</v>
      </c>
      <c r="AF286" t="s">
        <v>6280</v>
      </c>
      <c r="AG286">
        <v>993</v>
      </c>
      <c r="AH286">
        <v>59</v>
      </c>
      <c r="AI286">
        <v>50000</v>
      </c>
      <c r="AJ286">
        <v>2.72</v>
      </c>
    </row>
    <row r="287" spans="1:36">
      <c r="A287" s="1" t="s">
        <v>321</v>
      </c>
      <c r="B287" t="s">
        <v>1185</v>
      </c>
      <c r="C287" t="str">
        <f>HYPERLINK("https://finance.naver.com/item/coinfo.nhn?code=087600", "A087600")</f>
        <v>A087600</v>
      </c>
      <c r="D287" t="str">
        <f>HYPERLINK("http://comp.fnguide.com/SVO2/ASP/SVD_Consensus.asp?pGB=1&amp;gicode=A087600&amp;cID=&amp;MenuYn=Y&amp;ReportGB=&amp;NewMenuID=108&amp;stkGb=701", "픽셀플러스")</f>
        <v>픽셀플러스</v>
      </c>
      <c r="E287">
        <v>3</v>
      </c>
      <c r="F287">
        <v>7140</v>
      </c>
      <c r="G287">
        <v>0</v>
      </c>
      <c r="I287">
        <v>0</v>
      </c>
      <c r="J287">
        <v>7350</v>
      </c>
      <c r="K287">
        <v>9439</v>
      </c>
      <c r="L287">
        <v>100</v>
      </c>
      <c r="M287">
        <v>-2.94</v>
      </c>
      <c r="N287">
        <v>-32.19</v>
      </c>
      <c r="O287">
        <v>0</v>
      </c>
      <c r="P287" t="b">
        <v>0</v>
      </c>
      <c r="Q287">
        <v>0</v>
      </c>
      <c r="R287">
        <v>-752</v>
      </c>
      <c r="U287" t="s">
        <v>2049</v>
      </c>
      <c r="V287" t="s">
        <v>2913</v>
      </c>
      <c r="W287">
        <v>0</v>
      </c>
      <c r="X287">
        <v>0</v>
      </c>
      <c r="Y287" t="s">
        <v>3499</v>
      </c>
      <c r="Z287">
        <v>0</v>
      </c>
      <c r="AA287">
        <v>583</v>
      </c>
      <c r="AB287">
        <v>54178</v>
      </c>
      <c r="AC287" t="s">
        <v>4568</v>
      </c>
      <c r="AD287">
        <v>31.77</v>
      </c>
      <c r="AE287" t="s">
        <v>5432</v>
      </c>
      <c r="AF287" t="s">
        <v>6021</v>
      </c>
      <c r="AG287">
        <v>353</v>
      </c>
      <c r="AH287">
        <v>-83</v>
      </c>
      <c r="AI287">
        <v>1797727</v>
      </c>
    </row>
    <row r="288" spans="1:36">
      <c r="A288" s="1" t="s">
        <v>322</v>
      </c>
      <c r="B288" t="s">
        <v>1186</v>
      </c>
      <c r="C288" t="str">
        <f>HYPERLINK("https://finance.naver.com/item/coinfo.nhn?code=003380", "A003380")</f>
        <v>A003380</v>
      </c>
      <c r="D288" t="str">
        <f>HYPERLINK("http://comp.fnguide.com/SVO2/ASP/SVD_Consensus.asp?pGB=1&amp;gicode=A003380&amp;cID=&amp;MenuYn=Y&amp;ReportGB=&amp;NewMenuID=108&amp;stkGb=701", "하림지주")</f>
        <v>하림지주</v>
      </c>
      <c r="E288">
        <v>3</v>
      </c>
      <c r="F288">
        <v>8280</v>
      </c>
      <c r="G288">
        <v>0</v>
      </c>
      <c r="H288">
        <v>14.43</v>
      </c>
      <c r="I288">
        <v>17828</v>
      </c>
      <c r="J288">
        <v>20996</v>
      </c>
      <c r="K288">
        <v>21896</v>
      </c>
      <c r="L288">
        <v>-115.32</v>
      </c>
      <c r="M288">
        <v>-153.57</v>
      </c>
      <c r="N288">
        <v>-164.44</v>
      </c>
      <c r="O288">
        <v>6.13</v>
      </c>
      <c r="P288" t="b">
        <v>1</v>
      </c>
      <c r="Q288">
        <v>0</v>
      </c>
      <c r="R288">
        <v>594</v>
      </c>
      <c r="U288" t="s">
        <v>2050</v>
      </c>
      <c r="V288" t="s">
        <v>2914</v>
      </c>
      <c r="W288">
        <v>0</v>
      </c>
      <c r="X288">
        <v>10.8</v>
      </c>
      <c r="Y288" t="s">
        <v>3747</v>
      </c>
      <c r="Z288">
        <v>-12.144249207381669</v>
      </c>
      <c r="AA288">
        <v>7646</v>
      </c>
      <c r="AB288">
        <v>735424</v>
      </c>
      <c r="AC288" t="s">
        <v>4569</v>
      </c>
      <c r="AD288">
        <v>51.5</v>
      </c>
      <c r="AE288" t="s">
        <v>5433</v>
      </c>
      <c r="AF288" t="s">
        <v>6281</v>
      </c>
      <c r="AG288">
        <v>73503</v>
      </c>
      <c r="AH288">
        <v>3065</v>
      </c>
      <c r="AI288">
        <v>16832117</v>
      </c>
      <c r="AJ288">
        <v>0.57999999999999996</v>
      </c>
    </row>
    <row r="289" spans="1:36">
      <c r="A289" s="1" t="s">
        <v>323</v>
      </c>
      <c r="B289" t="s">
        <v>1187</v>
      </c>
      <c r="C289" t="str">
        <f>HYPERLINK("https://finance.naver.com/item/coinfo.nhn?code=013030", "A013030")</f>
        <v>A013030</v>
      </c>
      <c r="D289" t="str">
        <f>HYPERLINK("http://comp.fnguide.com/SVO2/ASP/SVD_Consensus.asp?pGB=1&amp;gicode=A013030&amp;cID=&amp;MenuYn=Y&amp;ReportGB=&amp;NewMenuID=108&amp;stkGb=701", "하이록코리아")</f>
        <v>하이록코리아</v>
      </c>
      <c r="E289">
        <v>3</v>
      </c>
      <c r="F289">
        <v>14300</v>
      </c>
      <c r="G289">
        <v>-0.85</v>
      </c>
      <c r="H289">
        <v>20.28</v>
      </c>
      <c r="I289">
        <v>14391</v>
      </c>
      <c r="J289">
        <v>21715</v>
      </c>
      <c r="K289">
        <v>23796</v>
      </c>
      <c r="L289">
        <v>-0.64</v>
      </c>
      <c r="M289">
        <v>-51.85</v>
      </c>
      <c r="N289">
        <v>-66.41</v>
      </c>
      <c r="O289">
        <v>4.3</v>
      </c>
      <c r="P289" t="b">
        <v>1</v>
      </c>
      <c r="Q289">
        <v>0</v>
      </c>
      <c r="R289">
        <v>947</v>
      </c>
      <c r="S289">
        <v>764</v>
      </c>
      <c r="T289">
        <v>-19.3</v>
      </c>
      <c r="U289" t="s">
        <v>2051</v>
      </c>
      <c r="V289" t="s">
        <v>2915</v>
      </c>
      <c r="W289">
        <v>-23.791619366101269</v>
      </c>
      <c r="X289">
        <v>-26.1</v>
      </c>
      <c r="Y289" t="s">
        <v>3748</v>
      </c>
      <c r="Z289">
        <v>-25.994112367867029</v>
      </c>
      <c r="AA289">
        <v>1947</v>
      </c>
      <c r="AB289">
        <v>272444</v>
      </c>
      <c r="AC289" t="s">
        <v>4570</v>
      </c>
      <c r="AD289">
        <v>41.53</v>
      </c>
      <c r="AE289" t="s">
        <v>5434</v>
      </c>
      <c r="AF289" t="s">
        <v>6282</v>
      </c>
      <c r="AG289">
        <v>1421</v>
      </c>
      <c r="AH289">
        <v>149</v>
      </c>
      <c r="AI289">
        <v>757182</v>
      </c>
      <c r="AJ289">
        <v>2.6</v>
      </c>
    </row>
    <row r="290" spans="1:36">
      <c r="A290" s="1" t="s">
        <v>324</v>
      </c>
      <c r="B290" t="s">
        <v>1188</v>
      </c>
      <c r="C290" t="str">
        <f>HYPERLINK("https://finance.naver.com/item/coinfo.nhn?code=004590", "A004590")</f>
        <v>A004590</v>
      </c>
      <c r="D290" t="str">
        <f>HYPERLINK("http://comp.fnguide.com/SVO2/ASP/SVD_Consensus.asp?pGB=1&amp;gicode=A004590&amp;cID=&amp;MenuYn=Y&amp;ReportGB=&amp;NewMenuID=108&amp;stkGb=701", "한국가구")</f>
        <v>한국가구</v>
      </c>
      <c r="E290">
        <v>3</v>
      </c>
      <c r="F290">
        <v>4495</v>
      </c>
      <c r="G290">
        <v>0</v>
      </c>
      <c r="H290">
        <v>10.33</v>
      </c>
      <c r="I290">
        <v>5746</v>
      </c>
      <c r="J290">
        <v>6452</v>
      </c>
      <c r="K290">
        <v>6653</v>
      </c>
      <c r="L290">
        <v>-27.84</v>
      </c>
      <c r="M290">
        <v>-43.55</v>
      </c>
      <c r="N290">
        <v>-48.01</v>
      </c>
      <c r="O290">
        <v>6.59</v>
      </c>
      <c r="P290" t="b">
        <v>1</v>
      </c>
      <c r="Q290">
        <v>0</v>
      </c>
      <c r="R290">
        <v>405</v>
      </c>
      <c r="U290" t="s">
        <v>2052</v>
      </c>
      <c r="V290" t="s">
        <v>2916</v>
      </c>
      <c r="W290">
        <v>0</v>
      </c>
      <c r="X290">
        <v>16</v>
      </c>
      <c r="Y290" t="s">
        <v>3749</v>
      </c>
      <c r="Z290">
        <v>3.188540844111198</v>
      </c>
      <c r="AA290">
        <v>674</v>
      </c>
      <c r="AB290">
        <v>49670</v>
      </c>
      <c r="AC290" t="s">
        <v>4571</v>
      </c>
      <c r="AD290">
        <v>66.680000000000007</v>
      </c>
      <c r="AE290" t="s">
        <v>5435</v>
      </c>
      <c r="AF290" t="s">
        <v>6283</v>
      </c>
      <c r="AG290">
        <v>657</v>
      </c>
      <c r="AH290">
        <v>87</v>
      </c>
      <c r="AJ290">
        <v>2.75</v>
      </c>
    </row>
    <row r="291" spans="1:36">
      <c r="A291" s="1" t="s">
        <v>325</v>
      </c>
      <c r="B291" t="s">
        <v>1189</v>
      </c>
      <c r="C291" t="str">
        <f>HYPERLINK("https://finance.naver.com/item/coinfo.nhn?code=039340", "A039340")</f>
        <v>A039340</v>
      </c>
      <c r="D291" t="str">
        <f>HYPERLINK("http://comp.fnguide.com/SVO2/ASP/SVD_Consensus.asp?pGB=1&amp;gicode=A039340&amp;cID=&amp;MenuYn=Y&amp;ReportGB=&amp;NewMenuID=108&amp;stkGb=701", "한국경제TV")</f>
        <v>한국경제TV</v>
      </c>
      <c r="E291">
        <v>3</v>
      </c>
      <c r="F291">
        <v>5680</v>
      </c>
      <c r="G291">
        <v>0</v>
      </c>
      <c r="H291">
        <v>7.22</v>
      </c>
      <c r="I291">
        <v>9408</v>
      </c>
      <c r="J291">
        <v>7072</v>
      </c>
      <c r="K291">
        <v>6408</v>
      </c>
      <c r="L291">
        <v>-65.64</v>
      </c>
      <c r="M291">
        <v>-24.5</v>
      </c>
      <c r="N291">
        <v>-12.82</v>
      </c>
      <c r="O291">
        <v>13.52</v>
      </c>
      <c r="P291" t="b">
        <v>1</v>
      </c>
      <c r="Q291">
        <v>0</v>
      </c>
      <c r="R291">
        <v>653</v>
      </c>
      <c r="U291" t="s">
        <v>2053</v>
      </c>
      <c r="V291" t="s">
        <v>2917</v>
      </c>
      <c r="W291">
        <v>0</v>
      </c>
      <c r="X291">
        <v>17.8</v>
      </c>
      <c r="Y291" t="s">
        <v>3750</v>
      </c>
      <c r="Z291">
        <v>14.23513047308114</v>
      </c>
      <c r="AA291">
        <v>1306</v>
      </c>
      <c r="AB291">
        <v>207685</v>
      </c>
      <c r="AC291" t="s">
        <v>4572</v>
      </c>
      <c r="AD291">
        <v>46.04</v>
      </c>
      <c r="AE291" t="s">
        <v>5436</v>
      </c>
      <c r="AF291" t="s">
        <v>6284</v>
      </c>
      <c r="AG291">
        <v>778</v>
      </c>
      <c r="AH291">
        <v>137</v>
      </c>
      <c r="AI291">
        <v>937408</v>
      </c>
      <c r="AJ291">
        <v>1.91</v>
      </c>
    </row>
    <row r="292" spans="1:36">
      <c r="A292" s="1" t="s">
        <v>326</v>
      </c>
      <c r="B292" t="s">
        <v>1190</v>
      </c>
      <c r="C292" t="str">
        <f>HYPERLINK("https://finance.naver.com/item/coinfo.nhn?code=025550", "A025550")</f>
        <v>A025550</v>
      </c>
      <c r="D292" t="str">
        <f>HYPERLINK("http://comp.fnguide.com/SVO2/ASP/SVD_Consensus.asp?pGB=1&amp;gicode=A025550&amp;cID=&amp;MenuYn=Y&amp;ReportGB=&amp;NewMenuID=108&amp;stkGb=701", "한국선재")</f>
        <v>한국선재</v>
      </c>
      <c r="E292">
        <v>3</v>
      </c>
      <c r="F292">
        <v>3450</v>
      </c>
      <c r="G292">
        <v>0</v>
      </c>
      <c r="H292">
        <v>28.64</v>
      </c>
      <c r="I292">
        <v>2394</v>
      </c>
      <c r="J292">
        <v>3318</v>
      </c>
      <c r="K292">
        <v>3580</v>
      </c>
      <c r="L292">
        <v>30.6</v>
      </c>
      <c r="M292">
        <v>3.83</v>
      </c>
      <c r="N292">
        <v>-3.77</v>
      </c>
      <c r="O292">
        <v>4.84</v>
      </c>
      <c r="P292" t="b">
        <v>1</v>
      </c>
      <c r="Q292">
        <v>0</v>
      </c>
      <c r="R292">
        <v>106</v>
      </c>
      <c r="U292" t="s">
        <v>2054</v>
      </c>
      <c r="V292" t="s">
        <v>2918</v>
      </c>
      <c r="W292">
        <v>0</v>
      </c>
      <c r="X292">
        <v>9.3000000000000007</v>
      </c>
      <c r="Y292" t="s">
        <v>3751</v>
      </c>
      <c r="Z292">
        <v>-10.40745324114466</v>
      </c>
      <c r="AA292">
        <v>846</v>
      </c>
      <c r="AB292">
        <v>832013</v>
      </c>
      <c r="AC292" t="s">
        <v>4573</v>
      </c>
      <c r="AD292">
        <v>36.36</v>
      </c>
      <c r="AE292" t="s">
        <v>5437</v>
      </c>
      <c r="AF292" t="s">
        <v>6285</v>
      </c>
      <c r="AG292">
        <v>1855</v>
      </c>
      <c r="AH292">
        <v>67</v>
      </c>
      <c r="AI292">
        <v>1870970</v>
      </c>
    </row>
    <row r="293" spans="1:36">
      <c r="A293" s="1" t="s">
        <v>327</v>
      </c>
      <c r="B293" t="s">
        <v>1191</v>
      </c>
      <c r="C293" t="str">
        <f>HYPERLINK("https://finance.naver.com/item/coinfo.nhn?code=023890", "A023890")</f>
        <v>A023890</v>
      </c>
      <c r="D293" t="str">
        <f>HYPERLINK("http://comp.fnguide.com/SVO2/ASP/SVD_Consensus.asp?pGB=1&amp;gicode=A023890&amp;cID=&amp;MenuYn=Y&amp;ReportGB=&amp;NewMenuID=108&amp;stkGb=701", "한국아트라스비엑스")</f>
        <v>한국아트라스비엑스</v>
      </c>
      <c r="E293">
        <v>3</v>
      </c>
      <c r="F293">
        <v>59000</v>
      </c>
      <c r="G293">
        <v>0.81</v>
      </c>
      <c r="H293">
        <v>8.8000000000000007</v>
      </c>
      <c r="I293">
        <v>200684</v>
      </c>
      <c r="J293">
        <v>138019</v>
      </c>
      <c r="K293">
        <v>120211</v>
      </c>
      <c r="L293">
        <v>-240.14</v>
      </c>
      <c r="M293">
        <v>-133.93</v>
      </c>
      <c r="N293">
        <v>-103.75</v>
      </c>
      <c r="O293">
        <v>16.510000000000002</v>
      </c>
      <c r="P293" t="b">
        <v>1</v>
      </c>
      <c r="Q293">
        <v>3</v>
      </c>
      <c r="R293">
        <v>5806</v>
      </c>
      <c r="S293">
        <v>6339</v>
      </c>
      <c r="T293">
        <v>9.1999999999999993</v>
      </c>
      <c r="U293" t="s">
        <v>2055</v>
      </c>
      <c r="V293" t="s">
        <v>2919</v>
      </c>
      <c r="W293">
        <v>10.899926036155261</v>
      </c>
      <c r="X293">
        <v>-5.9</v>
      </c>
      <c r="Y293" t="s">
        <v>3752</v>
      </c>
      <c r="Z293">
        <v>-1.758691497465448</v>
      </c>
      <c r="AA293">
        <v>5399</v>
      </c>
      <c r="AB293">
        <v>2718</v>
      </c>
      <c r="AC293" t="s">
        <v>4574</v>
      </c>
      <c r="AD293">
        <v>31.13</v>
      </c>
      <c r="AE293" t="s">
        <v>5438</v>
      </c>
      <c r="AF293" t="s">
        <v>6286</v>
      </c>
      <c r="AG293">
        <v>6480</v>
      </c>
      <c r="AH293">
        <v>646</v>
      </c>
      <c r="AI293">
        <v>5346107</v>
      </c>
      <c r="AJ293">
        <v>0.78</v>
      </c>
    </row>
    <row r="294" spans="1:36">
      <c r="A294" s="1" t="s">
        <v>328</v>
      </c>
      <c r="B294" t="s">
        <v>1192</v>
      </c>
      <c r="C294" t="str">
        <f>HYPERLINK("https://finance.naver.com/item/coinfo.nhn?code=101930", "A101930")</f>
        <v>A101930</v>
      </c>
      <c r="D294" t="str">
        <f>HYPERLINK("http://comp.fnguide.com/SVO2/ASP/SVD_Consensus.asp?pGB=1&amp;gicode=A101930&amp;cID=&amp;MenuYn=Y&amp;ReportGB=&amp;NewMenuID=108&amp;stkGb=701", "인화정공")</f>
        <v>인화정공</v>
      </c>
      <c r="E294">
        <v>3</v>
      </c>
      <c r="F294">
        <v>6490</v>
      </c>
      <c r="G294">
        <v>0</v>
      </c>
      <c r="I294">
        <v>2220</v>
      </c>
      <c r="J294">
        <v>9587</v>
      </c>
      <c r="K294">
        <v>11681</v>
      </c>
      <c r="L294">
        <v>65.8</v>
      </c>
      <c r="M294">
        <v>-47.72</v>
      </c>
      <c r="N294">
        <v>-79.98</v>
      </c>
      <c r="O294">
        <v>1.22</v>
      </c>
      <c r="P294" t="b">
        <v>0</v>
      </c>
      <c r="Q294">
        <v>0</v>
      </c>
      <c r="R294">
        <v>-903</v>
      </c>
      <c r="U294" t="s">
        <v>2056</v>
      </c>
      <c r="V294" t="s">
        <v>2920</v>
      </c>
      <c r="W294">
        <v>0</v>
      </c>
      <c r="X294">
        <v>0</v>
      </c>
      <c r="Y294" t="s">
        <v>3499</v>
      </c>
      <c r="Z294">
        <v>0</v>
      </c>
      <c r="AA294">
        <v>606</v>
      </c>
      <c r="AB294">
        <v>64149</v>
      </c>
      <c r="AC294" t="s">
        <v>4575</v>
      </c>
      <c r="AD294">
        <v>50.81</v>
      </c>
      <c r="AE294" t="s">
        <v>5439</v>
      </c>
      <c r="AF294" t="s">
        <v>6287</v>
      </c>
      <c r="AG294">
        <v>1293</v>
      </c>
      <c r="AH294">
        <v>30</v>
      </c>
      <c r="AI294">
        <v>150857</v>
      </c>
    </row>
    <row r="295" spans="1:36">
      <c r="A295" s="1" t="s">
        <v>329</v>
      </c>
      <c r="B295" t="s">
        <v>1193</v>
      </c>
      <c r="C295" t="str">
        <f>HYPERLINK("https://finance.naver.com/item/coinfo.nhn?code=115310", "A115310")</f>
        <v>A115310</v>
      </c>
      <c r="D295" t="str">
        <f>HYPERLINK("http://comp.fnguide.com/SVO2/ASP/SVD_Consensus.asp?pGB=1&amp;gicode=A115310&amp;cID=&amp;MenuYn=Y&amp;ReportGB=&amp;NewMenuID=108&amp;stkGb=701", "인포바인")</f>
        <v>인포바인</v>
      </c>
      <c r="E295">
        <v>3</v>
      </c>
      <c r="F295">
        <v>19250</v>
      </c>
      <c r="G295">
        <v>0</v>
      </c>
      <c r="H295">
        <v>7.61</v>
      </c>
      <c r="I295">
        <v>60769</v>
      </c>
      <c r="J295">
        <v>48048</v>
      </c>
      <c r="K295">
        <v>44433</v>
      </c>
      <c r="L295">
        <v>-215.68</v>
      </c>
      <c r="M295">
        <v>-149.6</v>
      </c>
      <c r="N295">
        <v>-130.82</v>
      </c>
      <c r="O295">
        <v>12.18</v>
      </c>
      <c r="P295" t="b">
        <v>1</v>
      </c>
      <c r="Q295">
        <v>0</v>
      </c>
      <c r="R295">
        <v>2817</v>
      </c>
      <c r="U295" t="s">
        <v>2057</v>
      </c>
      <c r="V295" t="s">
        <v>2921</v>
      </c>
      <c r="W295">
        <v>0</v>
      </c>
      <c r="X295">
        <v>-20.8</v>
      </c>
      <c r="Y295" t="s">
        <v>3753</v>
      </c>
      <c r="Z295">
        <v>-6.4814305469631854</v>
      </c>
      <c r="AA295">
        <v>615</v>
      </c>
      <c r="AB295">
        <v>3389</v>
      </c>
      <c r="AC295" t="s">
        <v>4576</v>
      </c>
      <c r="AD295">
        <v>17.43</v>
      </c>
      <c r="AE295" t="s">
        <v>5440</v>
      </c>
      <c r="AF295" t="s">
        <v>6288</v>
      </c>
      <c r="AG295">
        <v>193</v>
      </c>
      <c r="AH295">
        <v>95</v>
      </c>
      <c r="AI295">
        <v>1050332</v>
      </c>
      <c r="AJ295">
        <v>4.2</v>
      </c>
    </row>
    <row r="296" spans="1:36">
      <c r="A296" s="1" t="s">
        <v>330</v>
      </c>
      <c r="B296" t="s">
        <v>1194</v>
      </c>
      <c r="C296" t="str">
        <f>HYPERLINK("https://finance.naver.com/item/coinfo.nhn?code=035080", "A035080")</f>
        <v>A035080</v>
      </c>
      <c r="D296" t="str">
        <f>HYPERLINK("http://comp.fnguide.com/SVO2/ASP/SVD_Consensus.asp?pGB=1&amp;gicode=A035080&amp;cID=&amp;MenuYn=Y&amp;ReportGB=&amp;NewMenuID=108&amp;stkGb=701", "인터파크")</f>
        <v>인터파크</v>
      </c>
      <c r="E296">
        <v>3</v>
      </c>
      <c r="F296">
        <v>2170</v>
      </c>
      <c r="G296">
        <v>0</v>
      </c>
      <c r="I296">
        <v>0</v>
      </c>
      <c r="J296">
        <v>2362</v>
      </c>
      <c r="K296">
        <v>3033</v>
      </c>
      <c r="L296">
        <v>100</v>
      </c>
      <c r="M296">
        <v>-8.83</v>
      </c>
      <c r="N296">
        <v>-39.75</v>
      </c>
      <c r="O296">
        <v>0</v>
      </c>
      <c r="P296" t="b">
        <v>0</v>
      </c>
      <c r="Q296">
        <v>0</v>
      </c>
      <c r="R296">
        <v>-81</v>
      </c>
      <c r="U296" t="s">
        <v>2058</v>
      </c>
      <c r="V296" t="s">
        <v>2922</v>
      </c>
      <c r="W296">
        <v>0</v>
      </c>
      <c r="X296">
        <v>0</v>
      </c>
      <c r="Y296" t="s">
        <v>3499</v>
      </c>
      <c r="Z296">
        <v>0</v>
      </c>
      <c r="AA296">
        <v>1762</v>
      </c>
      <c r="AB296">
        <v>477203</v>
      </c>
      <c r="AC296" t="s">
        <v>4577</v>
      </c>
      <c r="AD296">
        <v>28.63</v>
      </c>
      <c r="AE296" t="s">
        <v>5441</v>
      </c>
      <c r="AF296" t="s">
        <v>6021</v>
      </c>
      <c r="AG296">
        <v>34123</v>
      </c>
      <c r="AH296">
        <v>452</v>
      </c>
      <c r="AI296">
        <v>6640000</v>
      </c>
      <c r="AJ296">
        <v>3.23</v>
      </c>
    </row>
    <row r="297" spans="1:36">
      <c r="A297" s="1" t="s">
        <v>331</v>
      </c>
      <c r="B297" t="s">
        <v>1195</v>
      </c>
      <c r="C297" t="str">
        <f>HYPERLINK("https://finance.naver.com/item/coinfo.nhn?code=017250", "A017250")</f>
        <v>A017250</v>
      </c>
      <c r="D297" t="str">
        <f>HYPERLINK("http://comp.fnguide.com/SVO2/ASP/SVD_Consensus.asp?pGB=1&amp;gicode=A017250&amp;cID=&amp;MenuYn=Y&amp;ReportGB=&amp;NewMenuID=108&amp;stkGb=701", "인터엠")</f>
        <v>인터엠</v>
      </c>
      <c r="E297">
        <v>3</v>
      </c>
      <c r="F297">
        <v>1380</v>
      </c>
      <c r="G297">
        <v>0</v>
      </c>
      <c r="I297">
        <v>0</v>
      </c>
      <c r="J297">
        <v>1379</v>
      </c>
      <c r="K297">
        <v>1771</v>
      </c>
      <c r="L297">
        <v>100</v>
      </c>
      <c r="M297">
        <v>0.08</v>
      </c>
      <c r="N297">
        <v>-28.32</v>
      </c>
      <c r="O297">
        <v>0</v>
      </c>
      <c r="P297" t="b">
        <v>0</v>
      </c>
      <c r="Q297">
        <v>0</v>
      </c>
      <c r="R297">
        <v>-880</v>
      </c>
      <c r="U297" t="s">
        <v>2059</v>
      </c>
      <c r="V297" t="s">
        <v>2923</v>
      </c>
      <c r="W297">
        <v>0</v>
      </c>
      <c r="X297">
        <v>0</v>
      </c>
      <c r="Y297" t="s">
        <v>3754</v>
      </c>
      <c r="Z297">
        <v>-15.60853123686017</v>
      </c>
      <c r="AA297">
        <v>290</v>
      </c>
      <c r="AB297">
        <v>67576</v>
      </c>
      <c r="AC297" t="s">
        <v>4578</v>
      </c>
      <c r="AD297">
        <v>43.13</v>
      </c>
      <c r="AE297" t="s">
        <v>5442</v>
      </c>
      <c r="AF297" t="s">
        <v>6021</v>
      </c>
      <c r="AG297">
        <v>634</v>
      </c>
      <c r="AH297">
        <v>-155</v>
      </c>
      <c r="AI297">
        <v>800000</v>
      </c>
    </row>
    <row r="298" spans="1:36">
      <c r="A298" s="1" t="s">
        <v>332</v>
      </c>
      <c r="B298" t="s">
        <v>1196</v>
      </c>
      <c r="C298" t="str">
        <f>HYPERLINK("https://finance.naver.com/item/coinfo.nhn?code=013310", "A013310")</f>
        <v>A013310</v>
      </c>
      <c r="D298" t="str">
        <f>HYPERLINK("http://comp.fnguide.com/SVO2/ASP/SVD_Consensus.asp?pGB=1&amp;gicode=A013310&amp;cID=&amp;MenuYn=Y&amp;ReportGB=&amp;NewMenuID=108&amp;stkGb=701", "아진산업")</f>
        <v>아진산업</v>
      </c>
      <c r="E298">
        <v>3</v>
      </c>
      <c r="F298">
        <v>2840</v>
      </c>
      <c r="G298">
        <v>0</v>
      </c>
      <c r="H298">
        <v>6.87</v>
      </c>
      <c r="I298">
        <v>3356</v>
      </c>
      <c r="J298">
        <v>4522</v>
      </c>
      <c r="K298">
        <v>4854</v>
      </c>
      <c r="L298">
        <v>-18.18</v>
      </c>
      <c r="M298">
        <v>-59.24</v>
      </c>
      <c r="N298">
        <v>-70.91</v>
      </c>
      <c r="O298">
        <v>5.03</v>
      </c>
      <c r="P298" t="b">
        <v>1</v>
      </c>
      <c r="Q298">
        <v>0</v>
      </c>
      <c r="R298">
        <v>378</v>
      </c>
      <c r="U298" t="s">
        <v>2060</v>
      </c>
      <c r="V298" t="s">
        <v>2924</v>
      </c>
      <c r="W298">
        <v>0</v>
      </c>
      <c r="X298">
        <v>-71.599999999999994</v>
      </c>
      <c r="Y298" t="s">
        <v>3755</v>
      </c>
      <c r="Z298">
        <v>-52.15732527268073</v>
      </c>
      <c r="AA298">
        <v>1080</v>
      </c>
      <c r="AB298">
        <v>703936</v>
      </c>
      <c r="AC298" t="s">
        <v>4579</v>
      </c>
      <c r="AD298">
        <v>31.85</v>
      </c>
      <c r="AE298" t="s">
        <v>5443</v>
      </c>
      <c r="AF298" t="s">
        <v>6289</v>
      </c>
      <c r="AG298">
        <v>4408</v>
      </c>
      <c r="AH298">
        <v>278</v>
      </c>
      <c r="AI298">
        <v>2640</v>
      </c>
    </row>
    <row r="299" spans="1:36">
      <c r="A299" s="1" t="s">
        <v>333</v>
      </c>
      <c r="B299" t="s">
        <v>1197</v>
      </c>
      <c r="C299" t="str">
        <f>HYPERLINK("https://finance.naver.com/item/coinfo.nhn?code=052790", "A052790")</f>
        <v>A052790</v>
      </c>
      <c r="D299" t="str">
        <f>HYPERLINK("http://comp.fnguide.com/SVO2/ASP/SVD_Consensus.asp?pGB=1&amp;gicode=A052790&amp;cID=&amp;MenuYn=Y&amp;ReportGB=&amp;NewMenuID=108&amp;stkGb=701", "액토즈소프트")</f>
        <v>액토즈소프트</v>
      </c>
      <c r="E299">
        <v>3</v>
      </c>
      <c r="F299">
        <v>9450</v>
      </c>
      <c r="G299">
        <v>0</v>
      </c>
      <c r="H299">
        <v>6.82</v>
      </c>
      <c r="I299">
        <v>13452</v>
      </c>
      <c r="J299">
        <v>11863</v>
      </c>
      <c r="K299">
        <v>11411</v>
      </c>
      <c r="L299">
        <v>-42.35</v>
      </c>
      <c r="M299">
        <v>-25.53</v>
      </c>
      <c r="N299">
        <v>-20.75</v>
      </c>
      <c r="O299">
        <v>9.8800000000000008</v>
      </c>
      <c r="P299" t="b">
        <v>1</v>
      </c>
      <c r="Q299">
        <v>0</v>
      </c>
      <c r="R299">
        <v>1833</v>
      </c>
      <c r="U299" t="s">
        <v>2061</v>
      </c>
      <c r="V299" t="s">
        <v>2925</v>
      </c>
      <c r="W299">
        <v>0</v>
      </c>
      <c r="X299">
        <v>-13.7</v>
      </c>
      <c r="Y299" t="s">
        <v>3756</v>
      </c>
      <c r="Z299">
        <v>-13.7</v>
      </c>
      <c r="AA299">
        <v>1071</v>
      </c>
      <c r="AB299">
        <v>76687</v>
      </c>
      <c r="AC299" t="s">
        <v>4580</v>
      </c>
      <c r="AD299">
        <v>51.08</v>
      </c>
      <c r="AE299" t="s">
        <v>5444</v>
      </c>
      <c r="AF299" t="s">
        <v>6290</v>
      </c>
      <c r="AG299">
        <v>627</v>
      </c>
      <c r="AH299">
        <v>257</v>
      </c>
      <c r="AI299">
        <v>406091</v>
      </c>
    </row>
    <row r="300" spans="1:36">
      <c r="A300" s="1" t="s">
        <v>334</v>
      </c>
      <c r="B300" t="s">
        <v>1198</v>
      </c>
      <c r="C300" t="str">
        <f>HYPERLINK("https://finance.naver.com/item/coinfo.nhn?code=290740", "A290740")</f>
        <v>A290740</v>
      </c>
      <c r="D300" t="str">
        <f>HYPERLINK("http://comp.fnguide.com/SVO2/ASP/SVD_Consensus.asp?pGB=1&amp;gicode=A290740&amp;cID=&amp;MenuYn=Y&amp;ReportGB=&amp;NewMenuID=108&amp;stkGb=701", "액트로")</f>
        <v>액트로</v>
      </c>
      <c r="E300">
        <v>3</v>
      </c>
      <c r="F300">
        <v>11400</v>
      </c>
      <c r="G300">
        <v>0</v>
      </c>
      <c r="H300">
        <v>9.99</v>
      </c>
      <c r="I300">
        <v>26840</v>
      </c>
      <c r="J300">
        <v>15305</v>
      </c>
      <c r="K300">
        <v>12026</v>
      </c>
      <c r="L300">
        <v>-135.44</v>
      </c>
      <c r="M300">
        <v>-34.25</v>
      </c>
      <c r="N300">
        <v>-5.49</v>
      </c>
      <c r="O300">
        <v>27.79</v>
      </c>
      <c r="P300" t="b">
        <v>1</v>
      </c>
      <c r="Q300">
        <v>0</v>
      </c>
      <c r="R300">
        <v>1461</v>
      </c>
      <c r="U300" t="s">
        <v>2062</v>
      </c>
      <c r="V300" t="s">
        <v>2926</v>
      </c>
      <c r="W300">
        <v>0</v>
      </c>
      <c r="X300">
        <v>-71.400000000000006</v>
      </c>
      <c r="Y300" t="s">
        <v>3757</v>
      </c>
      <c r="Z300">
        <v>-5.8080492619069108</v>
      </c>
      <c r="AA300">
        <v>1147</v>
      </c>
      <c r="AB300">
        <v>177741</v>
      </c>
      <c r="AC300" t="s">
        <v>4581</v>
      </c>
      <c r="AD300">
        <v>37.869999999999997</v>
      </c>
      <c r="AE300" t="s">
        <v>5445</v>
      </c>
      <c r="AF300" t="s">
        <v>6291</v>
      </c>
      <c r="AG300">
        <v>1078</v>
      </c>
      <c r="AH300">
        <v>130</v>
      </c>
      <c r="AI300">
        <v>153257</v>
      </c>
      <c r="AJ300">
        <v>1.37</v>
      </c>
    </row>
    <row r="301" spans="1:36">
      <c r="A301" s="1" t="s">
        <v>335</v>
      </c>
      <c r="B301" t="s">
        <v>1199</v>
      </c>
      <c r="C301" t="str">
        <f>HYPERLINK("https://finance.naver.com/item/coinfo.nhn?code=255440", "A255440")</f>
        <v>A255440</v>
      </c>
      <c r="D301" t="str">
        <f>HYPERLINK("http://comp.fnguide.com/SVO2/ASP/SVD_Consensus.asp?pGB=1&amp;gicode=A255440&amp;cID=&amp;MenuYn=Y&amp;ReportGB=&amp;NewMenuID=108&amp;stkGb=701", "야스")</f>
        <v>야스</v>
      </c>
      <c r="E301">
        <v>3</v>
      </c>
      <c r="F301">
        <v>13100</v>
      </c>
      <c r="G301">
        <v>0</v>
      </c>
      <c r="H301">
        <v>15.72</v>
      </c>
      <c r="I301">
        <v>27452</v>
      </c>
      <c r="J301">
        <v>17908</v>
      </c>
      <c r="K301">
        <v>15196</v>
      </c>
      <c r="L301">
        <v>-109.56</v>
      </c>
      <c r="M301">
        <v>-36.71</v>
      </c>
      <c r="N301">
        <v>-16</v>
      </c>
      <c r="O301">
        <v>18.809999999999999</v>
      </c>
      <c r="P301" t="b">
        <v>1</v>
      </c>
      <c r="Q301">
        <v>0</v>
      </c>
      <c r="R301">
        <v>1250</v>
      </c>
      <c r="U301" t="s">
        <v>2063</v>
      </c>
      <c r="V301" t="s">
        <v>2927</v>
      </c>
      <c r="W301">
        <v>0</v>
      </c>
      <c r="X301">
        <v>-32.1</v>
      </c>
      <c r="Y301" t="s">
        <v>3758</v>
      </c>
      <c r="Z301">
        <v>53.899469823361578</v>
      </c>
      <c r="AA301">
        <v>1711</v>
      </c>
      <c r="AB301">
        <v>56638</v>
      </c>
      <c r="AC301" t="s">
        <v>4582</v>
      </c>
      <c r="AD301">
        <v>46.59</v>
      </c>
      <c r="AE301" t="s">
        <v>5446</v>
      </c>
      <c r="AF301" t="s">
        <v>6292</v>
      </c>
      <c r="AG301">
        <v>869</v>
      </c>
      <c r="AH301">
        <v>125</v>
      </c>
      <c r="AI301">
        <v>64180</v>
      </c>
      <c r="AJ301">
        <v>0.76</v>
      </c>
    </row>
    <row r="302" spans="1:36">
      <c r="A302" s="1" t="s">
        <v>336</v>
      </c>
      <c r="B302" t="s">
        <v>1200</v>
      </c>
      <c r="C302" t="str">
        <f>HYPERLINK("https://finance.naver.com/item/coinfo.nhn?code=030960", "A030960")</f>
        <v>A030960</v>
      </c>
      <c r="D302" t="str">
        <f>HYPERLINK("http://comp.fnguide.com/SVO2/ASP/SVD_Consensus.asp?pGB=1&amp;gicode=A030960&amp;cID=&amp;MenuYn=Y&amp;ReportGB=&amp;NewMenuID=108&amp;stkGb=701", "양지사")</f>
        <v>양지사</v>
      </c>
      <c r="E302">
        <v>3</v>
      </c>
      <c r="F302">
        <v>9600</v>
      </c>
      <c r="G302">
        <v>0</v>
      </c>
      <c r="H302">
        <v>1.28</v>
      </c>
      <c r="I302">
        <v>84479</v>
      </c>
      <c r="J302">
        <v>41924</v>
      </c>
      <c r="K302">
        <v>29831</v>
      </c>
      <c r="L302">
        <v>-779.98</v>
      </c>
      <c r="M302">
        <v>-336.71</v>
      </c>
      <c r="N302">
        <v>-210.74</v>
      </c>
      <c r="O302">
        <v>48.77</v>
      </c>
      <c r="P302" t="b">
        <v>1</v>
      </c>
      <c r="Q302">
        <v>0</v>
      </c>
      <c r="R302">
        <v>7553</v>
      </c>
      <c r="U302" t="s">
        <v>2064</v>
      </c>
      <c r="V302" t="s">
        <v>2928</v>
      </c>
      <c r="W302">
        <v>0</v>
      </c>
      <c r="X302">
        <v>-25.1</v>
      </c>
      <c r="Y302" t="s">
        <v>3759</v>
      </c>
      <c r="Z302">
        <v>99.765843568621392</v>
      </c>
      <c r="AA302">
        <v>1534</v>
      </c>
      <c r="AB302">
        <v>14447</v>
      </c>
      <c r="AC302" t="s">
        <v>4583</v>
      </c>
      <c r="AD302">
        <v>75.53</v>
      </c>
      <c r="AE302" t="s">
        <v>5447</v>
      </c>
      <c r="AF302" t="s">
        <v>6293</v>
      </c>
      <c r="AG302">
        <v>489</v>
      </c>
      <c r="AH302">
        <v>17</v>
      </c>
      <c r="AI302">
        <v>2243930</v>
      </c>
      <c r="AJ302">
        <v>0.52</v>
      </c>
    </row>
    <row r="303" spans="1:36">
      <c r="A303" s="1" t="s">
        <v>337</v>
      </c>
      <c r="B303" t="s">
        <v>1201</v>
      </c>
      <c r="C303" t="str">
        <f>HYPERLINK("https://finance.naver.com/item/coinfo.nhn?code=041440", "A041440")</f>
        <v>A041440</v>
      </c>
      <c r="D303" t="str">
        <f>HYPERLINK("http://comp.fnguide.com/SVO2/ASP/SVD_Consensus.asp?pGB=1&amp;gicode=A041440&amp;cID=&amp;MenuYn=Y&amp;ReportGB=&amp;NewMenuID=108&amp;stkGb=701", "에버다임")</f>
        <v>에버다임</v>
      </c>
      <c r="E303">
        <v>3</v>
      </c>
      <c r="F303">
        <v>4235</v>
      </c>
      <c r="G303">
        <v>0</v>
      </c>
      <c r="H303">
        <v>68.41</v>
      </c>
      <c r="I303">
        <v>5063</v>
      </c>
      <c r="J303">
        <v>8421</v>
      </c>
      <c r="K303">
        <v>9375</v>
      </c>
      <c r="L303">
        <v>-19.54</v>
      </c>
      <c r="M303">
        <v>-98.83</v>
      </c>
      <c r="N303">
        <v>-121.36</v>
      </c>
      <c r="O303">
        <v>3.78</v>
      </c>
      <c r="P303" t="b">
        <v>1</v>
      </c>
      <c r="Q303">
        <v>0</v>
      </c>
      <c r="R303">
        <v>65</v>
      </c>
      <c r="U303" t="s">
        <v>2065</v>
      </c>
      <c r="V303" t="s">
        <v>2929</v>
      </c>
      <c r="W303">
        <v>0</v>
      </c>
      <c r="X303">
        <v>-21.1</v>
      </c>
      <c r="Y303" t="s">
        <v>3760</v>
      </c>
      <c r="Z303">
        <v>-40.419336683462461</v>
      </c>
      <c r="AA303">
        <v>759</v>
      </c>
      <c r="AB303">
        <v>35541</v>
      </c>
      <c r="AC303" t="s">
        <v>4584</v>
      </c>
      <c r="AD303">
        <v>51.62</v>
      </c>
      <c r="AE303" t="s">
        <v>5448</v>
      </c>
      <c r="AF303" t="s">
        <v>6294</v>
      </c>
      <c r="AG303">
        <v>2486</v>
      </c>
      <c r="AH303">
        <v>31</v>
      </c>
      <c r="AI303">
        <v>74232</v>
      </c>
      <c r="AJ303">
        <v>0.9</v>
      </c>
    </row>
    <row r="304" spans="1:36">
      <c r="A304" s="1" t="s">
        <v>338</v>
      </c>
      <c r="B304" t="s">
        <v>1202</v>
      </c>
      <c r="C304" t="str">
        <f>HYPERLINK("https://finance.naver.com/item/coinfo.nhn?code=121890", "A121890")</f>
        <v>A121890</v>
      </c>
      <c r="D304" t="str">
        <f>HYPERLINK("http://comp.fnguide.com/SVO2/ASP/SVD_Consensus.asp?pGB=1&amp;gicode=A121890&amp;cID=&amp;MenuYn=Y&amp;ReportGB=&amp;NewMenuID=108&amp;stkGb=701", "에스디시스템")</f>
        <v>에스디시스템</v>
      </c>
      <c r="E304">
        <v>3</v>
      </c>
      <c r="F304">
        <v>739</v>
      </c>
      <c r="G304">
        <v>0</v>
      </c>
      <c r="I304">
        <v>0</v>
      </c>
      <c r="J304">
        <v>576</v>
      </c>
      <c r="K304">
        <v>740</v>
      </c>
      <c r="L304">
        <v>100</v>
      </c>
      <c r="M304">
        <v>22.05</v>
      </c>
      <c r="N304">
        <v>-0.1</v>
      </c>
      <c r="O304">
        <v>0</v>
      </c>
      <c r="P304" t="b">
        <v>0</v>
      </c>
      <c r="Q304">
        <v>0</v>
      </c>
      <c r="R304">
        <v>-1187</v>
      </c>
      <c r="U304" t="s">
        <v>2066</v>
      </c>
      <c r="V304" t="s">
        <v>2930</v>
      </c>
      <c r="W304">
        <v>0</v>
      </c>
      <c r="X304">
        <v>0</v>
      </c>
      <c r="Y304" t="s">
        <v>3499</v>
      </c>
      <c r="Z304">
        <v>0</v>
      </c>
      <c r="AA304">
        <v>71</v>
      </c>
      <c r="AB304">
        <v>0</v>
      </c>
      <c r="AC304" t="s">
        <v>4585</v>
      </c>
      <c r="AD304">
        <v>13.62</v>
      </c>
      <c r="AE304" t="s">
        <v>5449</v>
      </c>
      <c r="AF304" t="s">
        <v>6021</v>
      </c>
      <c r="AG304">
        <v>381</v>
      </c>
      <c r="AH304">
        <v>-40</v>
      </c>
    </row>
    <row r="305" spans="1:36">
      <c r="A305" s="1" t="s">
        <v>339</v>
      </c>
      <c r="B305" t="s">
        <v>1203</v>
      </c>
      <c r="C305" t="str">
        <f>HYPERLINK("https://finance.naver.com/item/coinfo.nhn?code=042110", "A042110")</f>
        <v>A042110</v>
      </c>
      <c r="D305" t="str">
        <f>HYPERLINK("http://comp.fnguide.com/SVO2/ASP/SVD_Consensus.asp?pGB=1&amp;gicode=A042110&amp;cID=&amp;MenuYn=Y&amp;ReportGB=&amp;NewMenuID=108&amp;stkGb=701", "에스씨디")</f>
        <v>에스씨디</v>
      </c>
      <c r="E305">
        <v>3</v>
      </c>
      <c r="F305">
        <v>1605</v>
      </c>
      <c r="G305">
        <v>0</v>
      </c>
      <c r="I305">
        <v>843</v>
      </c>
      <c r="J305">
        <v>1590</v>
      </c>
      <c r="K305">
        <v>1802</v>
      </c>
      <c r="L305">
        <v>47.46</v>
      </c>
      <c r="M305">
        <v>0.96</v>
      </c>
      <c r="N305">
        <v>-12.25</v>
      </c>
      <c r="O305">
        <v>3.21</v>
      </c>
      <c r="P305" t="b">
        <v>0</v>
      </c>
      <c r="Q305">
        <v>0</v>
      </c>
      <c r="R305">
        <v>-21</v>
      </c>
      <c r="U305" t="s">
        <v>2067</v>
      </c>
      <c r="V305" t="s">
        <v>2931</v>
      </c>
      <c r="W305">
        <v>0</v>
      </c>
      <c r="X305">
        <v>0</v>
      </c>
      <c r="Y305" t="s">
        <v>3761</v>
      </c>
      <c r="Z305">
        <v>-12.273086161845089</v>
      </c>
      <c r="AA305">
        <v>776</v>
      </c>
      <c r="AB305">
        <v>4768203</v>
      </c>
      <c r="AC305" t="s">
        <v>4586</v>
      </c>
      <c r="AD305">
        <v>51.42</v>
      </c>
      <c r="AE305" t="s">
        <v>5450</v>
      </c>
      <c r="AF305" t="s">
        <v>6295</v>
      </c>
      <c r="AG305">
        <v>1749</v>
      </c>
      <c r="AH305">
        <v>35</v>
      </c>
      <c r="AJ305">
        <v>1.1399999999999999</v>
      </c>
    </row>
    <row r="306" spans="1:36">
      <c r="A306" s="1" t="s">
        <v>340</v>
      </c>
      <c r="B306" t="s">
        <v>1204</v>
      </c>
      <c r="C306" t="str">
        <f>HYPERLINK("https://finance.naver.com/item/coinfo.nhn?code=103230", "A103230")</f>
        <v>A103230</v>
      </c>
      <c r="D306" t="str">
        <f>HYPERLINK("http://comp.fnguide.com/SVO2/ASP/SVD_Consensus.asp?pGB=1&amp;gicode=A103230&amp;cID=&amp;MenuYn=Y&amp;ReportGB=&amp;NewMenuID=108&amp;stkGb=701", "에스앤더블류")</f>
        <v>에스앤더블류</v>
      </c>
      <c r="E306">
        <v>3</v>
      </c>
      <c r="F306">
        <v>2920</v>
      </c>
      <c r="G306">
        <v>0</v>
      </c>
      <c r="I306">
        <v>0</v>
      </c>
      <c r="J306">
        <v>3259</v>
      </c>
      <c r="K306">
        <v>4185</v>
      </c>
      <c r="L306">
        <v>100</v>
      </c>
      <c r="M306">
        <v>-11.61</v>
      </c>
      <c r="N306">
        <v>-43.33</v>
      </c>
      <c r="O306">
        <v>0</v>
      </c>
      <c r="P306" t="b">
        <v>0</v>
      </c>
      <c r="Q306">
        <v>0</v>
      </c>
      <c r="R306">
        <v>-383</v>
      </c>
      <c r="U306" t="s">
        <v>2068</v>
      </c>
      <c r="V306" t="s">
        <v>2932</v>
      </c>
      <c r="W306">
        <v>0</v>
      </c>
      <c r="X306">
        <v>0</v>
      </c>
      <c r="Y306" t="s">
        <v>3499</v>
      </c>
      <c r="Z306">
        <v>0</v>
      </c>
      <c r="AA306">
        <v>210</v>
      </c>
      <c r="AB306">
        <v>109944</v>
      </c>
      <c r="AC306" t="s">
        <v>4587</v>
      </c>
      <c r="AD306">
        <v>50.57</v>
      </c>
      <c r="AE306" t="s">
        <v>5451</v>
      </c>
      <c r="AF306" t="s">
        <v>6021</v>
      </c>
      <c r="AG306">
        <v>360</v>
      </c>
      <c r="AH306">
        <v>-22</v>
      </c>
    </row>
    <row r="307" spans="1:36">
      <c r="A307" s="1" t="s">
        <v>341</v>
      </c>
      <c r="B307" t="s">
        <v>1205</v>
      </c>
      <c r="C307" t="str">
        <f>HYPERLINK("https://finance.naver.com/item/coinfo.nhn?code=900080", "A900080")</f>
        <v>A900080</v>
      </c>
      <c r="D307" t="str">
        <f>HYPERLINK("http://comp.fnguide.com/SVO2/ASP/SVD_Consensus.asp?pGB=1&amp;gicode=A900080&amp;cID=&amp;MenuYn=Y&amp;ReportGB=&amp;NewMenuID=108&amp;stkGb=701", "에스앤씨엔진그룹")</f>
        <v>에스앤씨엔진그룹</v>
      </c>
      <c r="E307">
        <v>3</v>
      </c>
      <c r="F307">
        <v>197</v>
      </c>
      <c r="G307">
        <v>0</v>
      </c>
      <c r="H307">
        <v>9.56</v>
      </c>
      <c r="I307">
        <v>1293</v>
      </c>
      <c r="J307">
        <v>2653</v>
      </c>
      <c r="K307">
        <v>3040</v>
      </c>
      <c r="L307">
        <v>-556.58000000000004</v>
      </c>
      <c r="M307">
        <v>-1246.8800000000001</v>
      </c>
      <c r="N307">
        <v>-1443.06</v>
      </c>
      <c r="O307">
        <v>2.89</v>
      </c>
      <c r="P307" t="b">
        <v>0</v>
      </c>
      <c r="Q307">
        <v>0</v>
      </c>
      <c r="R307">
        <v>45</v>
      </c>
      <c r="U307" t="s">
        <v>2069</v>
      </c>
      <c r="V307" t="s">
        <v>2933</v>
      </c>
      <c r="W307">
        <v>0</v>
      </c>
      <c r="X307">
        <v>0</v>
      </c>
      <c r="Y307" t="s">
        <v>3762</v>
      </c>
      <c r="Z307">
        <v>-38.084781287636837</v>
      </c>
      <c r="AA307">
        <v>244</v>
      </c>
      <c r="AB307">
        <v>0</v>
      </c>
      <c r="AC307" t="s">
        <v>4588</v>
      </c>
      <c r="AD307">
        <v>24.28</v>
      </c>
      <c r="AE307" t="s">
        <v>5452</v>
      </c>
      <c r="AF307" t="s">
        <v>6296</v>
      </c>
      <c r="AG307">
        <v>1076</v>
      </c>
      <c r="AH307">
        <v>146</v>
      </c>
    </row>
    <row r="308" spans="1:36">
      <c r="A308" s="1" t="s">
        <v>342</v>
      </c>
      <c r="B308" t="s">
        <v>1206</v>
      </c>
      <c r="C308" t="str">
        <f>HYPERLINK("https://finance.naver.com/item/coinfo.nhn?code=031330", "A031330")</f>
        <v>A031330</v>
      </c>
      <c r="D308" t="str">
        <f>HYPERLINK("http://comp.fnguide.com/SVO2/ASP/SVD_Consensus.asp?pGB=1&amp;gicode=A031330&amp;cID=&amp;MenuYn=Y&amp;ReportGB=&amp;NewMenuID=108&amp;stkGb=701", "에스에이엠티")</f>
        <v>에스에이엠티</v>
      </c>
      <c r="E308">
        <v>3</v>
      </c>
      <c r="F308">
        <v>2560</v>
      </c>
      <c r="G308">
        <v>0</v>
      </c>
      <c r="H308">
        <v>5.84</v>
      </c>
      <c r="I308">
        <v>4975</v>
      </c>
      <c r="J308">
        <v>3445</v>
      </c>
      <c r="K308">
        <v>3010</v>
      </c>
      <c r="L308">
        <v>-94.35</v>
      </c>
      <c r="M308">
        <v>-34.57</v>
      </c>
      <c r="N308">
        <v>-17.579999999999998</v>
      </c>
      <c r="O308">
        <v>16.25</v>
      </c>
      <c r="P308" t="b">
        <v>1</v>
      </c>
      <c r="Q308">
        <v>0</v>
      </c>
      <c r="R308">
        <v>376</v>
      </c>
      <c r="U308" t="s">
        <v>2070</v>
      </c>
      <c r="V308" t="s">
        <v>2934</v>
      </c>
      <c r="W308">
        <v>0</v>
      </c>
      <c r="X308">
        <v>-1</v>
      </c>
      <c r="Y308" t="s">
        <v>3763</v>
      </c>
      <c r="Z308">
        <v>-1.4921497399997929</v>
      </c>
      <c r="AA308">
        <v>2560</v>
      </c>
      <c r="AB308">
        <v>3024118</v>
      </c>
      <c r="AC308" t="s">
        <v>4589</v>
      </c>
      <c r="AD308">
        <v>50.02</v>
      </c>
      <c r="AE308" t="s">
        <v>5453</v>
      </c>
      <c r="AF308" t="s">
        <v>6297</v>
      </c>
      <c r="AG308">
        <v>12138</v>
      </c>
      <c r="AH308">
        <v>337</v>
      </c>
      <c r="AI308">
        <v>2000000</v>
      </c>
      <c r="AJ308">
        <v>6.38</v>
      </c>
    </row>
    <row r="309" spans="1:36">
      <c r="A309" s="1" t="s">
        <v>343</v>
      </c>
      <c r="B309" t="s">
        <v>1207</v>
      </c>
      <c r="C309" t="str">
        <f>HYPERLINK("https://finance.naver.com/item/coinfo.nhn?code=060540", "A060540")</f>
        <v>A060540</v>
      </c>
      <c r="D309" t="str">
        <f>HYPERLINK("http://comp.fnguide.com/SVO2/ASP/SVD_Consensus.asp?pGB=1&amp;gicode=A060540&amp;cID=&amp;MenuYn=Y&amp;ReportGB=&amp;NewMenuID=108&amp;stkGb=701", "에스에이티")</f>
        <v>에스에이티</v>
      </c>
      <c r="E309">
        <v>3</v>
      </c>
      <c r="F309">
        <v>2535</v>
      </c>
      <c r="G309">
        <v>0</v>
      </c>
      <c r="H309">
        <v>6.27</v>
      </c>
      <c r="I309">
        <v>4166</v>
      </c>
      <c r="J309">
        <v>3603</v>
      </c>
      <c r="K309">
        <v>3442</v>
      </c>
      <c r="L309">
        <v>-64.33</v>
      </c>
      <c r="M309">
        <v>-42.11</v>
      </c>
      <c r="N309">
        <v>-35.799999999999997</v>
      </c>
      <c r="O309">
        <v>10.24</v>
      </c>
      <c r="P309" t="b">
        <v>1</v>
      </c>
      <c r="Q309">
        <v>0</v>
      </c>
      <c r="R309">
        <v>355</v>
      </c>
      <c r="U309" t="s">
        <v>2071</v>
      </c>
      <c r="V309" t="s">
        <v>2935</v>
      </c>
      <c r="W309">
        <v>0</v>
      </c>
      <c r="X309">
        <v>-55.3</v>
      </c>
      <c r="Y309" t="s">
        <v>3764</v>
      </c>
      <c r="Z309">
        <v>-10.233214036047411</v>
      </c>
      <c r="AA309">
        <v>662</v>
      </c>
      <c r="AB309">
        <v>567562</v>
      </c>
      <c r="AC309" t="s">
        <v>4590</v>
      </c>
      <c r="AD309">
        <v>40.82</v>
      </c>
      <c r="AE309" t="s">
        <v>5454</v>
      </c>
      <c r="AF309" t="s">
        <v>6298</v>
      </c>
      <c r="AG309">
        <v>1402</v>
      </c>
      <c r="AH309">
        <v>100</v>
      </c>
      <c r="AI309">
        <v>372</v>
      </c>
      <c r="AJ309">
        <v>2.25</v>
      </c>
    </row>
    <row r="310" spans="1:36">
      <c r="A310" s="1" t="s">
        <v>344</v>
      </c>
      <c r="B310" t="s">
        <v>1208</v>
      </c>
      <c r="C310" t="str">
        <f>HYPERLINK("https://finance.naver.com/item/coinfo.nhn?code=080440", "A080440")</f>
        <v>A080440</v>
      </c>
      <c r="D310" t="str">
        <f>HYPERLINK("http://comp.fnguide.com/SVO2/ASP/SVD_Consensus.asp?pGB=1&amp;gicode=A080440&amp;cID=&amp;MenuYn=Y&amp;ReportGB=&amp;NewMenuID=108&amp;stkGb=701", "에스제이케이")</f>
        <v>에스제이케이</v>
      </c>
      <c r="E310">
        <v>3</v>
      </c>
      <c r="F310">
        <v>498</v>
      </c>
      <c r="G310">
        <v>0</v>
      </c>
      <c r="I310">
        <v>0</v>
      </c>
      <c r="J310">
        <v>601</v>
      </c>
      <c r="K310">
        <v>771</v>
      </c>
      <c r="L310">
        <v>100</v>
      </c>
      <c r="M310">
        <v>-20.61</v>
      </c>
      <c r="N310">
        <v>-54.88</v>
      </c>
      <c r="O310">
        <v>0</v>
      </c>
      <c r="P310" t="b">
        <v>0</v>
      </c>
      <c r="Q310">
        <v>0</v>
      </c>
      <c r="R310">
        <v>-857</v>
      </c>
      <c r="U310" t="s">
        <v>2072</v>
      </c>
      <c r="V310" t="s">
        <v>2936</v>
      </c>
      <c r="W310">
        <v>0</v>
      </c>
      <c r="X310">
        <v>0</v>
      </c>
      <c r="Y310" t="s">
        <v>3499</v>
      </c>
      <c r="Z310">
        <v>0</v>
      </c>
      <c r="AA310">
        <v>66</v>
      </c>
      <c r="AB310">
        <v>0</v>
      </c>
      <c r="AC310" t="s">
        <v>4591</v>
      </c>
      <c r="AD310">
        <v>3.59</v>
      </c>
      <c r="AE310" t="s">
        <v>5455</v>
      </c>
      <c r="AF310" t="s">
        <v>6021</v>
      </c>
      <c r="AG310">
        <v>41</v>
      </c>
      <c r="AH310">
        <v>-55</v>
      </c>
      <c r="AI310">
        <v>2619</v>
      </c>
    </row>
    <row r="311" spans="1:36">
      <c r="A311" s="1" t="s">
        <v>345</v>
      </c>
      <c r="B311" t="s">
        <v>1209</v>
      </c>
      <c r="C311" t="str">
        <f>HYPERLINK("https://finance.naver.com/item/coinfo.nhn?code=069510", "A069510")</f>
        <v>A069510</v>
      </c>
      <c r="D311" t="str">
        <f>HYPERLINK("http://comp.fnguide.com/SVO2/ASP/SVD_Consensus.asp?pGB=1&amp;gicode=A069510&amp;cID=&amp;MenuYn=Y&amp;ReportGB=&amp;NewMenuID=108&amp;stkGb=701", "에스텍")</f>
        <v>에스텍</v>
      </c>
      <c r="E311">
        <v>3</v>
      </c>
      <c r="F311">
        <v>10350</v>
      </c>
      <c r="G311">
        <v>-3.57</v>
      </c>
      <c r="H311">
        <v>7.39</v>
      </c>
      <c r="I311">
        <v>28248</v>
      </c>
      <c r="J311">
        <v>22269</v>
      </c>
      <c r="K311">
        <v>20570</v>
      </c>
      <c r="L311">
        <v>-172.92</v>
      </c>
      <c r="M311">
        <v>-115.16</v>
      </c>
      <c r="N311">
        <v>-98.75</v>
      </c>
      <c r="O311">
        <v>12.25</v>
      </c>
      <c r="P311" t="b">
        <v>1</v>
      </c>
      <c r="Q311">
        <v>0</v>
      </c>
      <c r="R311">
        <v>1576</v>
      </c>
      <c r="S311">
        <v>852</v>
      </c>
      <c r="T311">
        <v>-45.9</v>
      </c>
      <c r="U311" t="s">
        <v>2073</v>
      </c>
      <c r="V311" t="s">
        <v>2937</v>
      </c>
      <c r="W311">
        <v>-2.0687422244281661</v>
      </c>
      <c r="X311">
        <v>-42.3</v>
      </c>
      <c r="Y311" t="s">
        <v>3765</v>
      </c>
      <c r="Z311">
        <v>-6.8829880197142419</v>
      </c>
      <c r="AA311">
        <v>1129</v>
      </c>
      <c r="AB311">
        <v>30049</v>
      </c>
      <c r="AC311" t="s">
        <v>4592</v>
      </c>
      <c r="AD311">
        <v>49.55</v>
      </c>
      <c r="AE311" t="s">
        <v>5456</v>
      </c>
      <c r="AF311" t="s">
        <v>6299</v>
      </c>
      <c r="AG311">
        <v>3380</v>
      </c>
      <c r="AH311">
        <v>175</v>
      </c>
      <c r="AI311">
        <v>2500000</v>
      </c>
      <c r="AJ311">
        <v>5.15</v>
      </c>
    </row>
    <row r="312" spans="1:36">
      <c r="A312" s="1" t="s">
        <v>346</v>
      </c>
      <c r="B312" t="s">
        <v>1210</v>
      </c>
      <c r="C312" t="str">
        <f>HYPERLINK("https://finance.naver.com/item/coinfo.nhn?code=098660", "A098660")</f>
        <v>A098660</v>
      </c>
      <c r="D312" t="str">
        <f>HYPERLINK("http://comp.fnguide.com/SVO2/ASP/SVD_Consensus.asp?pGB=1&amp;gicode=A098660&amp;cID=&amp;MenuYn=Y&amp;ReportGB=&amp;NewMenuID=108&amp;stkGb=701", "에스티오")</f>
        <v>에스티오</v>
      </c>
      <c r="E312">
        <v>3</v>
      </c>
      <c r="F312">
        <v>2110</v>
      </c>
      <c r="G312">
        <v>0</v>
      </c>
      <c r="H312">
        <v>9.0500000000000007</v>
      </c>
      <c r="I312">
        <v>1750</v>
      </c>
      <c r="J312">
        <v>2437</v>
      </c>
      <c r="K312">
        <v>2632</v>
      </c>
      <c r="L312">
        <v>17.059999999999999</v>
      </c>
      <c r="M312">
        <v>-15.5</v>
      </c>
      <c r="N312">
        <v>-24.76</v>
      </c>
      <c r="O312">
        <v>4.8</v>
      </c>
      <c r="P312" t="b">
        <v>1</v>
      </c>
      <c r="Q312">
        <v>0</v>
      </c>
      <c r="R312">
        <v>262</v>
      </c>
      <c r="U312" t="s">
        <v>2074</v>
      </c>
      <c r="V312" t="s">
        <v>2938</v>
      </c>
      <c r="W312">
        <v>0</v>
      </c>
      <c r="X312">
        <v>0</v>
      </c>
      <c r="Y312" t="s">
        <v>3766</v>
      </c>
      <c r="Z312">
        <v>-27.899999999999991</v>
      </c>
      <c r="AA312">
        <v>264</v>
      </c>
      <c r="AB312">
        <v>23421</v>
      </c>
      <c r="AC312" t="s">
        <v>4593</v>
      </c>
      <c r="AD312">
        <v>67.75</v>
      </c>
      <c r="AE312" t="s">
        <v>5457</v>
      </c>
      <c r="AF312" t="s">
        <v>6300</v>
      </c>
      <c r="AG312">
        <v>851</v>
      </c>
      <c r="AH312">
        <v>54</v>
      </c>
      <c r="AI312">
        <v>363728</v>
      </c>
      <c r="AJ312">
        <v>5.0599999999999996</v>
      </c>
    </row>
    <row r="313" spans="1:36">
      <c r="A313" s="1" t="s">
        <v>347</v>
      </c>
      <c r="B313" t="s">
        <v>1211</v>
      </c>
      <c r="C313" t="str">
        <f>HYPERLINK("https://finance.naver.com/item/coinfo.nhn?code=096690", "A096690")</f>
        <v>A096690</v>
      </c>
      <c r="D313" t="str">
        <f>HYPERLINK("http://comp.fnguide.com/SVO2/ASP/SVD_Consensus.asp?pGB=1&amp;gicode=A096690&amp;cID=&amp;MenuYn=Y&amp;ReportGB=&amp;NewMenuID=108&amp;stkGb=701", "에이루트")</f>
        <v>에이루트</v>
      </c>
      <c r="E313">
        <v>3</v>
      </c>
      <c r="F313">
        <v>6140</v>
      </c>
      <c r="G313">
        <v>0</v>
      </c>
      <c r="H313">
        <v>24.69</v>
      </c>
      <c r="I313">
        <v>1307</v>
      </c>
      <c r="J313">
        <v>5536</v>
      </c>
      <c r="K313">
        <v>6737</v>
      </c>
      <c r="L313">
        <v>78.709999999999994</v>
      </c>
      <c r="M313">
        <v>9.84</v>
      </c>
      <c r="N313">
        <v>-9.73</v>
      </c>
      <c r="O313">
        <v>1.25</v>
      </c>
      <c r="P313" t="b">
        <v>1</v>
      </c>
      <c r="Q313">
        <v>0</v>
      </c>
      <c r="R313">
        <v>339</v>
      </c>
      <c r="U313" t="s">
        <v>2075</v>
      </c>
      <c r="V313" t="s">
        <v>2939</v>
      </c>
      <c r="W313">
        <v>0</v>
      </c>
      <c r="X313">
        <v>0</v>
      </c>
      <c r="Y313" t="s">
        <v>3499</v>
      </c>
      <c r="Z313">
        <v>0</v>
      </c>
      <c r="AA313">
        <v>758</v>
      </c>
      <c r="AB313">
        <v>318817</v>
      </c>
      <c r="AC313" t="s">
        <v>4594</v>
      </c>
      <c r="AD313">
        <v>10.63</v>
      </c>
      <c r="AE313" t="s">
        <v>5458</v>
      </c>
      <c r="AF313" t="s">
        <v>6301</v>
      </c>
      <c r="AG313">
        <v>313</v>
      </c>
      <c r="AH313">
        <v>-10</v>
      </c>
      <c r="AI313">
        <v>4488</v>
      </c>
    </row>
    <row r="314" spans="1:36">
      <c r="A314" s="1" t="s">
        <v>348</v>
      </c>
      <c r="B314" t="s">
        <v>1212</v>
      </c>
      <c r="C314" t="str">
        <f>HYPERLINK("https://finance.naver.com/item/coinfo.nhn?code=003800", "A003800")</f>
        <v>A003800</v>
      </c>
      <c r="D314" t="str">
        <f>HYPERLINK("http://comp.fnguide.com/SVO2/ASP/SVD_Consensus.asp?pGB=1&amp;gicode=A003800&amp;cID=&amp;MenuYn=Y&amp;ReportGB=&amp;NewMenuID=108&amp;stkGb=701", "에이스침대")</f>
        <v>에이스침대</v>
      </c>
      <c r="E314">
        <v>3</v>
      </c>
      <c r="F314">
        <v>39150</v>
      </c>
      <c r="G314">
        <v>0.48</v>
      </c>
      <c r="H314">
        <v>8.77</v>
      </c>
      <c r="I314">
        <v>49037</v>
      </c>
      <c r="J314">
        <v>47028</v>
      </c>
      <c r="K314">
        <v>46458</v>
      </c>
      <c r="L314">
        <v>-25.25</v>
      </c>
      <c r="M314">
        <v>-20.12</v>
      </c>
      <c r="N314">
        <v>-18.670000000000002</v>
      </c>
      <c r="O314">
        <v>8.52</v>
      </c>
      <c r="P314" t="b">
        <v>1</v>
      </c>
      <c r="Q314">
        <v>0</v>
      </c>
      <c r="R314">
        <v>3987</v>
      </c>
      <c r="S314">
        <v>3968</v>
      </c>
      <c r="T314">
        <v>-0.5</v>
      </c>
      <c r="U314" t="s">
        <v>2076</v>
      </c>
      <c r="V314" t="s">
        <v>2940</v>
      </c>
      <c r="W314">
        <v>18.457151866545239</v>
      </c>
      <c r="X314">
        <v>-7.7</v>
      </c>
      <c r="Y314" t="s">
        <v>3767</v>
      </c>
      <c r="Z314">
        <v>6.0210398186735903</v>
      </c>
      <c r="AA314">
        <v>4342</v>
      </c>
      <c r="AB314">
        <v>5416</v>
      </c>
      <c r="AC314" t="s">
        <v>4595</v>
      </c>
      <c r="AD314">
        <v>79.56</v>
      </c>
      <c r="AE314" t="s">
        <v>5459</v>
      </c>
      <c r="AF314" t="s">
        <v>6302</v>
      </c>
      <c r="AG314">
        <v>2774</v>
      </c>
      <c r="AH314">
        <v>499</v>
      </c>
      <c r="AI314">
        <v>838055</v>
      </c>
      <c r="AJ314">
        <v>3.15</v>
      </c>
    </row>
    <row r="315" spans="1:36">
      <c r="A315" s="1" t="s">
        <v>349</v>
      </c>
      <c r="B315" t="s">
        <v>1213</v>
      </c>
      <c r="C315" t="str">
        <f>HYPERLINK("https://finance.naver.com/item/coinfo.nhn?code=039230", "A039230")</f>
        <v>A039230</v>
      </c>
      <c r="D315" t="str">
        <f>HYPERLINK("http://comp.fnguide.com/SVO2/ASP/SVD_Consensus.asp?pGB=1&amp;gicode=A039230&amp;cID=&amp;MenuYn=Y&amp;ReportGB=&amp;NewMenuID=108&amp;stkGb=701", "에이아이비트")</f>
        <v>에이아이비트</v>
      </c>
      <c r="E315">
        <v>3</v>
      </c>
      <c r="F315">
        <v>181</v>
      </c>
      <c r="G315">
        <v>0</v>
      </c>
      <c r="I315">
        <v>0</v>
      </c>
      <c r="J315">
        <v>275</v>
      </c>
      <c r="K315">
        <v>354</v>
      </c>
      <c r="L315">
        <v>100</v>
      </c>
      <c r="M315">
        <v>-52.11</v>
      </c>
      <c r="N315">
        <v>-95.33</v>
      </c>
      <c r="O315">
        <v>0</v>
      </c>
      <c r="P315" t="b">
        <v>0</v>
      </c>
      <c r="Q315">
        <v>0</v>
      </c>
      <c r="R315">
        <v>-109</v>
      </c>
      <c r="U315" t="s">
        <v>2077</v>
      </c>
      <c r="V315" t="s">
        <v>2941</v>
      </c>
      <c r="W315">
        <v>0</v>
      </c>
      <c r="X315">
        <v>0</v>
      </c>
      <c r="Y315" t="s">
        <v>3499</v>
      </c>
      <c r="Z315">
        <v>0</v>
      </c>
      <c r="AA315">
        <v>200</v>
      </c>
      <c r="AB315">
        <v>0</v>
      </c>
      <c r="AC315" t="s">
        <v>4596</v>
      </c>
      <c r="AD315">
        <v>5.12</v>
      </c>
      <c r="AE315" t="s">
        <v>5460</v>
      </c>
      <c r="AF315" t="s">
        <v>6021</v>
      </c>
      <c r="AG315">
        <v>374</v>
      </c>
      <c r="AH315">
        <v>31</v>
      </c>
    </row>
    <row r="316" spans="1:36">
      <c r="A316" s="1" t="s">
        <v>350</v>
      </c>
      <c r="B316" t="s">
        <v>1214</v>
      </c>
      <c r="C316" t="str">
        <f>HYPERLINK("https://finance.naver.com/item/coinfo.nhn?code=044780", "A044780")</f>
        <v>A044780</v>
      </c>
      <c r="D316" t="str">
        <f>HYPERLINK("http://comp.fnguide.com/SVO2/ASP/SVD_Consensus.asp?pGB=1&amp;gicode=A044780&amp;cID=&amp;MenuYn=Y&amp;ReportGB=&amp;NewMenuID=108&amp;stkGb=701", "에이치케이")</f>
        <v>에이치케이</v>
      </c>
      <c r="E316">
        <v>3</v>
      </c>
      <c r="F316">
        <v>1640</v>
      </c>
      <c r="G316">
        <v>0</v>
      </c>
      <c r="H316">
        <v>32.18</v>
      </c>
      <c r="I316">
        <v>666</v>
      </c>
      <c r="J316">
        <v>1869</v>
      </c>
      <c r="K316">
        <v>2211</v>
      </c>
      <c r="L316">
        <v>59.36</v>
      </c>
      <c r="M316">
        <v>-13.99</v>
      </c>
      <c r="N316">
        <v>-34.83</v>
      </c>
      <c r="O316">
        <v>1.99</v>
      </c>
      <c r="P316" t="b">
        <v>1</v>
      </c>
      <c r="Q316">
        <v>0</v>
      </c>
      <c r="R316">
        <v>45</v>
      </c>
      <c r="U316" t="s">
        <v>2078</v>
      </c>
      <c r="V316" t="s">
        <v>2942</v>
      </c>
      <c r="W316">
        <v>0</v>
      </c>
      <c r="X316">
        <v>-29.4</v>
      </c>
      <c r="Y316" t="s">
        <v>3768</v>
      </c>
      <c r="Z316">
        <v>36.892976374148191</v>
      </c>
      <c r="AA316">
        <v>303</v>
      </c>
      <c r="AB316">
        <v>135919</v>
      </c>
      <c r="AC316" t="s">
        <v>4597</v>
      </c>
      <c r="AD316">
        <v>22.15</v>
      </c>
      <c r="AE316" t="s">
        <v>5461</v>
      </c>
      <c r="AF316" t="s">
        <v>6303</v>
      </c>
      <c r="AG316">
        <v>550</v>
      </c>
      <c r="AH316">
        <v>9</v>
      </c>
      <c r="AI316">
        <v>162404</v>
      </c>
    </row>
    <row r="317" spans="1:36">
      <c r="A317" s="1" t="s">
        <v>351</v>
      </c>
      <c r="B317" t="s">
        <v>1215</v>
      </c>
      <c r="C317" t="str">
        <f>HYPERLINK("https://finance.naver.com/item/coinfo.nhn?code=073070", "A073070")</f>
        <v>A073070</v>
      </c>
      <c r="D317" t="str">
        <f>HYPERLINK("http://comp.fnguide.com/SVO2/ASP/SVD_Consensus.asp?pGB=1&amp;gicode=A073070&amp;cID=&amp;MenuYn=Y&amp;ReportGB=&amp;NewMenuID=108&amp;stkGb=701", "에이팸")</f>
        <v>에이팸</v>
      </c>
      <c r="E317">
        <v>3</v>
      </c>
      <c r="F317">
        <v>407</v>
      </c>
      <c r="G317">
        <v>0</v>
      </c>
      <c r="I317">
        <v>420</v>
      </c>
      <c r="J317">
        <v>1115</v>
      </c>
      <c r="K317">
        <v>1312</v>
      </c>
      <c r="L317">
        <v>-3.2</v>
      </c>
      <c r="M317">
        <v>-173.84</v>
      </c>
      <c r="N317">
        <v>-222.33</v>
      </c>
      <c r="O317">
        <v>2.12</v>
      </c>
      <c r="P317" t="b">
        <v>0</v>
      </c>
      <c r="Q317">
        <v>0</v>
      </c>
      <c r="R317">
        <v>-3059</v>
      </c>
      <c r="U317" t="s">
        <v>2079</v>
      </c>
      <c r="V317" t="s">
        <v>2943</v>
      </c>
      <c r="W317">
        <v>0</v>
      </c>
      <c r="X317">
        <v>0</v>
      </c>
      <c r="Y317" t="s">
        <v>3769</v>
      </c>
      <c r="Z317">
        <v>48.097839282009772</v>
      </c>
      <c r="AA317">
        <v>584</v>
      </c>
      <c r="AB317">
        <v>0</v>
      </c>
      <c r="AC317" t="s">
        <v>4598</v>
      </c>
      <c r="AD317">
        <v>7.61</v>
      </c>
      <c r="AE317" t="s">
        <v>5462</v>
      </c>
      <c r="AF317" t="s">
        <v>6304</v>
      </c>
      <c r="AG317">
        <v>506</v>
      </c>
      <c r="AH317">
        <v>-88</v>
      </c>
    </row>
    <row r="318" spans="1:36">
      <c r="A318" s="1" t="s">
        <v>352</v>
      </c>
      <c r="B318" t="s">
        <v>1216</v>
      </c>
      <c r="C318" t="str">
        <f>HYPERLINK("https://finance.naver.com/item/coinfo.nhn?code=109960", "A109960")</f>
        <v>A109960</v>
      </c>
      <c r="D318" t="str">
        <f>HYPERLINK("http://comp.fnguide.com/SVO2/ASP/SVD_Consensus.asp?pGB=1&amp;gicode=A109960&amp;cID=&amp;MenuYn=Y&amp;ReportGB=&amp;NewMenuID=108&amp;stkGb=701", "에이프로젠 H&amp;G")</f>
        <v>에이프로젠 H&amp;G</v>
      </c>
      <c r="E318">
        <v>3</v>
      </c>
      <c r="F318">
        <v>731</v>
      </c>
      <c r="G318">
        <v>0</v>
      </c>
      <c r="I318">
        <v>260</v>
      </c>
      <c r="J318">
        <v>813</v>
      </c>
      <c r="K318">
        <v>970</v>
      </c>
      <c r="L318">
        <v>64.38</v>
      </c>
      <c r="M318">
        <v>-11.23</v>
      </c>
      <c r="N318">
        <v>-32.72</v>
      </c>
      <c r="O318">
        <v>1.75</v>
      </c>
      <c r="P318" t="b">
        <v>0</v>
      </c>
      <c r="Q318">
        <v>0</v>
      </c>
      <c r="R318">
        <v>-38</v>
      </c>
      <c r="U318" t="s">
        <v>2080</v>
      </c>
      <c r="V318" t="s">
        <v>2944</v>
      </c>
      <c r="W318">
        <v>0</v>
      </c>
      <c r="X318">
        <v>0</v>
      </c>
      <c r="Y318" t="s">
        <v>3499</v>
      </c>
      <c r="Z318">
        <v>0</v>
      </c>
      <c r="AA318">
        <v>1306</v>
      </c>
      <c r="AB318">
        <v>1267464</v>
      </c>
      <c r="AC318" t="s">
        <v>4599</v>
      </c>
      <c r="AD318">
        <v>59.7</v>
      </c>
      <c r="AE318" t="s">
        <v>5463</v>
      </c>
      <c r="AF318" t="s">
        <v>6305</v>
      </c>
      <c r="AG318">
        <v>219</v>
      </c>
      <c r="AH318">
        <v>-8</v>
      </c>
      <c r="AI318">
        <v>162557</v>
      </c>
    </row>
    <row r="319" spans="1:36">
      <c r="A319" s="1" t="s">
        <v>353</v>
      </c>
      <c r="B319" t="s">
        <v>1217</v>
      </c>
      <c r="C319" t="str">
        <f>HYPERLINK("https://finance.naver.com/item/coinfo.nhn?code=032080", "A032080")</f>
        <v>A032080</v>
      </c>
      <c r="D319" t="str">
        <f>HYPERLINK("http://comp.fnguide.com/SVO2/ASP/SVD_Consensus.asp?pGB=1&amp;gicode=A032080&amp;cID=&amp;MenuYn=Y&amp;ReportGB=&amp;NewMenuID=108&amp;stkGb=701", "아즈텍WB")</f>
        <v>아즈텍WB</v>
      </c>
      <c r="E319">
        <v>3</v>
      </c>
      <c r="F319">
        <v>1845</v>
      </c>
      <c r="G319">
        <v>0</v>
      </c>
      <c r="H319">
        <v>8.2200000000000006</v>
      </c>
      <c r="I319">
        <v>2305</v>
      </c>
      <c r="J319">
        <v>3653</v>
      </c>
      <c r="K319">
        <v>4036</v>
      </c>
      <c r="L319">
        <v>-24.93</v>
      </c>
      <c r="M319">
        <v>-97.98</v>
      </c>
      <c r="N319">
        <v>-118.74</v>
      </c>
      <c r="O319">
        <v>4.03</v>
      </c>
      <c r="P319" t="b">
        <v>1</v>
      </c>
      <c r="Q319">
        <v>0</v>
      </c>
      <c r="R319">
        <v>226</v>
      </c>
      <c r="U319" t="s">
        <v>2081</v>
      </c>
      <c r="V319" t="s">
        <v>2945</v>
      </c>
      <c r="W319">
        <v>0</v>
      </c>
      <c r="X319">
        <v>-60.3</v>
      </c>
      <c r="Y319" t="s">
        <v>3770</v>
      </c>
      <c r="Z319">
        <v>-22.72473859886631</v>
      </c>
      <c r="AA319">
        <v>397</v>
      </c>
      <c r="AB319">
        <v>179326</v>
      </c>
      <c r="AC319" t="s">
        <v>4600</v>
      </c>
      <c r="AD319">
        <v>42.59</v>
      </c>
      <c r="AE319" t="s">
        <v>5464</v>
      </c>
      <c r="AF319" t="s">
        <v>6306</v>
      </c>
      <c r="AG319">
        <v>446</v>
      </c>
      <c r="AH319">
        <v>29</v>
      </c>
      <c r="AI319">
        <v>501000</v>
      </c>
    </row>
    <row r="320" spans="1:36">
      <c r="A320" s="1" t="s">
        <v>354</v>
      </c>
      <c r="B320" t="s">
        <v>1218</v>
      </c>
      <c r="C320" t="str">
        <f>HYPERLINK("https://finance.naver.com/item/coinfo.nhn?code=031310", "A031310")</f>
        <v>A031310</v>
      </c>
      <c r="D320" t="str">
        <f>HYPERLINK("http://comp.fnguide.com/SVO2/ASP/SVD_Consensus.asp?pGB=1&amp;gicode=A031310&amp;cID=&amp;MenuYn=Y&amp;ReportGB=&amp;NewMenuID=108&amp;stkGb=701", "아이즈비전")</f>
        <v>아이즈비전</v>
      </c>
      <c r="E320">
        <v>3</v>
      </c>
      <c r="F320">
        <v>3725</v>
      </c>
      <c r="G320">
        <v>0</v>
      </c>
      <c r="I320">
        <v>4256</v>
      </c>
      <c r="J320">
        <v>5264</v>
      </c>
      <c r="K320">
        <v>5550</v>
      </c>
      <c r="L320">
        <v>-14.26</v>
      </c>
      <c r="M320">
        <v>-41.31</v>
      </c>
      <c r="N320">
        <v>-49</v>
      </c>
      <c r="O320">
        <v>5.7</v>
      </c>
      <c r="P320" t="b">
        <v>0</v>
      </c>
      <c r="Q320">
        <v>0</v>
      </c>
      <c r="R320">
        <v>-63</v>
      </c>
      <c r="U320" t="s">
        <v>2082</v>
      </c>
      <c r="V320" t="s">
        <v>2946</v>
      </c>
      <c r="W320">
        <v>0</v>
      </c>
      <c r="X320">
        <v>0</v>
      </c>
      <c r="Y320" t="s">
        <v>3771</v>
      </c>
      <c r="Z320">
        <v>90.59335527169354</v>
      </c>
      <c r="AA320">
        <v>588</v>
      </c>
      <c r="AB320">
        <v>92461</v>
      </c>
      <c r="AC320" t="s">
        <v>4601</v>
      </c>
      <c r="AD320">
        <v>18.84</v>
      </c>
      <c r="AE320" t="s">
        <v>5465</v>
      </c>
      <c r="AF320" t="s">
        <v>6307</v>
      </c>
      <c r="AG320">
        <v>1315</v>
      </c>
      <c r="AH320">
        <v>-5</v>
      </c>
      <c r="AI320">
        <v>934659</v>
      </c>
    </row>
    <row r="321" spans="1:36">
      <c r="A321" s="1" t="s">
        <v>355</v>
      </c>
      <c r="B321" t="s">
        <v>1219</v>
      </c>
      <c r="C321" t="str">
        <f>HYPERLINK("https://finance.naver.com/item/coinfo.nhn?code=226350", "A226350")</f>
        <v>A226350</v>
      </c>
      <c r="D321" t="str">
        <f>HYPERLINK("http://comp.fnguide.com/SVO2/ASP/SVD_Consensus.asp?pGB=1&amp;gicode=A226350&amp;cID=&amp;MenuYn=Y&amp;ReportGB=&amp;NewMenuID=108&amp;stkGb=701", "아이엠텍")</f>
        <v>아이엠텍</v>
      </c>
      <c r="E321">
        <v>3</v>
      </c>
      <c r="F321">
        <v>214</v>
      </c>
      <c r="G321">
        <v>0</v>
      </c>
      <c r="I321">
        <v>0</v>
      </c>
      <c r="J321">
        <v>239</v>
      </c>
      <c r="K321">
        <v>307</v>
      </c>
      <c r="L321">
        <v>100</v>
      </c>
      <c r="M321">
        <v>-11.72</v>
      </c>
      <c r="N321">
        <v>-43.47</v>
      </c>
      <c r="O321">
        <v>0</v>
      </c>
      <c r="P321" t="b">
        <v>0</v>
      </c>
      <c r="Q321">
        <v>0</v>
      </c>
      <c r="R321">
        <v>-79</v>
      </c>
      <c r="U321" t="s">
        <v>2083</v>
      </c>
      <c r="V321" t="s">
        <v>2947</v>
      </c>
      <c r="W321">
        <v>0</v>
      </c>
      <c r="X321">
        <v>0</v>
      </c>
      <c r="Y321" t="s">
        <v>3499</v>
      </c>
      <c r="Z321">
        <v>0</v>
      </c>
      <c r="AA321">
        <v>93</v>
      </c>
      <c r="AB321">
        <v>0</v>
      </c>
      <c r="AC321" t="s">
        <v>4602</v>
      </c>
      <c r="AD321">
        <v>7.8</v>
      </c>
      <c r="AE321" t="s">
        <v>5466</v>
      </c>
      <c r="AF321" t="s">
        <v>6021</v>
      </c>
      <c r="AG321">
        <v>138</v>
      </c>
      <c r="AH321">
        <v>-29</v>
      </c>
      <c r="AI321">
        <v>6054</v>
      </c>
    </row>
    <row r="322" spans="1:36">
      <c r="A322" s="1" t="s">
        <v>356</v>
      </c>
      <c r="B322" t="s">
        <v>1220</v>
      </c>
      <c r="C322" t="str">
        <f>HYPERLINK("https://finance.naver.com/item/coinfo.nhn?code=010280", "A010280")</f>
        <v>A010280</v>
      </c>
      <c r="D322" t="str">
        <f>HYPERLINK("http://comp.fnguide.com/SVO2/ASP/SVD_Consensus.asp?pGB=1&amp;gicode=A010280&amp;cID=&amp;MenuYn=Y&amp;ReportGB=&amp;NewMenuID=108&amp;stkGb=701", "쌍용정보통신")</f>
        <v>쌍용정보통신</v>
      </c>
      <c r="E322">
        <v>3</v>
      </c>
      <c r="F322">
        <v>1410</v>
      </c>
      <c r="G322">
        <v>0</v>
      </c>
      <c r="H322">
        <v>56.74</v>
      </c>
      <c r="I322">
        <v>2506</v>
      </c>
      <c r="J322">
        <v>1657</v>
      </c>
      <c r="K322">
        <v>1416</v>
      </c>
      <c r="L322">
        <v>-77.75</v>
      </c>
      <c r="M322">
        <v>-17.52</v>
      </c>
      <c r="N322">
        <v>-0.4</v>
      </c>
      <c r="O322">
        <v>18.18</v>
      </c>
      <c r="P322" t="b">
        <v>0</v>
      </c>
      <c r="Q322">
        <v>0</v>
      </c>
      <c r="R322">
        <v>32</v>
      </c>
      <c r="U322" t="s">
        <v>2084</v>
      </c>
      <c r="V322" t="s">
        <v>2948</v>
      </c>
      <c r="W322">
        <v>0</v>
      </c>
      <c r="X322">
        <v>0</v>
      </c>
      <c r="Y322" t="s">
        <v>3772</v>
      </c>
      <c r="Z322">
        <v>-92.300000000000011</v>
      </c>
      <c r="AA322">
        <v>571</v>
      </c>
      <c r="AB322">
        <v>203556</v>
      </c>
      <c r="AC322" t="s">
        <v>4603</v>
      </c>
      <c r="AD322">
        <v>40</v>
      </c>
      <c r="AE322" t="s">
        <v>5467</v>
      </c>
      <c r="AF322" t="s">
        <v>6308</v>
      </c>
      <c r="AG322">
        <v>1083</v>
      </c>
      <c r="AH322">
        <v>5</v>
      </c>
    </row>
    <row r="323" spans="1:36">
      <c r="A323" s="1" t="s">
        <v>357</v>
      </c>
      <c r="B323" t="s">
        <v>1221</v>
      </c>
      <c r="C323" t="str">
        <f>HYPERLINK("https://finance.naver.com/item/coinfo.nhn?code=033790", "A033790")</f>
        <v>A033790</v>
      </c>
      <c r="D323" t="str">
        <f>HYPERLINK("http://comp.fnguide.com/SVO2/ASP/SVD_Consensus.asp?pGB=1&amp;gicode=A033790&amp;cID=&amp;MenuYn=Y&amp;ReportGB=&amp;NewMenuID=108&amp;stkGb=701", "스카이문스테크놀로지")</f>
        <v>스카이문스테크놀로지</v>
      </c>
      <c r="E323">
        <v>3</v>
      </c>
      <c r="F323">
        <v>829</v>
      </c>
      <c r="G323">
        <v>0</v>
      </c>
      <c r="I323">
        <v>0</v>
      </c>
      <c r="J323">
        <v>716</v>
      </c>
      <c r="K323">
        <v>919</v>
      </c>
      <c r="L323">
        <v>100</v>
      </c>
      <c r="M323">
        <v>13.69</v>
      </c>
      <c r="N323">
        <v>-10.84</v>
      </c>
      <c r="O323">
        <v>0</v>
      </c>
      <c r="P323" t="b">
        <v>0</v>
      </c>
      <c r="Q323">
        <v>0</v>
      </c>
      <c r="R323">
        <v>-720</v>
      </c>
      <c r="U323" t="s">
        <v>2085</v>
      </c>
      <c r="V323" t="s">
        <v>2949</v>
      </c>
      <c r="W323">
        <v>0</v>
      </c>
      <c r="X323">
        <v>0</v>
      </c>
      <c r="Y323" t="s">
        <v>3499</v>
      </c>
      <c r="Z323">
        <v>0</v>
      </c>
      <c r="AA323">
        <v>142</v>
      </c>
      <c r="AB323">
        <v>0</v>
      </c>
      <c r="AC323" t="s">
        <v>4604</v>
      </c>
      <c r="AD323">
        <v>27.2</v>
      </c>
      <c r="AE323" t="s">
        <v>5468</v>
      </c>
      <c r="AF323" t="s">
        <v>6021</v>
      </c>
      <c r="AG323">
        <v>57</v>
      </c>
      <c r="AH323">
        <v>-105</v>
      </c>
      <c r="AI323">
        <v>300000</v>
      </c>
    </row>
    <row r="324" spans="1:36">
      <c r="A324" s="1" t="s">
        <v>358</v>
      </c>
      <c r="B324" t="s">
        <v>1222</v>
      </c>
      <c r="C324" t="str">
        <f>HYPERLINK("https://finance.naver.com/item/coinfo.nhn?code=158310", "A158310")</f>
        <v>A158310</v>
      </c>
      <c r="D324" t="str">
        <f>HYPERLINK("http://comp.fnguide.com/SVO2/ASP/SVD_Consensus.asp?pGB=1&amp;gicode=A158310&amp;cID=&amp;MenuYn=Y&amp;ReportGB=&amp;NewMenuID=108&amp;stkGb=701", "스타모빌리티")</f>
        <v>스타모빌리티</v>
      </c>
      <c r="E324">
        <v>3</v>
      </c>
      <c r="F324">
        <v>505</v>
      </c>
      <c r="G324">
        <v>0</v>
      </c>
      <c r="I324">
        <v>0</v>
      </c>
      <c r="J324">
        <v>1475</v>
      </c>
      <c r="K324">
        <v>1894</v>
      </c>
      <c r="L324">
        <v>100</v>
      </c>
      <c r="M324">
        <v>-192.01</v>
      </c>
      <c r="N324">
        <v>-274.99</v>
      </c>
      <c r="O324">
        <v>0</v>
      </c>
      <c r="P324" t="b">
        <v>0</v>
      </c>
      <c r="Q324">
        <v>0</v>
      </c>
      <c r="R324">
        <v>-750</v>
      </c>
      <c r="U324" t="s">
        <v>2086</v>
      </c>
      <c r="V324" t="s">
        <v>2950</v>
      </c>
      <c r="W324">
        <v>0</v>
      </c>
      <c r="X324">
        <v>0</v>
      </c>
      <c r="Y324" t="s">
        <v>3499</v>
      </c>
      <c r="Z324">
        <v>0</v>
      </c>
      <c r="AA324">
        <v>61</v>
      </c>
      <c r="AB324">
        <v>0</v>
      </c>
      <c r="AC324" t="s">
        <v>4605</v>
      </c>
      <c r="AD324">
        <v>28.24</v>
      </c>
      <c r="AE324" t="s">
        <v>5469</v>
      </c>
      <c r="AF324" t="s">
        <v>6021</v>
      </c>
      <c r="AG324">
        <v>101</v>
      </c>
      <c r="AH324">
        <v>-49</v>
      </c>
      <c r="AI324">
        <v>116743</v>
      </c>
    </row>
    <row r="325" spans="1:36">
      <c r="A325" s="1" t="s">
        <v>359</v>
      </c>
      <c r="B325" t="s">
        <v>1223</v>
      </c>
      <c r="C325" t="str">
        <f>HYPERLINK("https://finance.naver.com/item/coinfo.nhn?code=115570", "A115570")</f>
        <v>A115570</v>
      </c>
      <c r="D325" t="str">
        <f>HYPERLINK("http://comp.fnguide.com/SVO2/ASP/SVD_Consensus.asp?pGB=1&amp;gicode=A115570&amp;cID=&amp;MenuYn=Y&amp;ReportGB=&amp;NewMenuID=108&amp;stkGb=701", "스타플렉스")</f>
        <v>스타플렉스</v>
      </c>
      <c r="E325">
        <v>3</v>
      </c>
      <c r="F325">
        <v>4995</v>
      </c>
      <c r="G325">
        <v>0</v>
      </c>
      <c r="I325">
        <v>2795</v>
      </c>
      <c r="J325">
        <v>6222</v>
      </c>
      <c r="K325">
        <v>7196</v>
      </c>
      <c r="L325">
        <v>44.05</v>
      </c>
      <c r="M325">
        <v>-24.57</v>
      </c>
      <c r="N325">
        <v>-44.07</v>
      </c>
      <c r="O325">
        <v>2.61</v>
      </c>
      <c r="P325" t="b">
        <v>0</v>
      </c>
      <c r="Q325">
        <v>0</v>
      </c>
      <c r="R325">
        <v>-973</v>
      </c>
      <c r="U325" t="s">
        <v>2087</v>
      </c>
      <c r="V325" t="s">
        <v>2951</v>
      </c>
      <c r="W325">
        <v>0</v>
      </c>
      <c r="X325">
        <v>0</v>
      </c>
      <c r="Y325" t="s">
        <v>3499</v>
      </c>
      <c r="Z325">
        <v>0</v>
      </c>
      <c r="AA325">
        <v>384</v>
      </c>
      <c r="AB325">
        <v>38459</v>
      </c>
      <c r="AC325" t="s">
        <v>4606</v>
      </c>
      <c r="AD325">
        <v>52.37</v>
      </c>
      <c r="AE325" t="s">
        <v>5470</v>
      </c>
      <c r="AF325" t="s">
        <v>6309</v>
      </c>
      <c r="AG325">
        <v>927</v>
      </c>
      <c r="AH325">
        <v>13</v>
      </c>
      <c r="AI325">
        <v>94490</v>
      </c>
      <c r="AJ325">
        <v>1.07</v>
      </c>
    </row>
    <row r="326" spans="1:36">
      <c r="A326" s="1" t="s">
        <v>360</v>
      </c>
      <c r="B326" t="s">
        <v>1224</v>
      </c>
      <c r="C326" t="str">
        <f>HYPERLINK("https://finance.naver.com/item/coinfo.nhn?code=049830", "A049830")</f>
        <v>A049830</v>
      </c>
      <c r="D326" t="str">
        <f>HYPERLINK("http://comp.fnguide.com/SVO2/ASP/SVD_Consensus.asp?pGB=1&amp;gicode=A049830&amp;cID=&amp;MenuYn=Y&amp;ReportGB=&amp;NewMenuID=108&amp;stkGb=701", "승일")</f>
        <v>승일</v>
      </c>
      <c r="E326">
        <v>3</v>
      </c>
      <c r="F326">
        <v>8100</v>
      </c>
      <c r="G326">
        <v>0</v>
      </c>
      <c r="I326">
        <v>6745</v>
      </c>
      <c r="J326">
        <v>16996</v>
      </c>
      <c r="K326">
        <v>19910</v>
      </c>
      <c r="L326">
        <v>16.73</v>
      </c>
      <c r="M326">
        <v>-109.83</v>
      </c>
      <c r="N326">
        <v>-145.80000000000001</v>
      </c>
      <c r="O326">
        <v>2.25</v>
      </c>
      <c r="P326" t="b">
        <v>0</v>
      </c>
      <c r="Q326">
        <v>0</v>
      </c>
      <c r="R326">
        <v>-96</v>
      </c>
      <c r="U326" t="s">
        <v>2088</v>
      </c>
      <c r="V326" t="s">
        <v>2952</v>
      </c>
      <c r="W326">
        <v>0</v>
      </c>
      <c r="X326">
        <v>191.9</v>
      </c>
      <c r="Y326" t="s">
        <v>3773</v>
      </c>
      <c r="Z326">
        <v>35.164071380572487</v>
      </c>
      <c r="AA326">
        <v>497</v>
      </c>
      <c r="AB326">
        <v>4883</v>
      </c>
      <c r="AC326" t="s">
        <v>4607</v>
      </c>
      <c r="AD326">
        <v>73.62</v>
      </c>
      <c r="AE326" t="s">
        <v>5471</v>
      </c>
      <c r="AF326" t="s">
        <v>6310</v>
      </c>
      <c r="AG326">
        <v>1366</v>
      </c>
      <c r="AH326">
        <v>-14</v>
      </c>
      <c r="AI326">
        <v>224586</v>
      </c>
    </row>
    <row r="327" spans="1:36">
      <c r="A327" s="1" t="s">
        <v>361</v>
      </c>
      <c r="B327" t="s">
        <v>1225</v>
      </c>
      <c r="C327" t="str">
        <f>HYPERLINK("https://finance.naver.com/item/coinfo.nhn?code=020710", "A020710")</f>
        <v>A020710</v>
      </c>
      <c r="D327" t="str">
        <f>HYPERLINK("http://comp.fnguide.com/SVO2/ASP/SVD_Consensus.asp?pGB=1&amp;gicode=A020710&amp;cID=&amp;MenuYn=Y&amp;ReportGB=&amp;NewMenuID=108&amp;stkGb=701", "시공테크")</f>
        <v>시공테크</v>
      </c>
      <c r="E327">
        <v>3</v>
      </c>
      <c r="F327">
        <v>4870</v>
      </c>
      <c r="G327">
        <v>0</v>
      </c>
      <c r="H327">
        <v>6.26</v>
      </c>
      <c r="I327">
        <v>8558</v>
      </c>
      <c r="J327">
        <v>6918</v>
      </c>
      <c r="K327">
        <v>6452</v>
      </c>
      <c r="L327">
        <v>-75.73</v>
      </c>
      <c r="M327">
        <v>-42.05</v>
      </c>
      <c r="N327">
        <v>-32.479999999999997</v>
      </c>
      <c r="O327">
        <v>11.65</v>
      </c>
      <c r="P327" t="b">
        <v>0</v>
      </c>
      <c r="Q327">
        <v>0</v>
      </c>
      <c r="R327">
        <v>765</v>
      </c>
      <c r="U327" t="s">
        <v>2089</v>
      </c>
      <c r="V327" t="s">
        <v>2953</v>
      </c>
      <c r="W327">
        <v>0</v>
      </c>
      <c r="X327">
        <v>-11.6</v>
      </c>
      <c r="Y327" t="s">
        <v>3774</v>
      </c>
      <c r="Z327">
        <v>-10.09499867591507</v>
      </c>
      <c r="AA327">
        <v>976</v>
      </c>
      <c r="AB327">
        <v>19341</v>
      </c>
      <c r="AC327" t="s">
        <v>4608</v>
      </c>
      <c r="AD327">
        <v>43.21</v>
      </c>
      <c r="AE327" t="s">
        <v>5472</v>
      </c>
      <c r="AF327" t="s">
        <v>6311</v>
      </c>
      <c r="AG327">
        <v>1198</v>
      </c>
      <c r="AH327">
        <v>80</v>
      </c>
      <c r="AI327">
        <v>1478045</v>
      </c>
      <c r="AJ327">
        <v>1.67</v>
      </c>
    </row>
    <row r="328" spans="1:36">
      <c r="A328" s="1" t="s">
        <v>362</v>
      </c>
      <c r="B328" t="s">
        <v>1226</v>
      </c>
      <c r="C328" t="str">
        <f>HYPERLINK("https://finance.naver.com/item/coinfo.nhn?code=033170", "A033170")</f>
        <v>A033170</v>
      </c>
      <c r="D328" t="str">
        <f>HYPERLINK("http://comp.fnguide.com/SVO2/ASP/SVD_Consensus.asp?pGB=1&amp;gicode=A033170&amp;cID=&amp;MenuYn=Y&amp;ReportGB=&amp;NewMenuID=108&amp;stkGb=701", "시그네틱스")</f>
        <v>시그네틱스</v>
      </c>
      <c r="E328">
        <v>3</v>
      </c>
      <c r="F328">
        <v>802</v>
      </c>
      <c r="G328">
        <v>0</v>
      </c>
      <c r="I328">
        <v>33</v>
      </c>
      <c r="J328">
        <v>992</v>
      </c>
      <c r="K328">
        <v>1265</v>
      </c>
      <c r="L328">
        <v>95.83</v>
      </c>
      <c r="M328">
        <v>-23.74</v>
      </c>
      <c r="N328">
        <v>-57.72</v>
      </c>
      <c r="O328">
        <v>0.16</v>
      </c>
      <c r="P328" t="b">
        <v>0</v>
      </c>
      <c r="Q328">
        <v>0</v>
      </c>
      <c r="R328">
        <v>-233</v>
      </c>
      <c r="U328" t="s">
        <v>2090</v>
      </c>
      <c r="V328" t="s">
        <v>2954</v>
      </c>
      <c r="W328">
        <v>0</v>
      </c>
      <c r="X328">
        <v>0</v>
      </c>
      <c r="Y328" t="s">
        <v>3499</v>
      </c>
      <c r="Z328">
        <v>0</v>
      </c>
      <c r="AA328">
        <v>688</v>
      </c>
      <c r="AB328">
        <v>926041</v>
      </c>
      <c r="AC328" t="s">
        <v>4609</v>
      </c>
      <c r="AD328">
        <v>42.41</v>
      </c>
      <c r="AE328" t="s">
        <v>5473</v>
      </c>
      <c r="AF328" t="s">
        <v>6312</v>
      </c>
      <c r="AG328">
        <v>2188</v>
      </c>
      <c r="AH328">
        <v>-196</v>
      </c>
    </row>
    <row r="329" spans="1:36">
      <c r="A329" s="1" t="s">
        <v>363</v>
      </c>
      <c r="B329" t="s">
        <v>1227</v>
      </c>
      <c r="C329" t="str">
        <f>HYPERLINK("https://finance.naver.com/item/coinfo.nhn?code=017000", "A017000")</f>
        <v>A017000</v>
      </c>
      <c r="D329" t="str">
        <f>HYPERLINK("http://comp.fnguide.com/SVO2/ASP/SVD_Consensus.asp?pGB=1&amp;gicode=A017000&amp;cID=&amp;MenuYn=Y&amp;ReportGB=&amp;NewMenuID=108&amp;stkGb=701", "신원종합개발")</f>
        <v>신원종합개발</v>
      </c>
      <c r="E329">
        <v>3</v>
      </c>
      <c r="F329">
        <v>4150</v>
      </c>
      <c r="G329">
        <v>0</v>
      </c>
      <c r="H329">
        <v>3.14</v>
      </c>
      <c r="I329">
        <v>20567</v>
      </c>
      <c r="J329">
        <v>13654</v>
      </c>
      <c r="K329">
        <v>11689</v>
      </c>
      <c r="L329">
        <v>-395.58</v>
      </c>
      <c r="M329">
        <v>-229</v>
      </c>
      <c r="N329">
        <v>-181.67</v>
      </c>
      <c r="O329">
        <v>17.989999999999998</v>
      </c>
      <c r="P329" t="b">
        <v>1</v>
      </c>
      <c r="Q329">
        <v>0</v>
      </c>
      <c r="R329">
        <v>1338</v>
      </c>
      <c r="U329" t="s">
        <v>2091</v>
      </c>
      <c r="V329" t="s">
        <v>2955</v>
      </c>
      <c r="W329">
        <v>0</v>
      </c>
      <c r="X329">
        <v>-93.7</v>
      </c>
      <c r="Y329" t="s">
        <v>3775</v>
      </c>
      <c r="Z329">
        <v>-19.718233880816339</v>
      </c>
      <c r="AA329">
        <v>418</v>
      </c>
      <c r="AB329">
        <v>101719</v>
      </c>
      <c r="AC329" t="s">
        <v>4610</v>
      </c>
      <c r="AD329">
        <v>18.739999999999998</v>
      </c>
      <c r="AE329" t="s">
        <v>5474</v>
      </c>
      <c r="AF329" t="s">
        <v>6313</v>
      </c>
      <c r="AG329">
        <v>2565</v>
      </c>
      <c r="AH329">
        <v>69</v>
      </c>
      <c r="AI329">
        <v>472513</v>
      </c>
    </row>
    <row r="330" spans="1:36">
      <c r="A330" s="1" t="s">
        <v>364</v>
      </c>
      <c r="B330" t="s">
        <v>1228</v>
      </c>
      <c r="C330" t="str">
        <f>HYPERLINK("https://finance.naver.com/item/coinfo.nhn?code=138070", "A138070")</f>
        <v>A138070</v>
      </c>
      <c r="D330" t="str">
        <f>HYPERLINK("http://comp.fnguide.com/SVO2/ASP/SVD_Consensus.asp?pGB=1&amp;gicode=A138070&amp;cID=&amp;MenuYn=Y&amp;ReportGB=&amp;NewMenuID=108&amp;stkGb=701", "신진에스엠")</f>
        <v>신진에스엠</v>
      </c>
      <c r="E330">
        <v>3</v>
      </c>
      <c r="F330">
        <v>4640</v>
      </c>
      <c r="G330">
        <v>0</v>
      </c>
      <c r="H330">
        <v>19.989999999999998</v>
      </c>
      <c r="I330">
        <v>4800</v>
      </c>
      <c r="J330">
        <v>6927</v>
      </c>
      <c r="K330">
        <v>7531</v>
      </c>
      <c r="L330">
        <v>-3.46</v>
      </c>
      <c r="M330">
        <v>-49.28</v>
      </c>
      <c r="N330">
        <v>-62.3</v>
      </c>
      <c r="O330">
        <v>4.57</v>
      </c>
      <c r="P330" t="b">
        <v>1</v>
      </c>
      <c r="Q330">
        <v>0</v>
      </c>
      <c r="R330">
        <v>271</v>
      </c>
      <c r="U330" t="s">
        <v>2092</v>
      </c>
      <c r="V330" t="s">
        <v>2956</v>
      </c>
      <c r="W330">
        <v>0</v>
      </c>
      <c r="X330">
        <v>0</v>
      </c>
      <c r="Y330" t="s">
        <v>3776</v>
      </c>
      <c r="Z330">
        <v>-15.006679715902781</v>
      </c>
      <c r="AA330">
        <v>416</v>
      </c>
      <c r="AB330">
        <v>11743</v>
      </c>
      <c r="AC330" t="s">
        <v>4611</v>
      </c>
      <c r="AD330">
        <v>48.97</v>
      </c>
      <c r="AE330" t="s">
        <v>5475</v>
      </c>
      <c r="AF330" t="s">
        <v>6314</v>
      </c>
      <c r="AG330">
        <v>518</v>
      </c>
      <c r="AH330">
        <v>30</v>
      </c>
      <c r="AI330">
        <v>441162</v>
      </c>
      <c r="AJ330">
        <v>1.29</v>
      </c>
    </row>
    <row r="331" spans="1:36">
      <c r="A331" s="1" t="s">
        <v>365</v>
      </c>
      <c r="B331" t="s">
        <v>1229</v>
      </c>
      <c r="C331" t="str">
        <f>HYPERLINK("https://finance.naver.com/item/coinfo.nhn?code=187270", "A187270")</f>
        <v>A187270</v>
      </c>
      <c r="D331" t="str">
        <f>HYPERLINK("http://comp.fnguide.com/SVO2/ASP/SVD_Consensus.asp?pGB=1&amp;gicode=A187270&amp;cID=&amp;MenuYn=Y&amp;ReportGB=&amp;NewMenuID=108&amp;stkGb=701", "신화콘텍")</f>
        <v>신화콘텍</v>
      </c>
      <c r="E331">
        <v>3</v>
      </c>
      <c r="F331">
        <v>2870</v>
      </c>
      <c r="G331">
        <v>0</v>
      </c>
      <c r="I331">
        <v>1511</v>
      </c>
      <c r="J331">
        <v>3800</v>
      </c>
      <c r="K331">
        <v>4451</v>
      </c>
      <c r="L331">
        <v>47.36</v>
      </c>
      <c r="M331">
        <v>-32.42</v>
      </c>
      <c r="N331">
        <v>-55.09</v>
      </c>
      <c r="O331">
        <v>2.2599999999999998</v>
      </c>
      <c r="P331" t="b">
        <v>0</v>
      </c>
      <c r="Q331">
        <v>0</v>
      </c>
      <c r="R331">
        <v>-196</v>
      </c>
      <c r="U331" t="s">
        <v>2093</v>
      </c>
      <c r="V331" t="s">
        <v>2957</v>
      </c>
      <c r="W331">
        <v>0</v>
      </c>
      <c r="X331">
        <v>0</v>
      </c>
      <c r="Y331" t="s">
        <v>3777</v>
      </c>
      <c r="Z331">
        <v>1377.3</v>
      </c>
      <c r="AA331">
        <v>291</v>
      </c>
      <c r="AB331">
        <v>371353</v>
      </c>
      <c r="AC331" t="s">
        <v>4612</v>
      </c>
      <c r="AD331">
        <v>38.78</v>
      </c>
      <c r="AE331" t="s">
        <v>5476</v>
      </c>
      <c r="AF331" t="s">
        <v>6315</v>
      </c>
      <c r="AG331">
        <v>443</v>
      </c>
      <c r="AH331">
        <v>-7</v>
      </c>
      <c r="AI331">
        <v>945252</v>
      </c>
    </row>
    <row r="332" spans="1:36">
      <c r="A332" s="1" t="s">
        <v>366</v>
      </c>
      <c r="B332" t="s">
        <v>1230</v>
      </c>
      <c r="C332" t="str">
        <f>HYPERLINK("https://finance.naver.com/item/coinfo.nhn?code=037760", "A037760")</f>
        <v>A037760</v>
      </c>
      <c r="D332" t="str">
        <f>HYPERLINK("http://comp.fnguide.com/SVO2/ASP/SVD_Consensus.asp?pGB=1&amp;gicode=A037760&amp;cID=&amp;MenuYn=Y&amp;ReportGB=&amp;NewMenuID=108&amp;stkGb=701", "쎄니트")</f>
        <v>쎄니트</v>
      </c>
      <c r="E332">
        <v>3</v>
      </c>
      <c r="F332">
        <v>1705</v>
      </c>
      <c r="G332">
        <v>0</v>
      </c>
      <c r="H332">
        <v>30.42</v>
      </c>
      <c r="I332">
        <v>1296</v>
      </c>
      <c r="J332">
        <v>1888</v>
      </c>
      <c r="K332">
        <v>2056</v>
      </c>
      <c r="L332">
        <v>23.97</v>
      </c>
      <c r="M332">
        <v>-10.73</v>
      </c>
      <c r="N332">
        <v>-20.59</v>
      </c>
      <c r="O332">
        <v>4.5199999999999996</v>
      </c>
      <c r="P332" t="b">
        <v>1</v>
      </c>
      <c r="Q332">
        <v>0</v>
      </c>
      <c r="R332">
        <v>62</v>
      </c>
      <c r="U332" t="s">
        <v>2094</v>
      </c>
      <c r="V332" t="s">
        <v>2958</v>
      </c>
      <c r="W332">
        <v>0</v>
      </c>
      <c r="X332">
        <v>142.1</v>
      </c>
      <c r="Y332" t="s">
        <v>3778</v>
      </c>
      <c r="Z332">
        <v>-9.3274463629150706</v>
      </c>
      <c r="AA332">
        <v>577</v>
      </c>
      <c r="AB332">
        <v>100439</v>
      </c>
      <c r="AC332" t="s">
        <v>4613</v>
      </c>
      <c r="AD332">
        <v>55.01</v>
      </c>
      <c r="AE332" t="s">
        <v>5477</v>
      </c>
      <c r="AF332" t="s">
        <v>6316</v>
      </c>
      <c r="AG332">
        <v>1097</v>
      </c>
      <c r="AH332">
        <v>57</v>
      </c>
      <c r="AI332">
        <v>2030000</v>
      </c>
      <c r="AJ332">
        <v>1.59</v>
      </c>
    </row>
    <row r="333" spans="1:36">
      <c r="A333" s="1" t="s">
        <v>367</v>
      </c>
      <c r="B333" t="s">
        <v>1231</v>
      </c>
      <c r="C333" t="str">
        <f>HYPERLINK("https://finance.naver.com/item/coinfo.nhn?code=054800", "A054800")</f>
        <v>A054800</v>
      </c>
      <c r="D333" t="str">
        <f>HYPERLINK("http://comp.fnguide.com/SVO2/ASP/SVD_Consensus.asp?pGB=1&amp;gicode=A054800&amp;cID=&amp;MenuYn=Y&amp;ReportGB=&amp;NewMenuID=108&amp;stkGb=701", "아이디스홀딩스")</f>
        <v>아이디스홀딩스</v>
      </c>
      <c r="E333">
        <v>3</v>
      </c>
      <c r="F333">
        <v>12900</v>
      </c>
      <c r="G333">
        <v>0</v>
      </c>
      <c r="I333">
        <v>13107</v>
      </c>
      <c r="J333">
        <v>18848</v>
      </c>
      <c r="K333">
        <v>20480</v>
      </c>
      <c r="L333">
        <v>-1.61</v>
      </c>
      <c r="M333">
        <v>-46.11</v>
      </c>
      <c r="N333">
        <v>-58.76</v>
      </c>
      <c r="O333">
        <v>4.59</v>
      </c>
      <c r="P333" t="b">
        <v>0</v>
      </c>
      <c r="Q333">
        <v>0</v>
      </c>
      <c r="R333">
        <v>-1078</v>
      </c>
      <c r="U333" t="s">
        <v>2095</v>
      </c>
      <c r="V333" t="s">
        <v>2959</v>
      </c>
      <c r="W333">
        <v>0</v>
      </c>
      <c r="X333">
        <v>-42.6</v>
      </c>
      <c r="Y333" t="s">
        <v>3779</v>
      </c>
      <c r="Z333">
        <v>-4.4546435439064114</v>
      </c>
      <c r="AA333">
        <v>1335</v>
      </c>
      <c r="AB333">
        <v>17015</v>
      </c>
      <c r="AC333" t="s">
        <v>4614</v>
      </c>
      <c r="AD333">
        <v>41.55</v>
      </c>
      <c r="AE333" t="s">
        <v>5478</v>
      </c>
      <c r="AF333" t="s">
        <v>6317</v>
      </c>
      <c r="AG333">
        <v>5078</v>
      </c>
      <c r="AH333">
        <v>467</v>
      </c>
      <c r="AI333">
        <v>1080164</v>
      </c>
      <c r="AJ333">
        <v>1.67</v>
      </c>
    </row>
    <row r="334" spans="1:36">
      <c r="A334" s="1" t="s">
        <v>368</v>
      </c>
      <c r="B334" t="s">
        <v>1232</v>
      </c>
      <c r="C334" t="str">
        <f>HYPERLINK("https://finance.naver.com/item/coinfo.nhn?code=900120", "A900120")</f>
        <v>A900120</v>
      </c>
      <c r="D334" t="str">
        <f>HYPERLINK("http://comp.fnguide.com/SVO2/ASP/SVD_Consensus.asp?pGB=1&amp;gicode=A900120&amp;cID=&amp;MenuYn=Y&amp;ReportGB=&amp;NewMenuID=108&amp;stkGb=701", "씨케이에이치")</f>
        <v>씨케이에이치</v>
      </c>
      <c r="E334">
        <v>3</v>
      </c>
      <c r="F334">
        <v>476</v>
      </c>
      <c r="G334">
        <v>0</v>
      </c>
      <c r="I334">
        <v>0</v>
      </c>
      <c r="J334">
        <v>1926</v>
      </c>
      <c r="K334">
        <v>2473</v>
      </c>
      <c r="L334">
        <v>100</v>
      </c>
      <c r="M334">
        <v>-304.61</v>
      </c>
      <c r="N334">
        <v>-419.59</v>
      </c>
      <c r="O334">
        <v>0</v>
      </c>
      <c r="P334" t="b">
        <v>0</v>
      </c>
      <c r="Q334">
        <v>0</v>
      </c>
      <c r="R334">
        <v>-892</v>
      </c>
      <c r="U334" t="s">
        <v>2096</v>
      </c>
      <c r="V334" t="s">
        <v>2960</v>
      </c>
      <c r="W334">
        <v>0</v>
      </c>
      <c r="X334">
        <v>0</v>
      </c>
      <c r="Y334" t="s">
        <v>3780</v>
      </c>
      <c r="Z334">
        <v>-98.6</v>
      </c>
      <c r="AA334">
        <v>526</v>
      </c>
      <c r="AB334">
        <v>435668</v>
      </c>
      <c r="AC334" t="s">
        <v>4615</v>
      </c>
      <c r="AD334">
        <v>27.78</v>
      </c>
      <c r="AE334" t="s">
        <v>5479</v>
      </c>
      <c r="AF334" t="s">
        <v>6021</v>
      </c>
      <c r="AG334">
        <v>634</v>
      </c>
      <c r="AH334">
        <v>-619</v>
      </c>
    </row>
    <row r="335" spans="1:36">
      <c r="A335" s="1" t="s">
        <v>369</v>
      </c>
      <c r="B335" t="s">
        <v>1233</v>
      </c>
      <c r="C335" t="str">
        <f>HYPERLINK("https://finance.naver.com/item/coinfo.nhn?code=260930", "A260930")</f>
        <v>A260930</v>
      </c>
      <c r="D335" t="str">
        <f>HYPERLINK("http://comp.fnguide.com/SVO2/ASP/SVD_Consensus.asp?pGB=1&amp;gicode=A260930&amp;cID=&amp;MenuYn=Y&amp;ReportGB=&amp;NewMenuID=108&amp;stkGb=701", "씨티케이코스메틱스")</f>
        <v>씨티케이코스메틱스</v>
      </c>
      <c r="E335">
        <v>3</v>
      </c>
      <c r="F335">
        <v>13700</v>
      </c>
      <c r="G335">
        <v>0</v>
      </c>
      <c r="H335">
        <v>17.46</v>
      </c>
      <c r="I335">
        <v>14850</v>
      </c>
      <c r="J335">
        <v>17194</v>
      </c>
      <c r="K335">
        <v>17860</v>
      </c>
      <c r="L335">
        <v>-8.39</v>
      </c>
      <c r="M335">
        <v>-25.5</v>
      </c>
      <c r="N335">
        <v>-30.36</v>
      </c>
      <c r="O335">
        <v>6.29</v>
      </c>
      <c r="P335" t="b">
        <v>1</v>
      </c>
      <c r="Q335">
        <v>0</v>
      </c>
      <c r="R335">
        <v>765</v>
      </c>
      <c r="U335" t="s">
        <v>2097</v>
      </c>
      <c r="V335" t="s">
        <v>2961</v>
      </c>
      <c r="W335">
        <v>0</v>
      </c>
      <c r="X335">
        <v>-95.3</v>
      </c>
      <c r="Y335" t="s">
        <v>3781</v>
      </c>
      <c r="Z335">
        <v>-55.797486512285232</v>
      </c>
      <c r="AA335">
        <v>1387</v>
      </c>
      <c r="AB335">
        <v>19675</v>
      </c>
      <c r="AC335" t="s">
        <v>4616</v>
      </c>
      <c r="AD335">
        <v>48.69</v>
      </c>
      <c r="AE335" t="s">
        <v>5480</v>
      </c>
      <c r="AF335" t="s">
        <v>6318</v>
      </c>
      <c r="AG335">
        <v>1163</v>
      </c>
      <c r="AH335">
        <v>40</v>
      </c>
      <c r="AI335">
        <v>914611</v>
      </c>
      <c r="AJ335">
        <v>2.25</v>
      </c>
    </row>
    <row r="336" spans="1:36">
      <c r="A336" s="1" t="s">
        <v>370</v>
      </c>
      <c r="B336" t="s">
        <v>1234</v>
      </c>
      <c r="C336" t="str">
        <f>HYPERLINK("https://finance.naver.com/item/coinfo.nhn?code=058220", "A058220")</f>
        <v>A058220</v>
      </c>
      <c r="D336" t="str">
        <f>HYPERLINK("http://comp.fnguide.com/SVO2/ASP/SVD_Consensus.asp?pGB=1&amp;gicode=A058220&amp;cID=&amp;MenuYn=Y&amp;ReportGB=&amp;NewMenuID=108&amp;stkGb=701", "아리온")</f>
        <v>아리온</v>
      </c>
      <c r="E336">
        <v>3</v>
      </c>
      <c r="F336">
        <v>275</v>
      </c>
      <c r="G336">
        <v>0</v>
      </c>
      <c r="I336">
        <v>0</v>
      </c>
      <c r="J336">
        <v>8810</v>
      </c>
      <c r="K336">
        <v>11313</v>
      </c>
      <c r="L336">
        <v>100</v>
      </c>
      <c r="M336">
        <v>-3103.48</v>
      </c>
      <c r="N336">
        <v>-4013.85</v>
      </c>
      <c r="O336">
        <v>0</v>
      </c>
      <c r="P336" t="b">
        <v>0</v>
      </c>
      <c r="Q336">
        <v>0</v>
      </c>
      <c r="R336">
        <v>-6233</v>
      </c>
      <c r="U336" t="s">
        <v>2098</v>
      </c>
      <c r="V336" t="s">
        <v>2962</v>
      </c>
      <c r="W336">
        <v>0</v>
      </c>
      <c r="X336">
        <v>0</v>
      </c>
      <c r="Y336" t="s">
        <v>3499</v>
      </c>
      <c r="Z336">
        <v>0</v>
      </c>
      <c r="AA336">
        <v>107</v>
      </c>
      <c r="AB336">
        <v>0</v>
      </c>
      <c r="AC336" t="s">
        <v>4617</v>
      </c>
      <c r="AD336">
        <v>7.83</v>
      </c>
      <c r="AE336" t="s">
        <v>5481</v>
      </c>
      <c r="AF336" t="s">
        <v>6021</v>
      </c>
      <c r="AG336">
        <v>330</v>
      </c>
      <c r="AH336">
        <v>21</v>
      </c>
      <c r="AI336">
        <v>1489</v>
      </c>
    </row>
    <row r="337" spans="1:36">
      <c r="A337" s="1" t="s">
        <v>371</v>
      </c>
      <c r="B337" t="s">
        <v>1235</v>
      </c>
      <c r="C337" t="str">
        <f>HYPERLINK("https://finance.naver.com/item/coinfo.nhn?code=083930", "A083930")</f>
        <v>A083930</v>
      </c>
      <c r="D337" t="str">
        <f>HYPERLINK("http://comp.fnguide.com/SVO2/ASP/SVD_Consensus.asp?pGB=1&amp;gicode=A083930&amp;cID=&amp;MenuYn=Y&amp;ReportGB=&amp;NewMenuID=108&amp;stkGb=701", "아바코")</f>
        <v>아바코</v>
      </c>
      <c r="E337">
        <v>3</v>
      </c>
      <c r="F337">
        <v>10250</v>
      </c>
      <c r="G337">
        <v>0</v>
      </c>
      <c r="H337">
        <v>5.07</v>
      </c>
      <c r="I337">
        <v>19483</v>
      </c>
      <c r="J337">
        <v>13794</v>
      </c>
      <c r="K337">
        <v>12177</v>
      </c>
      <c r="L337">
        <v>-90.08</v>
      </c>
      <c r="M337">
        <v>-34.58</v>
      </c>
      <c r="N337">
        <v>-18.8</v>
      </c>
      <c r="O337">
        <v>15.43</v>
      </c>
      <c r="P337" t="b">
        <v>1</v>
      </c>
      <c r="Q337">
        <v>0</v>
      </c>
      <c r="R337">
        <v>1225</v>
      </c>
      <c r="U337" t="s">
        <v>2099</v>
      </c>
      <c r="V337" t="s">
        <v>2963</v>
      </c>
      <c r="W337">
        <v>0</v>
      </c>
      <c r="X337">
        <v>-1.2</v>
      </c>
      <c r="Y337" t="s">
        <v>3782</v>
      </c>
      <c r="Z337">
        <v>2.273231801321018</v>
      </c>
      <c r="AA337">
        <v>1580</v>
      </c>
      <c r="AB337">
        <v>235952</v>
      </c>
      <c r="AC337" t="s">
        <v>4618</v>
      </c>
      <c r="AD337">
        <v>27.48</v>
      </c>
      <c r="AE337" t="s">
        <v>5482</v>
      </c>
      <c r="AF337" t="s">
        <v>6319</v>
      </c>
      <c r="AG337">
        <v>2261</v>
      </c>
      <c r="AH337">
        <v>233</v>
      </c>
      <c r="AI337">
        <v>2408960</v>
      </c>
      <c r="AJ337">
        <v>4.83</v>
      </c>
    </row>
    <row r="338" spans="1:36">
      <c r="A338" s="1" t="s">
        <v>372</v>
      </c>
      <c r="B338" t="s">
        <v>1236</v>
      </c>
      <c r="C338" t="str">
        <f>HYPERLINK("https://finance.naver.com/item/coinfo.nhn?code=149950", "A149950")</f>
        <v>A149950</v>
      </c>
      <c r="D338" t="str">
        <f>HYPERLINK("http://comp.fnguide.com/SVO2/ASP/SVD_Consensus.asp?pGB=1&amp;gicode=A149950&amp;cID=&amp;MenuYn=Y&amp;ReportGB=&amp;NewMenuID=108&amp;stkGb=701", "아바텍")</f>
        <v>아바텍</v>
      </c>
      <c r="E338">
        <v>3</v>
      </c>
      <c r="F338">
        <v>8440</v>
      </c>
      <c r="G338">
        <v>0</v>
      </c>
      <c r="H338">
        <v>16.579999999999998</v>
      </c>
      <c r="I338">
        <v>8056</v>
      </c>
      <c r="J338">
        <v>9228</v>
      </c>
      <c r="K338">
        <v>9561</v>
      </c>
      <c r="L338">
        <v>4.55</v>
      </c>
      <c r="M338">
        <v>-9.34</v>
      </c>
      <c r="N338">
        <v>-13.29</v>
      </c>
      <c r="O338">
        <v>6.39</v>
      </c>
      <c r="P338" t="b">
        <v>1</v>
      </c>
      <c r="Q338">
        <v>0</v>
      </c>
      <c r="R338">
        <v>464</v>
      </c>
      <c r="U338" t="s">
        <v>2100</v>
      </c>
      <c r="V338" t="s">
        <v>2964</v>
      </c>
      <c r="W338">
        <v>0</v>
      </c>
      <c r="X338">
        <v>-30.8</v>
      </c>
      <c r="Y338" t="s">
        <v>3783</v>
      </c>
      <c r="Z338">
        <v>-7.9141912219165782</v>
      </c>
      <c r="AA338">
        <v>1317</v>
      </c>
      <c r="AB338">
        <v>33138</v>
      </c>
      <c r="AC338" t="s">
        <v>4619</v>
      </c>
      <c r="AD338">
        <v>36.1</v>
      </c>
      <c r="AE338" t="s">
        <v>5483</v>
      </c>
      <c r="AF338" t="s">
        <v>6320</v>
      </c>
      <c r="AG338">
        <v>754</v>
      </c>
      <c r="AH338">
        <v>54</v>
      </c>
      <c r="AI338">
        <v>2003663</v>
      </c>
      <c r="AJ338">
        <v>1.3</v>
      </c>
    </row>
    <row r="339" spans="1:36">
      <c r="A339" s="1" t="s">
        <v>373</v>
      </c>
      <c r="B339" t="s">
        <v>1237</v>
      </c>
      <c r="C339" t="str">
        <f>HYPERLINK("https://finance.naver.com/item/coinfo.nhn?code=036010", "A036010")</f>
        <v>A036010</v>
      </c>
      <c r="D339" t="str">
        <f>HYPERLINK("http://comp.fnguide.com/SVO2/ASP/SVD_Consensus.asp?pGB=1&amp;gicode=A036010&amp;cID=&amp;MenuYn=Y&amp;ReportGB=&amp;NewMenuID=108&amp;stkGb=701", "아비코전자")</f>
        <v>아비코전자</v>
      </c>
      <c r="E339">
        <v>3</v>
      </c>
      <c r="F339">
        <v>7990</v>
      </c>
      <c r="G339">
        <v>0</v>
      </c>
      <c r="I339">
        <v>9978</v>
      </c>
      <c r="J339">
        <v>8610</v>
      </c>
      <c r="K339">
        <v>8221</v>
      </c>
      <c r="L339">
        <v>-24.89</v>
      </c>
      <c r="M339">
        <v>-7.75</v>
      </c>
      <c r="N339">
        <v>-2.89</v>
      </c>
      <c r="O339">
        <v>10.29</v>
      </c>
      <c r="P339" t="b">
        <v>0</v>
      </c>
      <c r="Q339">
        <v>1</v>
      </c>
      <c r="R339">
        <v>-381</v>
      </c>
      <c r="S339">
        <v>-30</v>
      </c>
      <c r="T339">
        <v>-92.1</v>
      </c>
      <c r="U339" t="s">
        <v>2101</v>
      </c>
      <c r="V339" t="s">
        <v>2965</v>
      </c>
      <c r="W339">
        <v>0</v>
      </c>
      <c r="X339">
        <v>0</v>
      </c>
      <c r="Y339" t="s">
        <v>3784</v>
      </c>
      <c r="Z339">
        <v>41.049117488762867</v>
      </c>
      <c r="AA339">
        <v>1062</v>
      </c>
      <c r="AB339">
        <v>367846</v>
      </c>
      <c r="AC339" t="s">
        <v>4620</v>
      </c>
      <c r="AD339">
        <v>35.56</v>
      </c>
      <c r="AE339" t="s">
        <v>5484</v>
      </c>
      <c r="AF339" t="s">
        <v>6321</v>
      </c>
      <c r="AG339">
        <v>1233</v>
      </c>
      <c r="AH339">
        <v>-23</v>
      </c>
      <c r="AJ339">
        <v>1.34</v>
      </c>
    </row>
    <row r="340" spans="1:36">
      <c r="A340" s="1" t="s">
        <v>374</v>
      </c>
      <c r="B340" t="s">
        <v>1238</v>
      </c>
      <c r="C340" t="str">
        <f>HYPERLINK("https://finance.naver.com/item/coinfo.nhn?code=050860", "A050860")</f>
        <v>A050860</v>
      </c>
      <c r="D340" t="str">
        <f>HYPERLINK("http://comp.fnguide.com/SVO2/ASP/SVD_Consensus.asp?pGB=1&amp;gicode=A050860&amp;cID=&amp;MenuYn=Y&amp;ReportGB=&amp;NewMenuID=108&amp;stkGb=701", "아세아텍")</f>
        <v>아세아텍</v>
      </c>
      <c r="E340">
        <v>3</v>
      </c>
      <c r="F340">
        <v>3195</v>
      </c>
      <c r="G340">
        <v>0</v>
      </c>
      <c r="H340">
        <v>51.4</v>
      </c>
      <c r="I340">
        <v>896</v>
      </c>
      <c r="J340">
        <v>4000</v>
      </c>
      <c r="K340">
        <v>4882</v>
      </c>
      <c r="L340">
        <v>71.959999999999994</v>
      </c>
      <c r="M340">
        <v>-25.18</v>
      </c>
      <c r="N340">
        <v>-52.79</v>
      </c>
      <c r="O340">
        <v>1.18</v>
      </c>
      <c r="P340" t="b">
        <v>1</v>
      </c>
      <c r="Q340">
        <v>0</v>
      </c>
      <c r="R340">
        <v>56</v>
      </c>
      <c r="U340" t="s">
        <v>2102</v>
      </c>
      <c r="V340" t="s">
        <v>2966</v>
      </c>
      <c r="W340">
        <v>0</v>
      </c>
      <c r="X340">
        <v>0</v>
      </c>
      <c r="Y340" t="s">
        <v>3785</v>
      </c>
      <c r="Z340">
        <v>-29.095932140778821</v>
      </c>
      <c r="AA340">
        <v>559</v>
      </c>
      <c r="AB340">
        <v>187026</v>
      </c>
      <c r="AC340" t="s">
        <v>4621</v>
      </c>
      <c r="AD340">
        <v>34.53</v>
      </c>
      <c r="AE340" t="s">
        <v>5485</v>
      </c>
      <c r="AF340" t="s">
        <v>6322</v>
      </c>
      <c r="AG340">
        <v>1130</v>
      </c>
      <c r="AH340">
        <v>52</v>
      </c>
      <c r="AI340">
        <v>1214007</v>
      </c>
      <c r="AJ340">
        <v>1.74</v>
      </c>
    </row>
    <row r="341" spans="1:36">
      <c r="A341" s="1" t="s">
        <v>375</v>
      </c>
      <c r="B341" t="s">
        <v>1239</v>
      </c>
      <c r="C341" t="str">
        <f>HYPERLINK("https://finance.naver.com/item/coinfo.nhn?code=067390", "A067390")</f>
        <v>A067390</v>
      </c>
      <c r="D341" t="str">
        <f>HYPERLINK("http://comp.fnguide.com/SVO2/ASP/SVD_Consensus.asp?pGB=1&amp;gicode=A067390&amp;cID=&amp;MenuYn=Y&amp;ReportGB=&amp;NewMenuID=108&amp;stkGb=701", "아스트")</f>
        <v>아스트</v>
      </c>
      <c r="E341">
        <v>3</v>
      </c>
      <c r="F341">
        <v>5430</v>
      </c>
      <c r="G341">
        <v>0</v>
      </c>
      <c r="I341">
        <v>1483</v>
      </c>
      <c r="J341">
        <v>5052</v>
      </c>
      <c r="K341">
        <v>6066</v>
      </c>
      <c r="L341">
        <v>72.69</v>
      </c>
      <c r="M341">
        <v>6.97</v>
      </c>
      <c r="N341">
        <v>-11.71</v>
      </c>
      <c r="O341">
        <v>1.59</v>
      </c>
      <c r="P341" t="b">
        <v>0</v>
      </c>
      <c r="Q341">
        <v>0</v>
      </c>
      <c r="R341">
        <v>-33</v>
      </c>
      <c r="U341" t="s">
        <v>2103</v>
      </c>
      <c r="V341" t="s">
        <v>2967</v>
      </c>
      <c r="W341">
        <v>0</v>
      </c>
      <c r="X341">
        <v>0</v>
      </c>
      <c r="Y341" t="s">
        <v>3786</v>
      </c>
      <c r="Z341">
        <v>11.79772296184929</v>
      </c>
      <c r="AA341">
        <v>1394</v>
      </c>
      <c r="AB341">
        <v>243722</v>
      </c>
      <c r="AC341" t="s">
        <v>4622</v>
      </c>
      <c r="AD341">
        <v>13.03</v>
      </c>
      <c r="AE341" t="s">
        <v>5486</v>
      </c>
      <c r="AF341" t="s">
        <v>6323</v>
      </c>
      <c r="AG341">
        <v>1446</v>
      </c>
      <c r="AH341">
        <v>143</v>
      </c>
      <c r="AI341">
        <v>133397</v>
      </c>
    </row>
    <row r="342" spans="1:36">
      <c r="A342" s="1" t="s">
        <v>376</v>
      </c>
      <c r="B342" t="s">
        <v>1240</v>
      </c>
      <c r="C342" t="str">
        <f>HYPERLINK("https://finance.naver.com/item/coinfo.nhn?code=127710", "A127710")</f>
        <v>A127710</v>
      </c>
      <c r="D342" t="str">
        <f>HYPERLINK("http://comp.fnguide.com/SVO2/ASP/SVD_Consensus.asp?pGB=1&amp;gicode=A127710&amp;cID=&amp;MenuYn=Y&amp;ReportGB=&amp;NewMenuID=108&amp;stkGb=701", "아시아경제")</f>
        <v>아시아경제</v>
      </c>
      <c r="E342">
        <v>3</v>
      </c>
      <c r="F342">
        <v>2015</v>
      </c>
      <c r="G342">
        <v>0</v>
      </c>
      <c r="H342">
        <v>13.51</v>
      </c>
      <c r="I342">
        <v>7301</v>
      </c>
      <c r="J342">
        <v>5342</v>
      </c>
      <c r="K342">
        <v>4786</v>
      </c>
      <c r="L342">
        <v>-262.32</v>
      </c>
      <c r="M342">
        <v>-165.12</v>
      </c>
      <c r="N342">
        <v>-137.5</v>
      </c>
      <c r="O342">
        <v>14.33</v>
      </c>
      <c r="P342" t="b">
        <v>1</v>
      </c>
      <c r="Q342">
        <v>0</v>
      </c>
      <c r="R342">
        <v>146</v>
      </c>
      <c r="U342" t="s">
        <v>2104</v>
      </c>
      <c r="V342" t="s">
        <v>2968</v>
      </c>
      <c r="W342">
        <v>0</v>
      </c>
      <c r="X342">
        <v>196.3</v>
      </c>
      <c r="Y342" t="s">
        <v>3787</v>
      </c>
      <c r="Z342">
        <v>13.577873122741719</v>
      </c>
      <c r="AA342">
        <v>514</v>
      </c>
      <c r="AB342">
        <v>72079</v>
      </c>
      <c r="AC342" t="s">
        <v>4623</v>
      </c>
      <c r="AD342">
        <v>45.36</v>
      </c>
      <c r="AE342" t="s">
        <v>5487</v>
      </c>
      <c r="AF342" t="s">
        <v>6324</v>
      </c>
      <c r="AG342">
        <v>384</v>
      </c>
      <c r="AH342">
        <v>33</v>
      </c>
    </row>
    <row r="343" spans="1:36">
      <c r="A343" s="1" t="s">
        <v>377</v>
      </c>
      <c r="B343" t="s">
        <v>1241</v>
      </c>
      <c r="C343" t="str">
        <f>HYPERLINK("https://finance.naver.com/item/coinfo.nhn?code=128540", "A128540")</f>
        <v>A128540</v>
      </c>
      <c r="D343" t="str">
        <f>HYPERLINK("http://comp.fnguide.com/SVO2/ASP/SVD_Consensus.asp?pGB=1&amp;gicode=A128540&amp;cID=&amp;MenuYn=Y&amp;ReportGB=&amp;NewMenuID=108&amp;stkGb=701", "에코캡")</f>
        <v>에코캡</v>
      </c>
      <c r="E343">
        <v>3</v>
      </c>
      <c r="F343">
        <v>2890</v>
      </c>
      <c r="G343">
        <v>0</v>
      </c>
      <c r="H343">
        <v>40.119999999999997</v>
      </c>
      <c r="I343">
        <v>2022</v>
      </c>
      <c r="J343">
        <v>3700</v>
      </c>
      <c r="K343">
        <v>4177</v>
      </c>
      <c r="L343">
        <v>30.05</v>
      </c>
      <c r="M343">
        <v>-28.02</v>
      </c>
      <c r="N343">
        <v>-44.52</v>
      </c>
      <c r="O343">
        <v>3.34</v>
      </c>
      <c r="P343" t="b">
        <v>1</v>
      </c>
      <c r="Q343">
        <v>0</v>
      </c>
      <c r="R343">
        <v>72</v>
      </c>
      <c r="U343" t="s">
        <v>2105</v>
      </c>
      <c r="V343" t="s">
        <v>2969</v>
      </c>
      <c r="W343">
        <v>0</v>
      </c>
      <c r="X343">
        <v>0</v>
      </c>
      <c r="Y343" t="s">
        <v>3788</v>
      </c>
      <c r="Z343">
        <v>-47.338799943933843</v>
      </c>
      <c r="AA343">
        <v>421</v>
      </c>
      <c r="AB343">
        <v>44657</v>
      </c>
      <c r="AC343" t="s">
        <v>4624</v>
      </c>
      <c r="AD343">
        <v>67.19</v>
      </c>
      <c r="AE343" t="s">
        <v>5488</v>
      </c>
      <c r="AF343" t="s">
        <v>6325</v>
      </c>
      <c r="AG343">
        <v>669</v>
      </c>
      <c r="AH343">
        <v>3</v>
      </c>
      <c r="AI343">
        <v>776700</v>
      </c>
    </row>
    <row r="344" spans="1:36">
      <c r="A344" s="1" t="s">
        <v>378</v>
      </c>
      <c r="B344" t="s">
        <v>1242</v>
      </c>
      <c r="C344" t="str">
        <f>HYPERLINK("https://finance.naver.com/item/coinfo.nhn?code=038110", "A038110")</f>
        <v>A038110</v>
      </c>
      <c r="D344" t="str">
        <f>HYPERLINK("http://comp.fnguide.com/SVO2/ASP/SVD_Consensus.asp?pGB=1&amp;gicode=A038110&amp;cID=&amp;MenuYn=Y&amp;ReportGB=&amp;NewMenuID=108&amp;stkGb=701", "에코플라스틱")</f>
        <v>에코플라스틱</v>
      </c>
      <c r="E344">
        <v>3</v>
      </c>
      <c r="F344">
        <v>1990</v>
      </c>
      <c r="G344">
        <v>0</v>
      </c>
      <c r="I344">
        <v>0</v>
      </c>
      <c r="J344">
        <v>2639</v>
      </c>
      <c r="K344">
        <v>3389</v>
      </c>
      <c r="L344">
        <v>100</v>
      </c>
      <c r="M344">
        <v>-32.630000000000003</v>
      </c>
      <c r="N344">
        <v>-70.319999999999993</v>
      </c>
      <c r="O344">
        <v>0</v>
      </c>
      <c r="P344" t="b">
        <v>0</v>
      </c>
      <c r="Q344">
        <v>0</v>
      </c>
      <c r="R344">
        <v>-31</v>
      </c>
      <c r="U344" t="s">
        <v>2106</v>
      </c>
      <c r="V344" t="s">
        <v>2970</v>
      </c>
      <c r="W344">
        <v>0</v>
      </c>
      <c r="X344">
        <v>0</v>
      </c>
      <c r="Y344" t="s">
        <v>3789</v>
      </c>
      <c r="Z344">
        <v>-7.7999999999999954</v>
      </c>
      <c r="AA344">
        <v>511</v>
      </c>
      <c r="AB344">
        <v>316008</v>
      </c>
      <c r="AC344" t="s">
        <v>4625</v>
      </c>
      <c r="AD344">
        <v>40.770000000000003</v>
      </c>
      <c r="AE344" t="s">
        <v>5489</v>
      </c>
      <c r="AF344" t="s">
        <v>6021</v>
      </c>
      <c r="AG344">
        <v>12163</v>
      </c>
      <c r="AH344">
        <v>109</v>
      </c>
      <c r="AI344">
        <v>661901</v>
      </c>
      <c r="AJ344">
        <v>1.99</v>
      </c>
    </row>
    <row r="345" spans="1:36">
      <c r="A345" s="1" t="s">
        <v>379</v>
      </c>
      <c r="B345" t="s">
        <v>1243</v>
      </c>
      <c r="C345" t="str">
        <f>HYPERLINK("https://finance.naver.com/item/coinfo.nhn?code=067570", "A067570")</f>
        <v>A067570</v>
      </c>
      <c r="D345" t="str">
        <f>HYPERLINK("http://comp.fnguide.com/SVO2/ASP/SVD_Consensus.asp?pGB=1&amp;gicode=A067570&amp;cID=&amp;MenuYn=Y&amp;ReportGB=&amp;NewMenuID=108&amp;stkGb=701", "엔브이에이치코리아")</f>
        <v>엔브이에이치코리아</v>
      </c>
      <c r="E345">
        <v>3</v>
      </c>
      <c r="F345">
        <v>3695</v>
      </c>
      <c r="G345">
        <v>0</v>
      </c>
      <c r="H345">
        <v>8.35</v>
      </c>
      <c r="I345">
        <v>2455</v>
      </c>
      <c r="J345">
        <v>3848</v>
      </c>
      <c r="K345">
        <v>4244</v>
      </c>
      <c r="L345">
        <v>33.549999999999997</v>
      </c>
      <c r="M345">
        <v>-4.1500000000000004</v>
      </c>
      <c r="N345">
        <v>-14.86</v>
      </c>
      <c r="O345">
        <v>4.09</v>
      </c>
      <c r="P345" t="b">
        <v>1</v>
      </c>
      <c r="Q345">
        <v>0</v>
      </c>
      <c r="R345">
        <v>332</v>
      </c>
      <c r="U345" t="s">
        <v>2107</v>
      </c>
      <c r="V345" t="s">
        <v>2971</v>
      </c>
      <c r="W345">
        <v>0</v>
      </c>
      <c r="X345">
        <v>0</v>
      </c>
      <c r="Y345" t="s">
        <v>3790</v>
      </c>
      <c r="Z345">
        <v>-83.6</v>
      </c>
      <c r="AA345">
        <v>1093</v>
      </c>
      <c r="AB345">
        <v>500854</v>
      </c>
      <c r="AC345" t="s">
        <v>4626</v>
      </c>
      <c r="AD345">
        <v>44.3</v>
      </c>
      <c r="AE345" t="s">
        <v>5490</v>
      </c>
      <c r="AF345" t="s">
        <v>6326</v>
      </c>
      <c r="AG345">
        <v>8263</v>
      </c>
      <c r="AH345">
        <v>269</v>
      </c>
      <c r="AI345">
        <v>55270</v>
      </c>
      <c r="AJ345">
        <v>1.8</v>
      </c>
    </row>
    <row r="346" spans="1:36">
      <c r="A346" s="1" t="s">
        <v>380</v>
      </c>
      <c r="B346" t="s">
        <v>1244</v>
      </c>
      <c r="C346" t="str">
        <f>HYPERLINK("https://finance.naver.com/item/coinfo.nhn?code=088390", "A088390")</f>
        <v>A088390</v>
      </c>
      <c r="D346" t="str">
        <f>HYPERLINK("http://comp.fnguide.com/SVO2/ASP/SVD_Consensus.asp?pGB=1&amp;gicode=A088390&amp;cID=&amp;MenuYn=Y&amp;ReportGB=&amp;NewMenuID=108&amp;stkGb=701", "이녹스")</f>
        <v>이녹스</v>
      </c>
      <c r="E346">
        <v>3</v>
      </c>
      <c r="F346">
        <v>11200</v>
      </c>
      <c r="G346">
        <v>0</v>
      </c>
      <c r="I346">
        <v>33201</v>
      </c>
      <c r="J346">
        <v>21461</v>
      </c>
      <c r="K346">
        <v>18125</v>
      </c>
      <c r="L346">
        <v>-196.44</v>
      </c>
      <c r="M346">
        <v>-91.62</v>
      </c>
      <c r="N346">
        <v>-61.83</v>
      </c>
      <c r="O346">
        <v>19.260000000000002</v>
      </c>
      <c r="P346" t="b">
        <v>0</v>
      </c>
      <c r="Q346">
        <v>0</v>
      </c>
      <c r="R346">
        <v>-1246</v>
      </c>
      <c r="U346" t="s">
        <v>2108</v>
      </c>
      <c r="V346" t="s">
        <v>2972</v>
      </c>
      <c r="W346">
        <v>0</v>
      </c>
      <c r="X346">
        <v>83.8</v>
      </c>
      <c r="Y346" t="s">
        <v>3791</v>
      </c>
      <c r="Z346">
        <v>261.38885272679272</v>
      </c>
      <c r="AA346">
        <v>1047</v>
      </c>
      <c r="AB346">
        <v>220850</v>
      </c>
      <c r="AC346" t="s">
        <v>4627</v>
      </c>
      <c r="AD346">
        <v>69.569999999999993</v>
      </c>
      <c r="AE346" t="s">
        <v>5491</v>
      </c>
      <c r="AF346" t="s">
        <v>6327</v>
      </c>
      <c r="AG346">
        <v>415</v>
      </c>
      <c r="AH346">
        <v>-51</v>
      </c>
      <c r="AI346">
        <v>592322</v>
      </c>
    </row>
    <row r="347" spans="1:36">
      <c r="A347" s="1" t="s">
        <v>381</v>
      </c>
      <c r="B347" t="s">
        <v>1245</v>
      </c>
      <c r="C347" t="str">
        <f>HYPERLINK("https://finance.naver.com/item/coinfo.nhn?code=900340", "A900340")</f>
        <v>A900340</v>
      </c>
      <c r="D347" t="str">
        <f>HYPERLINK("http://comp.fnguide.com/SVO2/ASP/SVD_Consensus.asp?pGB=1&amp;gicode=A900340&amp;cID=&amp;MenuYn=Y&amp;ReportGB=&amp;NewMenuID=108&amp;stkGb=701", "윙입푸드")</f>
        <v>윙입푸드</v>
      </c>
      <c r="E347">
        <v>3</v>
      </c>
      <c r="F347">
        <v>1385</v>
      </c>
      <c r="G347">
        <v>-0.35</v>
      </c>
      <c r="H347">
        <v>9.08</v>
      </c>
      <c r="I347">
        <v>6142</v>
      </c>
      <c r="J347">
        <v>3702</v>
      </c>
      <c r="K347">
        <v>3009</v>
      </c>
      <c r="L347">
        <v>-343.49</v>
      </c>
      <c r="M347">
        <v>-167.3</v>
      </c>
      <c r="N347">
        <v>-117.23</v>
      </c>
      <c r="O347">
        <v>23.37</v>
      </c>
      <c r="P347" t="b">
        <v>0</v>
      </c>
      <c r="Q347">
        <v>0</v>
      </c>
      <c r="R347">
        <v>236</v>
      </c>
      <c r="S347">
        <v>225</v>
      </c>
      <c r="T347">
        <v>-4.7</v>
      </c>
      <c r="U347" t="s">
        <v>2109</v>
      </c>
      <c r="V347" t="s">
        <v>2973</v>
      </c>
      <c r="W347">
        <v>-26.19011425432258</v>
      </c>
      <c r="X347">
        <v>-29.5</v>
      </c>
      <c r="Y347" t="s">
        <v>3792</v>
      </c>
      <c r="Z347">
        <v>0</v>
      </c>
      <c r="AA347">
        <v>664</v>
      </c>
      <c r="AB347">
        <v>169756</v>
      </c>
      <c r="AC347" t="s">
        <v>4628</v>
      </c>
      <c r="AD347">
        <v>47.42</v>
      </c>
      <c r="AE347" t="s">
        <v>5492</v>
      </c>
      <c r="AF347" t="s">
        <v>6328</v>
      </c>
      <c r="AG347">
        <v>1116</v>
      </c>
      <c r="AH347">
        <v>190</v>
      </c>
    </row>
    <row r="348" spans="1:36">
      <c r="A348" s="1" t="s">
        <v>382</v>
      </c>
      <c r="B348" t="s">
        <v>1246</v>
      </c>
      <c r="C348" t="str">
        <f>HYPERLINK("https://finance.naver.com/item/coinfo.nhn?code=089850", "A089850")</f>
        <v>A089850</v>
      </c>
      <c r="D348" t="str">
        <f>HYPERLINK("http://comp.fnguide.com/SVO2/ASP/SVD_Consensus.asp?pGB=1&amp;gicode=A089850&amp;cID=&amp;MenuYn=Y&amp;ReportGB=&amp;NewMenuID=108&amp;stkGb=701", "유비벨록스")</f>
        <v>유비벨록스</v>
      </c>
      <c r="E348">
        <v>3</v>
      </c>
      <c r="F348">
        <v>9170</v>
      </c>
      <c r="G348">
        <v>0</v>
      </c>
      <c r="H348">
        <v>8.11</v>
      </c>
      <c r="I348">
        <v>7996</v>
      </c>
      <c r="J348">
        <v>9757</v>
      </c>
      <c r="K348">
        <v>10258</v>
      </c>
      <c r="L348">
        <v>12.81</v>
      </c>
      <c r="M348">
        <v>-6.41</v>
      </c>
      <c r="N348">
        <v>-11.87</v>
      </c>
      <c r="O348">
        <v>5.81</v>
      </c>
      <c r="P348" t="b">
        <v>1</v>
      </c>
      <c r="Q348">
        <v>0</v>
      </c>
      <c r="R348">
        <v>805</v>
      </c>
      <c r="U348" t="s">
        <v>2110</v>
      </c>
      <c r="V348" t="s">
        <v>2974</v>
      </c>
      <c r="W348">
        <v>0</v>
      </c>
      <c r="X348">
        <v>51.4</v>
      </c>
      <c r="Y348" t="s">
        <v>3793</v>
      </c>
      <c r="Z348">
        <v>55.689241760630317</v>
      </c>
      <c r="AA348">
        <v>653</v>
      </c>
      <c r="AB348">
        <v>161835</v>
      </c>
      <c r="AC348" t="s">
        <v>4629</v>
      </c>
      <c r="AD348">
        <v>24.52</v>
      </c>
      <c r="AE348" t="s">
        <v>5493</v>
      </c>
      <c r="AF348" t="s">
        <v>6329</v>
      </c>
      <c r="AG348">
        <v>2794</v>
      </c>
      <c r="AH348">
        <v>78</v>
      </c>
      <c r="AI348">
        <v>378119</v>
      </c>
    </row>
    <row r="349" spans="1:36">
      <c r="A349" s="1" t="s">
        <v>383</v>
      </c>
      <c r="B349" t="s">
        <v>1247</v>
      </c>
      <c r="C349" t="str">
        <f>HYPERLINK("https://finance.naver.com/item/coinfo.nhn?code=024800", "A024800")</f>
        <v>A024800</v>
      </c>
      <c r="D349" t="str">
        <f>HYPERLINK("http://comp.fnguide.com/SVO2/ASP/SVD_Consensus.asp?pGB=1&amp;gicode=A024800&amp;cID=&amp;MenuYn=Y&amp;ReportGB=&amp;NewMenuID=108&amp;stkGb=701", "유성티엔에스")</f>
        <v>유성티엔에스</v>
      </c>
      <c r="E349">
        <v>3</v>
      </c>
      <c r="F349">
        <v>2865</v>
      </c>
      <c r="G349">
        <v>0</v>
      </c>
      <c r="H349">
        <v>3.62</v>
      </c>
      <c r="I349">
        <v>9750</v>
      </c>
      <c r="J349">
        <v>8833</v>
      </c>
      <c r="K349">
        <v>8572</v>
      </c>
      <c r="L349">
        <v>-240.32</v>
      </c>
      <c r="M349">
        <v>-208.3</v>
      </c>
      <c r="N349">
        <v>-199.2</v>
      </c>
      <c r="O349">
        <v>9.41</v>
      </c>
      <c r="P349" t="b">
        <v>1</v>
      </c>
      <c r="Q349">
        <v>0</v>
      </c>
      <c r="R349">
        <v>780</v>
      </c>
      <c r="U349" t="s">
        <v>2111</v>
      </c>
      <c r="V349" t="s">
        <v>2975</v>
      </c>
      <c r="W349">
        <v>0</v>
      </c>
      <c r="X349">
        <v>61.8</v>
      </c>
      <c r="Y349" t="s">
        <v>3794</v>
      </c>
      <c r="Z349">
        <v>36.851796029337478</v>
      </c>
      <c r="AA349">
        <v>780</v>
      </c>
      <c r="AB349">
        <v>271287</v>
      </c>
      <c r="AC349" t="s">
        <v>4630</v>
      </c>
      <c r="AD349">
        <v>48.23</v>
      </c>
      <c r="AE349" t="s">
        <v>5494</v>
      </c>
      <c r="AF349" t="s">
        <v>6330</v>
      </c>
      <c r="AG349">
        <v>3581</v>
      </c>
      <c r="AH349">
        <v>74</v>
      </c>
      <c r="AI349">
        <v>3652884</v>
      </c>
      <c r="AJ349">
        <v>0.53</v>
      </c>
    </row>
    <row r="350" spans="1:36">
      <c r="A350" s="1" t="s">
        <v>384</v>
      </c>
      <c r="B350" t="s">
        <v>1248</v>
      </c>
      <c r="C350" t="str">
        <f>HYPERLINK("https://finance.naver.com/item/coinfo.nhn?code=054930", "A054930")</f>
        <v>A054930</v>
      </c>
      <c r="D350" t="str">
        <f>HYPERLINK("http://comp.fnguide.com/SVO2/ASP/SVD_Consensus.asp?pGB=1&amp;gicode=A054930&amp;cID=&amp;MenuYn=Y&amp;ReportGB=&amp;NewMenuID=108&amp;stkGb=701", "유신")</f>
        <v>유신</v>
      </c>
      <c r="E350">
        <v>3</v>
      </c>
      <c r="F350">
        <v>13900</v>
      </c>
      <c r="G350">
        <v>0</v>
      </c>
      <c r="I350">
        <v>985</v>
      </c>
      <c r="J350">
        <v>16718</v>
      </c>
      <c r="K350">
        <v>21189</v>
      </c>
      <c r="L350">
        <v>92.91</v>
      </c>
      <c r="M350">
        <v>-20.27</v>
      </c>
      <c r="N350">
        <v>-52.44</v>
      </c>
      <c r="O350">
        <v>0.28999999999999998</v>
      </c>
      <c r="P350" t="b">
        <v>0</v>
      </c>
      <c r="Q350">
        <v>0</v>
      </c>
      <c r="R350">
        <v>-2050</v>
      </c>
      <c r="U350" t="s">
        <v>2112</v>
      </c>
      <c r="V350" t="s">
        <v>2976</v>
      </c>
      <c r="W350">
        <v>0</v>
      </c>
      <c r="X350">
        <v>0</v>
      </c>
      <c r="Y350" t="s">
        <v>3795</v>
      </c>
      <c r="Z350">
        <v>22.494489671984841</v>
      </c>
      <c r="AA350">
        <v>417</v>
      </c>
      <c r="AB350">
        <v>8508</v>
      </c>
      <c r="AC350" t="s">
        <v>4631</v>
      </c>
      <c r="AD350">
        <v>50.51</v>
      </c>
      <c r="AE350" t="s">
        <v>5495</v>
      </c>
      <c r="AF350" t="s">
        <v>6331</v>
      </c>
      <c r="AG350">
        <v>1666</v>
      </c>
      <c r="AH350">
        <v>-96</v>
      </c>
    </row>
    <row r="351" spans="1:36">
      <c r="A351" s="1" t="s">
        <v>385</v>
      </c>
      <c r="B351" t="s">
        <v>1249</v>
      </c>
      <c r="C351" t="str">
        <f>HYPERLINK("https://finance.naver.com/item/coinfo.nhn?code=049520", "A049520")</f>
        <v>A049520</v>
      </c>
      <c r="D351" t="str">
        <f>HYPERLINK("http://comp.fnguide.com/SVO2/ASP/SVD_Consensus.asp?pGB=1&amp;gicode=A049520&amp;cID=&amp;MenuYn=Y&amp;ReportGB=&amp;NewMenuID=108&amp;stkGb=701", "유아이엘")</f>
        <v>유아이엘</v>
      </c>
      <c r="E351">
        <v>3</v>
      </c>
      <c r="F351">
        <v>4075</v>
      </c>
      <c r="G351">
        <v>0</v>
      </c>
      <c r="H351">
        <v>13.65</v>
      </c>
      <c r="I351">
        <v>5841</v>
      </c>
      <c r="J351">
        <v>7175</v>
      </c>
      <c r="K351">
        <v>7554</v>
      </c>
      <c r="L351">
        <v>-43.33</v>
      </c>
      <c r="M351">
        <v>-76.069999999999993</v>
      </c>
      <c r="N351">
        <v>-85.37</v>
      </c>
      <c r="O351">
        <v>5.75</v>
      </c>
      <c r="P351" t="b">
        <v>1</v>
      </c>
      <c r="Q351">
        <v>0</v>
      </c>
      <c r="R351">
        <v>380</v>
      </c>
      <c r="U351" t="s">
        <v>2113</v>
      </c>
      <c r="V351" t="s">
        <v>2977</v>
      </c>
      <c r="W351">
        <v>0</v>
      </c>
      <c r="X351">
        <v>0</v>
      </c>
      <c r="Y351" t="s">
        <v>3796</v>
      </c>
      <c r="Z351">
        <v>-10.43613343694285</v>
      </c>
      <c r="AA351">
        <v>888</v>
      </c>
      <c r="AB351">
        <v>242663</v>
      </c>
      <c r="AC351" t="s">
        <v>4632</v>
      </c>
      <c r="AD351">
        <v>48.63</v>
      </c>
      <c r="AE351" t="s">
        <v>5496</v>
      </c>
      <c r="AF351" t="s">
        <v>6332</v>
      </c>
      <c r="AG351">
        <v>4085</v>
      </c>
      <c r="AH351">
        <v>89</v>
      </c>
      <c r="AI351">
        <v>800000</v>
      </c>
      <c r="AJ351">
        <v>7.71</v>
      </c>
    </row>
    <row r="352" spans="1:36">
      <c r="A352" s="1" t="s">
        <v>386</v>
      </c>
      <c r="B352" t="s">
        <v>1250</v>
      </c>
      <c r="C352" t="str">
        <f>HYPERLINK("https://finance.naver.com/item/coinfo.nhn?code=023410", "A023410")</f>
        <v>A023410</v>
      </c>
      <c r="D352" t="str">
        <f>HYPERLINK("http://comp.fnguide.com/SVO2/ASP/SVD_Consensus.asp?pGB=1&amp;gicode=A023410&amp;cID=&amp;MenuYn=Y&amp;ReportGB=&amp;NewMenuID=108&amp;stkGb=701", "유진기업")</f>
        <v>유진기업</v>
      </c>
      <c r="E352">
        <v>3</v>
      </c>
      <c r="F352">
        <v>4810</v>
      </c>
      <c r="G352">
        <v>0</v>
      </c>
      <c r="H352">
        <v>19.559999999999999</v>
      </c>
      <c r="I352">
        <v>6029</v>
      </c>
      <c r="J352">
        <v>8905</v>
      </c>
      <c r="K352">
        <v>9723</v>
      </c>
      <c r="L352">
        <v>-25.34</v>
      </c>
      <c r="M352">
        <v>-85.14</v>
      </c>
      <c r="N352">
        <v>-102.14</v>
      </c>
      <c r="O352">
        <v>4.43</v>
      </c>
      <c r="P352" t="b">
        <v>1</v>
      </c>
      <c r="Q352">
        <v>0</v>
      </c>
      <c r="R352">
        <v>257</v>
      </c>
      <c r="U352" t="s">
        <v>2114</v>
      </c>
      <c r="V352" t="s">
        <v>2978</v>
      </c>
      <c r="W352">
        <v>0</v>
      </c>
      <c r="X352">
        <v>26.8</v>
      </c>
      <c r="Y352" t="s">
        <v>3797</v>
      </c>
      <c r="Z352">
        <v>14.42161434400051</v>
      </c>
      <c r="AA352">
        <v>3719</v>
      </c>
      <c r="AB352">
        <v>623941</v>
      </c>
      <c r="AC352" t="s">
        <v>4633</v>
      </c>
      <c r="AD352">
        <v>38.74</v>
      </c>
      <c r="AE352" t="s">
        <v>5497</v>
      </c>
      <c r="AF352" t="s">
        <v>6333</v>
      </c>
      <c r="AG352">
        <v>14578</v>
      </c>
      <c r="AH352">
        <v>1280</v>
      </c>
      <c r="AI352">
        <v>6301103</v>
      </c>
      <c r="AJ352">
        <v>2.98</v>
      </c>
    </row>
    <row r="353" spans="1:36">
      <c r="A353" s="1" t="s">
        <v>387</v>
      </c>
      <c r="B353" t="s">
        <v>1251</v>
      </c>
      <c r="C353" t="str">
        <f>HYPERLINK("https://finance.naver.com/item/coinfo.nhn?code=191410", "A191410")</f>
        <v>A191410</v>
      </c>
      <c r="D353" t="str">
        <f>HYPERLINK("http://comp.fnguide.com/SVO2/ASP/SVD_Consensus.asp?pGB=1&amp;gicode=A191410&amp;cID=&amp;MenuYn=Y&amp;ReportGB=&amp;NewMenuID=108&amp;stkGb=701", "육일씨엔에쓰")</f>
        <v>육일씨엔에쓰</v>
      </c>
      <c r="E353">
        <v>3</v>
      </c>
      <c r="F353">
        <v>2990</v>
      </c>
      <c r="G353">
        <v>0</v>
      </c>
      <c r="I353">
        <v>5048</v>
      </c>
      <c r="J353">
        <v>4382</v>
      </c>
      <c r="K353">
        <v>4193</v>
      </c>
      <c r="L353">
        <v>-68.83</v>
      </c>
      <c r="M353">
        <v>-46.55</v>
      </c>
      <c r="N353">
        <v>-40.22</v>
      </c>
      <c r="O353">
        <v>10.17</v>
      </c>
      <c r="P353" t="b">
        <v>0</v>
      </c>
      <c r="Q353">
        <v>0</v>
      </c>
      <c r="R353">
        <v>-666</v>
      </c>
      <c r="U353" t="s">
        <v>2115</v>
      </c>
      <c r="V353" t="s">
        <v>2979</v>
      </c>
      <c r="W353">
        <v>0</v>
      </c>
      <c r="X353">
        <v>0</v>
      </c>
      <c r="Y353" t="s">
        <v>3798</v>
      </c>
      <c r="Z353">
        <v>-98.5</v>
      </c>
      <c r="AA353">
        <v>280</v>
      </c>
      <c r="AB353">
        <v>96454</v>
      </c>
      <c r="AC353" t="s">
        <v>4634</v>
      </c>
      <c r="AD353">
        <v>50.27</v>
      </c>
      <c r="AE353" t="s">
        <v>5498</v>
      </c>
      <c r="AF353" t="s">
        <v>6334</v>
      </c>
      <c r="AG353">
        <v>616</v>
      </c>
      <c r="AH353">
        <v>-92</v>
      </c>
    </row>
    <row r="354" spans="1:36">
      <c r="A354" s="1" t="s">
        <v>388</v>
      </c>
      <c r="B354" t="s">
        <v>1252</v>
      </c>
      <c r="C354" t="str">
        <f>HYPERLINK("https://finance.naver.com/item/coinfo.nhn?code=039020", "A039020")</f>
        <v>A039020</v>
      </c>
      <c r="D354" t="str">
        <f>HYPERLINK("http://comp.fnguide.com/SVO2/ASP/SVD_Consensus.asp?pGB=1&amp;gicode=A039020&amp;cID=&amp;MenuYn=Y&amp;ReportGB=&amp;NewMenuID=108&amp;stkGb=701", "이건홀딩스")</f>
        <v>이건홀딩스</v>
      </c>
      <c r="E354">
        <v>3</v>
      </c>
      <c r="F354">
        <v>2870</v>
      </c>
      <c r="G354">
        <v>0</v>
      </c>
      <c r="H354">
        <v>14.74</v>
      </c>
      <c r="I354">
        <v>5276</v>
      </c>
      <c r="J354">
        <v>6263</v>
      </c>
      <c r="K354">
        <v>6543</v>
      </c>
      <c r="L354">
        <v>-83.82</v>
      </c>
      <c r="M354">
        <v>-118.21</v>
      </c>
      <c r="N354">
        <v>-127.99</v>
      </c>
      <c r="O354">
        <v>6.06</v>
      </c>
      <c r="P354" t="b">
        <v>1</v>
      </c>
      <c r="Q354">
        <v>0</v>
      </c>
      <c r="R354">
        <v>179</v>
      </c>
      <c r="U354" t="s">
        <v>2116</v>
      </c>
      <c r="V354" t="s">
        <v>2980</v>
      </c>
      <c r="W354">
        <v>0</v>
      </c>
      <c r="X354">
        <v>0</v>
      </c>
      <c r="Y354" t="s">
        <v>3799</v>
      </c>
      <c r="Z354">
        <v>-12.79730968797443</v>
      </c>
      <c r="AA354">
        <v>648</v>
      </c>
      <c r="AB354">
        <v>249386</v>
      </c>
      <c r="AC354" t="s">
        <v>4635</v>
      </c>
      <c r="AD354">
        <v>53.15</v>
      </c>
      <c r="AE354" t="s">
        <v>5499</v>
      </c>
      <c r="AF354" t="s">
        <v>6335</v>
      </c>
      <c r="AG354">
        <v>4703</v>
      </c>
      <c r="AH354">
        <v>166</v>
      </c>
      <c r="AI354">
        <v>925488</v>
      </c>
      <c r="AJ354">
        <v>2.66</v>
      </c>
    </row>
    <row r="355" spans="1:36">
      <c r="A355" s="1" t="s">
        <v>389</v>
      </c>
      <c r="B355" t="s">
        <v>1253</v>
      </c>
      <c r="C355" t="str">
        <f>HYPERLINK("https://finance.naver.com/item/coinfo.nhn?code=067920", "A067920")</f>
        <v>A067920</v>
      </c>
      <c r="D355" t="str">
        <f>HYPERLINK("http://comp.fnguide.com/SVO2/ASP/SVD_Consensus.asp?pGB=1&amp;gicode=A067920&amp;cID=&amp;MenuYn=Y&amp;ReportGB=&amp;NewMenuID=108&amp;stkGb=701", "이글루시큐리티")</f>
        <v>이글루시큐리티</v>
      </c>
      <c r="E355">
        <v>3</v>
      </c>
      <c r="F355">
        <v>4750</v>
      </c>
      <c r="G355">
        <v>0</v>
      </c>
      <c r="H355">
        <v>23.41</v>
      </c>
      <c r="I355">
        <v>6885</v>
      </c>
      <c r="J355">
        <v>5906</v>
      </c>
      <c r="K355">
        <v>5628</v>
      </c>
      <c r="L355">
        <v>-44.94</v>
      </c>
      <c r="M355">
        <v>-24.34</v>
      </c>
      <c r="N355">
        <v>-18.48</v>
      </c>
      <c r="O355">
        <v>10.4</v>
      </c>
      <c r="P355" t="b">
        <v>1</v>
      </c>
      <c r="Q355">
        <v>0</v>
      </c>
      <c r="R355">
        <v>187</v>
      </c>
      <c r="U355" t="s">
        <v>2117</v>
      </c>
      <c r="V355" t="s">
        <v>2981</v>
      </c>
      <c r="W355">
        <v>0</v>
      </c>
      <c r="X355">
        <v>0</v>
      </c>
      <c r="Y355" t="s">
        <v>3800</v>
      </c>
      <c r="Z355">
        <v>-18.616953628074821</v>
      </c>
      <c r="AA355">
        <v>522</v>
      </c>
      <c r="AB355">
        <v>31680</v>
      </c>
      <c r="AC355" t="s">
        <v>4636</v>
      </c>
      <c r="AD355">
        <v>22.18</v>
      </c>
      <c r="AE355" t="s">
        <v>5500</v>
      </c>
      <c r="AF355" t="s">
        <v>6336</v>
      </c>
      <c r="AG355">
        <v>756</v>
      </c>
      <c r="AH355">
        <v>17</v>
      </c>
      <c r="AI355">
        <v>1810000</v>
      </c>
      <c r="AJ355">
        <v>3.2</v>
      </c>
    </row>
    <row r="356" spans="1:36">
      <c r="A356" s="1" t="s">
        <v>390</v>
      </c>
      <c r="B356" t="s">
        <v>1254</v>
      </c>
      <c r="C356" t="str">
        <f>HYPERLINK("https://finance.naver.com/item/coinfo.nhn?code=053350", "A053350")</f>
        <v>A053350</v>
      </c>
      <c r="D356" t="str">
        <f>HYPERLINK("http://comp.fnguide.com/SVO2/ASP/SVD_Consensus.asp?pGB=1&amp;gicode=A053350&amp;cID=&amp;MenuYn=Y&amp;ReportGB=&amp;NewMenuID=108&amp;stkGb=701", "이니텍")</f>
        <v>이니텍</v>
      </c>
      <c r="E356">
        <v>3</v>
      </c>
      <c r="F356">
        <v>4615</v>
      </c>
      <c r="G356">
        <v>0</v>
      </c>
      <c r="I356">
        <v>985</v>
      </c>
      <c r="J356">
        <v>3988</v>
      </c>
      <c r="K356">
        <v>4842</v>
      </c>
      <c r="L356">
        <v>78.66</v>
      </c>
      <c r="M356">
        <v>13.58</v>
      </c>
      <c r="N356">
        <v>-4.92</v>
      </c>
      <c r="O356">
        <v>1.31</v>
      </c>
      <c r="P356" t="b">
        <v>0</v>
      </c>
      <c r="Q356">
        <v>0</v>
      </c>
      <c r="R356">
        <v>-443</v>
      </c>
      <c r="U356" t="s">
        <v>2118</v>
      </c>
      <c r="V356" t="s">
        <v>2982</v>
      </c>
      <c r="W356">
        <v>0</v>
      </c>
      <c r="X356">
        <v>-72.3</v>
      </c>
      <c r="Y356" t="s">
        <v>3801</v>
      </c>
      <c r="Z356">
        <v>-38.478461902978978</v>
      </c>
      <c r="AA356">
        <v>913</v>
      </c>
      <c r="AB356">
        <v>23071</v>
      </c>
      <c r="AC356" t="s">
        <v>4637</v>
      </c>
      <c r="AD356">
        <v>57.01</v>
      </c>
      <c r="AE356" t="s">
        <v>5501</v>
      </c>
      <c r="AF356" t="s">
        <v>6337</v>
      </c>
      <c r="AG356">
        <v>2880</v>
      </c>
      <c r="AH356">
        <v>58</v>
      </c>
      <c r="AI356">
        <v>399280</v>
      </c>
      <c r="AJ356">
        <v>0.4</v>
      </c>
    </row>
    <row r="357" spans="1:36">
      <c r="A357" s="1" t="s">
        <v>391</v>
      </c>
      <c r="B357" t="s">
        <v>1255</v>
      </c>
      <c r="C357" t="str">
        <f>HYPERLINK("https://finance.naver.com/item/coinfo.nhn?code=196700", "A196700")</f>
        <v>A196700</v>
      </c>
      <c r="D357" t="str">
        <f>HYPERLINK("http://comp.fnguide.com/SVO2/ASP/SVD_Consensus.asp?pGB=1&amp;gicode=A196700&amp;cID=&amp;MenuYn=Y&amp;ReportGB=&amp;NewMenuID=108&amp;stkGb=701", "웹스")</f>
        <v>웹스</v>
      </c>
      <c r="E357">
        <v>3</v>
      </c>
      <c r="F357">
        <v>1795</v>
      </c>
      <c r="G357">
        <v>0</v>
      </c>
      <c r="I357">
        <v>0</v>
      </c>
      <c r="J357">
        <v>1709</v>
      </c>
      <c r="K357">
        <v>2194</v>
      </c>
      <c r="L357">
        <v>100</v>
      </c>
      <c r="M357">
        <v>4.8099999999999996</v>
      </c>
      <c r="N357">
        <v>-22.24</v>
      </c>
      <c r="O357">
        <v>0</v>
      </c>
      <c r="P357" t="b">
        <v>0</v>
      </c>
      <c r="Q357">
        <v>0</v>
      </c>
      <c r="R357">
        <v>-16</v>
      </c>
      <c r="U357" t="s">
        <v>2119</v>
      </c>
      <c r="V357" t="s">
        <v>2983</v>
      </c>
      <c r="W357">
        <v>0</v>
      </c>
      <c r="X357">
        <v>0</v>
      </c>
      <c r="Y357" t="s">
        <v>3802</v>
      </c>
      <c r="Z357">
        <v>-40.79999999999999</v>
      </c>
      <c r="AA357">
        <v>246</v>
      </c>
      <c r="AB357">
        <v>91199</v>
      </c>
      <c r="AC357" t="s">
        <v>4638</v>
      </c>
      <c r="AD357">
        <v>41.51</v>
      </c>
      <c r="AE357" t="s">
        <v>5502</v>
      </c>
      <c r="AF357" t="s">
        <v>6021</v>
      </c>
      <c r="AG357">
        <v>285</v>
      </c>
      <c r="AH357">
        <v>4</v>
      </c>
    </row>
    <row r="358" spans="1:36">
      <c r="A358" s="1" t="s">
        <v>392</v>
      </c>
      <c r="B358" t="s">
        <v>1256</v>
      </c>
      <c r="C358" t="str">
        <f>HYPERLINK("https://finance.naver.com/item/coinfo.nhn?code=041520", "A041520")</f>
        <v>A041520</v>
      </c>
      <c r="D358" t="str">
        <f>HYPERLINK("http://comp.fnguide.com/SVO2/ASP/SVD_Consensus.asp?pGB=1&amp;gicode=A041520&amp;cID=&amp;MenuYn=Y&amp;ReportGB=&amp;NewMenuID=108&amp;stkGb=701", "이라이콤")</f>
        <v>이라이콤</v>
      </c>
      <c r="E358">
        <v>3</v>
      </c>
      <c r="F358">
        <v>13500</v>
      </c>
      <c r="G358">
        <v>0</v>
      </c>
      <c r="I358">
        <v>2803</v>
      </c>
      <c r="J358">
        <v>11237</v>
      </c>
      <c r="K358">
        <v>13634</v>
      </c>
      <c r="L358">
        <v>79.23</v>
      </c>
      <c r="M358">
        <v>16.760000000000002</v>
      </c>
      <c r="N358">
        <v>-0.99</v>
      </c>
      <c r="O358">
        <v>1.32</v>
      </c>
      <c r="P358" t="b">
        <v>0</v>
      </c>
      <c r="Q358">
        <v>0</v>
      </c>
      <c r="R358">
        <v>-48</v>
      </c>
      <c r="U358" t="s">
        <v>2120</v>
      </c>
      <c r="V358" t="s">
        <v>2984</v>
      </c>
      <c r="W358">
        <v>0</v>
      </c>
      <c r="X358">
        <v>854.3</v>
      </c>
      <c r="Y358" t="s">
        <v>3803</v>
      </c>
      <c r="Z358">
        <v>-15.965364283528871</v>
      </c>
      <c r="AA358">
        <v>1645</v>
      </c>
      <c r="AB358">
        <v>836801</v>
      </c>
      <c r="AC358" t="s">
        <v>4639</v>
      </c>
      <c r="AD358">
        <v>46.72</v>
      </c>
      <c r="AE358" t="s">
        <v>5503</v>
      </c>
      <c r="AF358" t="s">
        <v>6338</v>
      </c>
      <c r="AG358">
        <v>2771</v>
      </c>
      <c r="AH358">
        <v>-55</v>
      </c>
      <c r="AI358">
        <v>1334</v>
      </c>
      <c r="AJ358">
        <v>1.96</v>
      </c>
    </row>
    <row r="359" spans="1:36">
      <c r="A359" s="1" t="s">
        <v>393</v>
      </c>
      <c r="B359" t="s">
        <v>1257</v>
      </c>
      <c r="C359" t="str">
        <f>HYPERLINK("https://finance.naver.com/item/coinfo.nhn?code=078020", "A078020")</f>
        <v>A078020</v>
      </c>
      <c r="D359" t="str">
        <f>HYPERLINK("http://comp.fnguide.com/SVO2/ASP/SVD_Consensus.asp?pGB=1&amp;gicode=A078020&amp;cID=&amp;MenuYn=Y&amp;ReportGB=&amp;NewMenuID=108&amp;stkGb=701", "이베스트투자증권")</f>
        <v>이베스트투자증권</v>
      </c>
      <c r="E359">
        <v>3</v>
      </c>
      <c r="F359">
        <v>7160</v>
      </c>
      <c r="G359">
        <v>0</v>
      </c>
      <c r="H359">
        <v>5.49</v>
      </c>
      <c r="I359">
        <v>13066</v>
      </c>
      <c r="J359">
        <v>11340</v>
      </c>
      <c r="K359">
        <v>10849</v>
      </c>
      <c r="L359">
        <v>-82.48</v>
      </c>
      <c r="M359">
        <v>-58.38</v>
      </c>
      <c r="N359">
        <v>-51.53</v>
      </c>
      <c r="O359">
        <v>10.17</v>
      </c>
      <c r="P359" t="b">
        <v>1</v>
      </c>
      <c r="Q359">
        <v>0</v>
      </c>
      <c r="R359">
        <v>1020</v>
      </c>
      <c r="U359" t="s">
        <v>2121</v>
      </c>
      <c r="V359" t="s">
        <v>2985</v>
      </c>
      <c r="W359">
        <v>0</v>
      </c>
      <c r="X359">
        <v>19.399999999999999</v>
      </c>
      <c r="Y359" t="s">
        <v>3804</v>
      </c>
      <c r="Z359">
        <v>11.115730995948759</v>
      </c>
      <c r="AA359">
        <v>3972</v>
      </c>
      <c r="AB359">
        <v>323883</v>
      </c>
      <c r="AC359" t="s">
        <v>4640</v>
      </c>
      <c r="AD359">
        <v>62.45</v>
      </c>
      <c r="AE359" t="s">
        <v>5504</v>
      </c>
      <c r="AF359" t="s">
        <v>6339</v>
      </c>
      <c r="AG359">
        <v>1893</v>
      </c>
      <c r="AH359">
        <v>705</v>
      </c>
      <c r="AI359">
        <v>5075498</v>
      </c>
      <c r="AJ359">
        <v>6.16</v>
      </c>
    </row>
    <row r="360" spans="1:36">
      <c r="A360" s="1" t="s">
        <v>394</v>
      </c>
      <c r="B360" t="s">
        <v>1258</v>
      </c>
      <c r="C360" t="str">
        <f>HYPERLINK("https://finance.naver.com/item/coinfo.nhn?code=080010", "A080010")</f>
        <v>A080010</v>
      </c>
      <c r="D360" t="str">
        <f>HYPERLINK("http://comp.fnguide.com/SVO2/ASP/SVD_Consensus.asp?pGB=1&amp;gicode=A080010&amp;cID=&amp;MenuYn=Y&amp;ReportGB=&amp;NewMenuID=108&amp;stkGb=701", "이상네트웍스")</f>
        <v>이상네트웍스</v>
      </c>
      <c r="E360">
        <v>3</v>
      </c>
      <c r="F360">
        <v>7200</v>
      </c>
      <c r="G360">
        <v>0</v>
      </c>
      <c r="H360">
        <v>7.11</v>
      </c>
      <c r="I360">
        <v>12910</v>
      </c>
      <c r="J360">
        <v>11540</v>
      </c>
      <c r="K360">
        <v>11150</v>
      </c>
      <c r="L360">
        <v>-79.31</v>
      </c>
      <c r="M360">
        <v>-60.27</v>
      </c>
      <c r="N360">
        <v>-54.86</v>
      </c>
      <c r="O360">
        <v>9.64</v>
      </c>
      <c r="P360" t="b">
        <v>1</v>
      </c>
      <c r="Q360">
        <v>0</v>
      </c>
      <c r="R360">
        <v>1001</v>
      </c>
      <c r="U360" t="s">
        <v>2122</v>
      </c>
      <c r="V360" t="s">
        <v>2986</v>
      </c>
      <c r="W360">
        <v>0</v>
      </c>
      <c r="X360">
        <v>-14.3</v>
      </c>
      <c r="Y360" t="s">
        <v>3805</v>
      </c>
      <c r="Z360">
        <v>22.66101951099477</v>
      </c>
      <c r="AA360">
        <v>649</v>
      </c>
      <c r="AB360">
        <v>1119</v>
      </c>
      <c r="AC360" t="s">
        <v>4641</v>
      </c>
      <c r="AD360">
        <v>50.05</v>
      </c>
      <c r="AE360" t="s">
        <v>5505</v>
      </c>
      <c r="AF360" t="s">
        <v>6340</v>
      </c>
      <c r="AG360">
        <v>582</v>
      </c>
      <c r="AH360">
        <v>75</v>
      </c>
      <c r="AI360">
        <v>98424</v>
      </c>
      <c r="AJ360">
        <v>1.4</v>
      </c>
    </row>
    <row r="361" spans="1:36">
      <c r="A361" s="1" t="s">
        <v>395</v>
      </c>
      <c r="B361" t="s">
        <v>1259</v>
      </c>
      <c r="C361" t="str">
        <f>HYPERLINK("https://finance.naver.com/item/coinfo.nhn?code=900110", "A900110")</f>
        <v>A900110</v>
      </c>
      <c r="D361" t="str">
        <f>HYPERLINK("http://comp.fnguide.com/SVO2/ASP/SVD_Consensus.asp?pGB=1&amp;gicode=A900110&amp;cID=&amp;MenuYn=Y&amp;ReportGB=&amp;NewMenuID=108&amp;stkGb=701", "이스트아시아홀딩스")</f>
        <v>이스트아시아홀딩스</v>
      </c>
      <c r="E361">
        <v>3</v>
      </c>
      <c r="F361">
        <v>236</v>
      </c>
      <c r="G361">
        <v>0</v>
      </c>
      <c r="H361">
        <v>7.99</v>
      </c>
      <c r="I361">
        <v>379</v>
      </c>
      <c r="J361">
        <v>1246</v>
      </c>
      <c r="K361">
        <v>1492</v>
      </c>
      <c r="L361">
        <v>-60.44</v>
      </c>
      <c r="M361">
        <v>-427.95</v>
      </c>
      <c r="N361">
        <v>-532.39</v>
      </c>
      <c r="O361">
        <v>1.65</v>
      </c>
      <c r="P361" t="b">
        <v>0</v>
      </c>
      <c r="Q361">
        <v>0</v>
      </c>
      <c r="R361">
        <v>29</v>
      </c>
      <c r="U361" t="s">
        <v>2123</v>
      </c>
      <c r="V361" t="s">
        <v>2987</v>
      </c>
      <c r="W361">
        <v>0</v>
      </c>
      <c r="X361">
        <v>0</v>
      </c>
      <c r="Y361" t="s">
        <v>3806</v>
      </c>
      <c r="Z361">
        <v>0.23741816307920599</v>
      </c>
      <c r="AA361">
        <v>257</v>
      </c>
      <c r="AB361">
        <v>1547395</v>
      </c>
      <c r="AC361" t="s">
        <v>4642</v>
      </c>
      <c r="AD361">
        <v>16.02</v>
      </c>
      <c r="AE361" t="s">
        <v>5506</v>
      </c>
      <c r="AF361" t="s">
        <v>6341</v>
      </c>
      <c r="AG361">
        <v>915</v>
      </c>
      <c r="AH361">
        <v>61</v>
      </c>
    </row>
    <row r="362" spans="1:36">
      <c r="A362" s="1" t="s">
        <v>396</v>
      </c>
      <c r="B362" t="s">
        <v>1260</v>
      </c>
      <c r="C362" t="str">
        <f>HYPERLINK("https://finance.naver.com/item/coinfo.nhn?code=052190", "A052190")</f>
        <v>A052190</v>
      </c>
      <c r="D362" t="str">
        <f>HYPERLINK("http://comp.fnguide.com/SVO2/ASP/SVD_Consensus.asp?pGB=1&amp;gicode=A052190&amp;cID=&amp;MenuYn=Y&amp;ReportGB=&amp;NewMenuID=108&amp;stkGb=701", "이에스에이")</f>
        <v>이에스에이</v>
      </c>
      <c r="E362">
        <v>3</v>
      </c>
      <c r="F362">
        <v>295</v>
      </c>
      <c r="G362">
        <v>0</v>
      </c>
      <c r="I362">
        <v>0</v>
      </c>
      <c r="J362">
        <v>461</v>
      </c>
      <c r="K362">
        <v>592</v>
      </c>
      <c r="L362">
        <v>100</v>
      </c>
      <c r="M362">
        <v>-56.3</v>
      </c>
      <c r="N362">
        <v>-100.72</v>
      </c>
      <c r="O362">
        <v>0</v>
      </c>
      <c r="P362" t="b">
        <v>0</v>
      </c>
      <c r="Q362">
        <v>0</v>
      </c>
      <c r="R362">
        <v>-538</v>
      </c>
      <c r="U362" t="s">
        <v>2124</v>
      </c>
      <c r="V362" t="s">
        <v>2988</v>
      </c>
      <c r="W362">
        <v>0</v>
      </c>
      <c r="X362">
        <v>0</v>
      </c>
      <c r="Y362" t="s">
        <v>3499</v>
      </c>
      <c r="Z362">
        <v>0</v>
      </c>
      <c r="AA362">
        <v>135</v>
      </c>
      <c r="AB362">
        <v>0</v>
      </c>
      <c r="AC362" t="s">
        <v>4643</v>
      </c>
      <c r="AD362">
        <v>2.52</v>
      </c>
      <c r="AE362" t="s">
        <v>5507</v>
      </c>
      <c r="AF362" t="s">
        <v>6021</v>
      </c>
      <c r="AG362">
        <v>27</v>
      </c>
      <c r="AH362">
        <v>-91</v>
      </c>
    </row>
    <row r="363" spans="1:36">
      <c r="A363" s="1" t="s">
        <v>397</v>
      </c>
      <c r="B363" t="s">
        <v>1261</v>
      </c>
      <c r="C363" t="str">
        <f>HYPERLINK("https://finance.naver.com/item/coinfo.nhn?code=063760", "A063760")</f>
        <v>A063760</v>
      </c>
      <c r="D363" t="str">
        <f>HYPERLINK("http://comp.fnguide.com/SVO2/ASP/SVD_Consensus.asp?pGB=1&amp;gicode=A063760&amp;cID=&amp;MenuYn=Y&amp;ReportGB=&amp;NewMenuID=108&amp;stkGb=701", "이엘피")</f>
        <v>이엘피</v>
      </c>
      <c r="E363">
        <v>3</v>
      </c>
      <c r="F363">
        <v>9980</v>
      </c>
      <c r="G363">
        <v>0</v>
      </c>
      <c r="H363">
        <v>14.4</v>
      </c>
      <c r="I363">
        <v>35812</v>
      </c>
      <c r="J363">
        <v>23792</v>
      </c>
      <c r="K363">
        <v>20376</v>
      </c>
      <c r="L363">
        <v>-258.83999999999997</v>
      </c>
      <c r="M363">
        <v>-138.38999999999999</v>
      </c>
      <c r="N363">
        <v>-104.16</v>
      </c>
      <c r="O363">
        <v>17.96</v>
      </c>
      <c r="P363" t="b">
        <v>1</v>
      </c>
      <c r="Q363">
        <v>0</v>
      </c>
      <c r="R363">
        <v>830</v>
      </c>
      <c r="U363" t="s">
        <v>2125</v>
      </c>
      <c r="V363" t="s">
        <v>2989</v>
      </c>
      <c r="W363">
        <v>0</v>
      </c>
      <c r="X363">
        <v>137.1</v>
      </c>
      <c r="Y363" t="s">
        <v>3807</v>
      </c>
      <c r="Z363">
        <v>20.653673378430579</v>
      </c>
      <c r="AA363">
        <v>490</v>
      </c>
      <c r="AB363">
        <v>10302</v>
      </c>
      <c r="AC363" t="s">
        <v>4644</v>
      </c>
      <c r="AD363">
        <v>22.33</v>
      </c>
      <c r="AE363" t="s">
        <v>5508</v>
      </c>
      <c r="AF363" t="s">
        <v>6342</v>
      </c>
      <c r="AG363">
        <v>373</v>
      </c>
      <c r="AH363">
        <v>31</v>
      </c>
      <c r="AI363">
        <v>495870</v>
      </c>
      <c r="AJ363">
        <v>1</v>
      </c>
    </row>
    <row r="364" spans="1:36">
      <c r="A364" s="1" t="s">
        <v>398</v>
      </c>
      <c r="B364" t="s">
        <v>1262</v>
      </c>
      <c r="C364" t="str">
        <f>HYPERLINK("https://finance.naver.com/item/coinfo.nhn?code=035810", "A035810")</f>
        <v>A035810</v>
      </c>
      <c r="D364" t="str">
        <f>HYPERLINK("http://comp.fnguide.com/SVO2/ASP/SVD_Consensus.asp?pGB=1&amp;gicode=A035810&amp;cID=&amp;MenuYn=Y&amp;ReportGB=&amp;NewMenuID=108&amp;stkGb=701", "이지홀딩스")</f>
        <v>이지홀딩스</v>
      </c>
      <c r="E364">
        <v>3</v>
      </c>
      <c r="F364">
        <v>4030</v>
      </c>
      <c r="G364">
        <v>0</v>
      </c>
      <c r="H364">
        <v>49.77</v>
      </c>
      <c r="I364">
        <v>4871</v>
      </c>
      <c r="J364">
        <v>6461</v>
      </c>
      <c r="K364">
        <v>6913</v>
      </c>
      <c r="L364">
        <v>-20.86</v>
      </c>
      <c r="M364">
        <v>-60.33</v>
      </c>
      <c r="N364">
        <v>-71.55</v>
      </c>
      <c r="O364">
        <v>5.15</v>
      </c>
      <c r="P364" t="b">
        <v>1</v>
      </c>
      <c r="Q364">
        <v>0</v>
      </c>
      <c r="R364">
        <v>100</v>
      </c>
      <c r="U364" t="s">
        <v>2126</v>
      </c>
      <c r="V364" t="s">
        <v>2990</v>
      </c>
      <c r="W364">
        <v>0</v>
      </c>
      <c r="X364">
        <v>309.10000000000002</v>
      </c>
      <c r="Y364" t="s">
        <v>3808</v>
      </c>
      <c r="Z364">
        <v>-1.4778868328271799</v>
      </c>
      <c r="AA364">
        <v>2242</v>
      </c>
      <c r="AB364">
        <v>332723</v>
      </c>
      <c r="AC364" t="s">
        <v>4645</v>
      </c>
      <c r="AD364">
        <v>31.86</v>
      </c>
      <c r="AE364" t="s">
        <v>5509</v>
      </c>
      <c r="AF364" t="s">
        <v>6343</v>
      </c>
      <c r="AG364">
        <v>16149</v>
      </c>
      <c r="AH364">
        <v>416</v>
      </c>
      <c r="AJ364">
        <v>1.01</v>
      </c>
    </row>
    <row r="365" spans="1:36">
      <c r="A365" s="1" t="s">
        <v>399</v>
      </c>
      <c r="B365" t="s">
        <v>1263</v>
      </c>
      <c r="C365" t="str">
        <f>HYPERLINK("https://finance.naver.com/item/coinfo.nhn?code=024810", "A024810")</f>
        <v>A024810</v>
      </c>
      <c r="D365" t="str">
        <f>HYPERLINK("http://comp.fnguide.com/SVO2/ASP/SVD_Consensus.asp?pGB=1&amp;gicode=A024810&amp;cID=&amp;MenuYn=Y&amp;ReportGB=&amp;NewMenuID=108&amp;stkGb=701", "이화전기")</f>
        <v>이화전기</v>
      </c>
      <c r="E365">
        <v>3</v>
      </c>
      <c r="F365">
        <v>211</v>
      </c>
      <c r="G365">
        <v>0</v>
      </c>
      <c r="H365">
        <v>1816.46</v>
      </c>
      <c r="I365">
        <v>41</v>
      </c>
      <c r="J365">
        <v>192</v>
      </c>
      <c r="K365">
        <v>235</v>
      </c>
      <c r="L365">
        <v>80.430000000000007</v>
      </c>
      <c r="M365">
        <v>9</v>
      </c>
      <c r="N365">
        <v>-11.3</v>
      </c>
      <c r="O365">
        <v>1.1200000000000001</v>
      </c>
      <c r="P365" t="b">
        <v>0</v>
      </c>
      <c r="Q365">
        <v>0</v>
      </c>
      <c r="R365">
        <v>0</v>
      </c>
      <c r="T365">
        <v>-100</v>
      </c>
      <c r="U365" t="s">
        <v>2127</v>
      </c>
      <c r="V365" t="s">
        <v>2991</v>
      </c>
      <c r="W365">
        <v>0</v>
      </c>
      <c r="X365">
        <v>0</v>
      </c>
      <c r="Y365" t="s">
        <v>3499</v>
      </c>
      <c r="Z365">
        <v>0</v>
      </c>
      <c r="AA365">
        <v>1516</v>
      </c>
      <c r="AB365">
        <v>37272736</v>
      </c>
      <c r="AC365" t="s">
        <v>4646</v>
      </c>
      <c r="AD365">
        <v>21.23</v>
      </c>
      <c r="AE365" t="s">
        <v>5510</v>
      </c>
      <c r="AF365" t="s">
        <v>6344</v>
      </c>
      <c r="AG365">
        <v>568</v>
      </c>
      <c r="AH365">
        <v>6</v>
      </c>
      <c r="AI365">
        <v>8332</v>
      </c>
    </row>
    <row r="366" spans="1:36">
      <c r="A366" s="1" t="s">
        <v>400</v>
      </c>
      <c r="B366" t="s">
        <v>1264</v>
      </c>
      <c r="C366" t="str">
        <f>HYPERLINK("https://finance.naver.com/item/coinfo.nhn?code=037330", "A037330")</f>
        <v>A037330</v>
      </c>
      <c r="D366" t="str">
        <f>HYPERLINK("http://comp.fnguide.com/SVO2/ASP/SVD_Consensus.asp?pGB=1&amp;gicode=A037330&amp;cID=&amp;MenuYn=Y&amp;ReportGB=&amp;NewMenuID=108&amp;stkGb=701", "인지디스플레")</f>
        <v>인지디스플레</v>
      </c>
      <c r="E366">
        <v>3</v>
      </c>
      <c r="F366">
        <v>3410</v>
      </c>
      <c r="G366">
        <v>0</v>
      </c>
      <c r="H366">
        <v>18.88</v>
      </c>
      <c r="I366">
        <v>1853</v>
      </c>
      <c r="J366">
        <v>3074</v>
      </c>
      <c r="K366">
        <v>3421</v>
      </c>
      <c r="L366">
        <v>45.65</v>
      </c>
      <c r="M366">
        <v>9.84</v>
      </c>
      <c r="N366">
        <v>-0.33</v>
      </c>
      <c r="O366">
        <v>3.79</v>
      </c>
      <c r="P366" t="b">
        <v>1</v>
      </c>
      <c r="Q366">
        <v>0</v>
      </c>
      <c r="R366">
        <v>111</v>
      </c>
      <c r="U366" t="s">
        <v>2128</v>
      </c>
      <c r="V366" t="s">
        <v>2992</v>
      </c>
      <c r="W366">
        <v>0</v>
      </c>
      <c r="X366">
        <v>39.4</v>
      </c>
      <c r="Y366" t="s">
        <v>3809</v>
      </c>
      <c r="Z366">
        <v>16.064653688997389</v>
      </c>
      <c r="AA366">
        <v>1496</v>
      </c>
      <c r="AB366">
        <v>827658</v>
      </c>
      <c r="AC366" t="s">
        <v>4647</v>
      </c>
      <c r="AD366">
        <v>49.98</v>
      </c>
      <c r="AE366" t="s">
        <v>5511</v>
      </c>
      <c r="AF366" t="s">
        <v>6345</v>
      </c>
      <c r="AG366">
        <v>5578</v>
      </c>
      <c r="AH366">
        <v>238</v>
      </c>
      <c r="AI366">
        <v>693500</v>
      </c>
      <c r="AJ366">
        <v>3.59</v>
      </c>
    </row>
    <row r="367" spans="1:36">
      <c r="A367" s="1" t="s">
        <v>401</v>
      </c>
      <c r="B367" t="s">
        <v>1265</v>
      </c>
      <c r="C367" t="str">
        <f>HYPERLINK("https://finance.naver.com/item/coinfo.nhn?code=192390", "A192390")</f>
        <v>A192390</v>
      </c>
      <c r="D367" t="str">
        <f>HYPERLINK("http://comp.fnguide.com/SVO2/ASP/SVD_Consensus.asp?pGB=1&amp;gicode=A192390&amp;cID=&amp;MenuYn=Y&amp;ReportGB=&amp;NewMenuID=108&amp;stkGb=701", "윈하이텍")</f>
        <v>윈하이텍</v>
      </c>
      <c r="E367">
        <v>3</v>
      </c>
      <c r="F367">
        <v>3040</v>
      </c>
      <c r="G367">
        <v>0</v>
      </c>
      <c r="I367">
        <v>3400</v>
      </c>
      <c r="J367">
        <v>4477</v>
      </c>
      <c r="K367">
        <v>4783</v>
      </c>
      <c r="L367">
        <v>-11.83</v>
      </c>
      <c r="M367">
        <v>-47.26</v>
      </c>
      <c r="N367">
        <v>-57.32</v>
      </c>
      <c r="O367">
        <v>5.2</v>
      </c>
      <c r="P367" t="b">
        <v>0</v>
      </c>
      <c r="Q367">
        <v>0</v>
      </c>
      <c r="R367">
        <v>-622</v>
      </c>
      <c r="U367" t="s">
        <v>2129</v>
      </c>
      <c r="V367" t="s">
        <v>2993</v>
      </c>
      <c r="W367">
        <v>0</v>
      </c>
      <c r="X367">
        <v>85.8</v>
      </c>
      <c r="Y367" t="s">
        <v>3810</v>
      </c>
      <c r="Z367">
        <v>16.134577605330321</v>
      </c>
      <c r="AA367">
        <v>324</v>
      </c>
      <c r="AB367">
        <v>43229</v>
      </c>
      <c r="AC367" t="s">
        <v>4648</v>
      </c>
      <c r="AD367">
        <v>49.33</v>
      </c>
      <c r="AE367" t="s">
        <v>5512</v>
      </c>
      <c r="AF367" t="s">
        <v>6346</v>
      </c>
      <c r="AG367">
        <v>846</v>
      </c>
      <c r="AH367">
        <v>-53</v>
      </c>
      <c r="AI367">
        <v>578862</v>
      </c>
    </row>
    <row r="368" spans="1:36">
      <c r="A368" s="1" t="s">
        <v>402</v>
      </c>
      <c r="B368" t="s">
        <v>1266</v>
      </c>
      <c r="C368" t="str">
        <f>HYPERLINK("https://finance.naver.com/item/coinfo.nhn?code=008370", "A008370")</f>
        <v>A008370</v>
      </c>
      <c r="D368" t="str">
        <f>HYPERLINK("http://comp.fnguide.com/SVO2/ASP/SVD_Consensus.asp?pGB=1&amp;gicode=A008370&amp;cID=&amp;MenuYn=Y&amp;ReportGB=&amp;NewMenuID=108&amp;stkGb=701", "원풍")</f>
        <v>원풍</v>
      </c>
      <c r="E368">
        <v>3</v>
      </c>
      <c r="F368">
        <v>4410</v>
      </c>
      <c r="G368">
        <v>0</v>
      </c>
      <c r="H368">
        <v>23.63</v>
      </c>
      <c r="I368">
        <v>2300</v>
      </c>
      <c r="J368">
        <v>4900</v>
      </c>
      <c r="K368">
        <v>5639</v>
      </c>
      <c r="L368">
        <v>47.84</v>
      </c>
      <c r="M368">
        <v>-11.12</v>
      </c>
      <c r="N368">
        <v>-27.87</v>
      </c>
      <c r="O368">
        <v>2.76</v>
      </c>
      <c r="P368" t="b">
        <v>1</v>
      </c>
      <c r="Q368">
        <v>0</v>
      </c>
      <c r="R368">
        <v>166</v>
      </c>
      <c r="U368" t="s">
        <v>2130</v>
      </c>
      <c r="V368" t="s">
        <v>2994</v>
      </c>
      <c r="W368">
        <v>0</v>
      </c>
      <c r="X368">
        <v>98.9</v>
      </c>
      <c r="Y368" t="s">
        <v>3811</v>
      </c>
      <c r="Z368">
        <v>-8.0592766189145237</v>
      </c>
      <c r="AA368">
        <v>529</v>
      </c>
      <c r="AB368">
        <v>44890</v>
      </c>
      <c r="AC368" t="s">
        <v>4649</v>
      </c>
      <c r="AD368">
        <v>56.58</v>
      </c>
      <c r="AE368" t="s">
        <v>5513</v>
      </c>
      <c r="AF368" t="s">
        <v>6347</v>
      </c>
      <c r="AG368">
        <v>729</v>
      </c>
      <c r="AH368">
        <v>27</v>
      </c>
      <c r="AI368">
        <v>900000</v>
      </c>
      <c r="AJ368">
        <v>3.83</v>
      </c>
    </row>
    <row r="369" spans="1:36">
      <c r="A369" s="1" t="s">
        <v>403</v>
      </c>
      <c r="B369" t="s">
        <v>1267</v>
      </c>
      <c r="C369" t="str">
        <f>HYPERLINK("https://finance.naver.com/item/coinfo.nhn?code=198080", "A198080")</f>
        <v>A198080</v>
      </c>
      <c r="D369" t="str">
        <f>HYPERLINK("http://comp.fnguide.com/SVO2/ASP/SVD_Consensus.asp?pGB=1&amp;gicode=A198080&amp;cID=&amp;MenuYn=Y&amp;ReportGB=&amp;NewMenuID=108&amp;stkGb=701", "엔피디")</f>
        <v>엔피디</v>
      </c>
      <c r="E369">
        <v>3</v>
      </c>
      <c r="F369">
        <v>4075</v>
      </c>
      <c r="G369">
        <v>0</v>
      </c>
      <c r="I369">
        <v>10608</v>
      </c>
      <c r="J369">
        <v>5572</v>
      </c>
      <c r="K369">
        <v>4141</v>
      </c>
      <c r="L369">
        <v>-160.33000000000001</v>
      </c>
      <c r="M369">
        <v>-36.74</v>
      </c>
      <c r="N369">
        <v>-1.62</v>
      </c>
      <c r="O369">
        <v>37.630000000000003</v>
      </c>
      <c r="P369" t="b">
        <v>0</v>
      </c>
      <c r="Q369">
        <v>0</v>
      </c>
      <c r="R369">
        <v>1167</v>
      </c>
      <c r="U369" t="s">
        <v>2131</v>
      </c>
      <c r="V369" t="s">
        <v>2995</v>
      </c>
      <c r="W369">
        <v>0</v>
      </c>
      <c r="X369">
        <v>-87.5</v>
      </c>
      <c r="Y369" t="s">
        <v>3812</v>
      </c>
      <c r="Z369">
        <v>-20.563093530453539</v>
      </c>
      <c r="AA369">
        <v>878</v>
      </c>
      <c r="AB369">
        <v>70898</v>
      </c>
      <c r="AC369" t="s">
        <v>4650</v>
      </c>
      <c r="AD369">
        <v>64.08</v>
      </c>
      <c r="AE369" t="s">
        <v>5514</v>
      </c>
      <c r="AF369" t="s">
        <v>6021</v>
      </c>
      <c r="AG369">
        <v>3087</v>
      </c>
      <c r="AH369">
        <v>262</v>
      </c>
    </row>
    <row r="370" spans="1:36">
      <c r="A370" s="1" t="s">
        <v>404</v>
      </c>
      <c r="B370" t="s">
        <v>1268</v>
      </c>
      <c r="C370" t="str">
        <f>HYPERLINK("https://finance.naver.com/item/coinfo.nhn?code=031510", "A031510")</f>
        <v>A031510</v>
      </c>
      <c r="D370" t="str">
        <f>HYPERLINK("http://comp.fnguide.com/SVO2/ASP/SVD_Consensus.asp?pGB=1&amp;gicode=A031510&amp;cID=&amp;MenuYn=Y&amp;ReportGB=&amp;NewMenuID=108&amp;stkGb=701", "오스템")</f>
        <v>오스템</v>
      </c>
      <c r="E370">
        <v>3</v>
      </c>
      <c r="F370">
        <v>2795</v>
      </c>
      <c r="G370">
        <v>0</v>
      </c>
      <c r="I370">
        <v>35</v>
      </c>
      <c r="J370">
        <v>2491</v>
      </c>
      <c r="K370">
        <v>3189</v>
      </c>
      <c r="L370">
        <v>98.73</v>
      </c>
      <c r="M370">
        <v>10.88</v>
      </c>
      <c r="N370">
        <v>-14.08</v>
      </c>
      <c r="O370">
        <v>7.0000000000000007E-2</v>
      </c>
      <c r="P370" t="b">
        <v>0</v>
      </c>
      <c r="Q370">
        <v>0</v>
      </c>
      <c r="R370">
        <v>-537</v>
      </c>
      <c r="U370" t="s">
        <v>2132</v>
      </c>
      <c r="V370" t="s">
        <v>2996</v>
      </c>
      <c r="W370">
        <v>0</v>
      </c>
      <c r="X370">
        <v>0</v>
      </c>
      <c r="Y370" t="s">
        <v>3813</v>
      </c>
      <c r="Z370">
        <v>-80.325397081516485</v>
      </c>
      <c r="AA370">
        <v>783</v>
      </c>
      <c r="AB370">
        <v>202456</v>
      </c>
      <c r="AC370" t="s">
        <v>4651</v>
      </c>
      <c r="AD370">
        <v>13.16</v>
      </c>
      <c r="AE370" t="s">
        <v>5515</v>
      </c>
      <c r="AF370" t="s">
        <v>6348</v>
      </c>
      <c r="AG370">
        <v>1470</v>
      </c>
      <c r="AH370">
        <v>-46</v>
      </c>
      <c r="AI370">
        <v>1350000</v>
      </c>
      <c r="AJ370">
        <v>0.99</v>
      </c>
    </row>
    <row r="371" spans="1:36">
      <c r="A371" s="1" t="s">
        <v>405</v>
      </c>
      <c r="B371" t="s">
        <v>1269</v>
      </c>
      <c r="C371" t="str">
        <f>HYPERLINK("https://finance.naver.com/item/coinfo.nhn?code=073110", "A073110")</f>
        <v>A073110</v>
      </c>
      <c r="D371" t="str">
        <f>HYPERLINK("http://comp.fnguide.com/SVO2/ASP/SVD_Consensus.asp?pGB=1&amp;gicode=A073110&amp;cID=&amp;MenuYn=Y&amp;ReportGB=&amp;NewMenuID=108&amp;stkGb=701", "엘엠에스")</f>
        <v>엘엠에스</v>
      </c>
      <c r="E371">
        <v>3</v>
      </c>
      <c r="F371">
        <v>13500</v>
      </c>
      <c r="G371">
        <v>0</v>
      </c>
      <c r="H371">
        <v>14.01</v>
      </c>
      <c r="I371">
        <v>19293</v>
      </c>
      <c r="J371">
        <v>19339</v>
      </c>
      <c r="K371">
        <v>19353</v>
      </c>
      <c r="L371">
        <v>-42.91</v>
      </c>
      <c r="M371">
        <v>-43.25</v>
      </c>
      <c r="N371">
        <v>-43.35</v>
      </c>
      <c r="O371">
        <v>7.91</v>
      </c>
      <c r="P371" t="b">
        <v>1</v>
      </c>
      <c r="Q371">
        <v>0</v>
      </c>
      <c r="R371">
        <v>1249</v>
      </c>
      <c r="U371" t="s">
        <v>2133</v>
      </c>
      <c r="V371" t="s">
        <v>2997</v>
      </c>
      <c r="W371">
        <v>0</v>
      </c>
      <c r="X371">
        <v>0</v>
      </c>
      <c r="Y371" t="s">
        <v>3814</v>
      </c>
      <c r="Z371">
        <v>8.2298942067301475</v>
      </c>
      <c r="AA371">
        <v>1201</v>
      </c>
      <c r="AB371">
        <v>572150</v>
      </c>
      <c r="AC371" t="s">
        <v>4652</v>
      </c>
      <c r="AD371">
        <v>23.35</v>
      </c>
      <c r="AE371" t="s">
        <v>5516</v>
      </c>
      <c r="AF371" t="s">
        <v>6349</v>
      </c>
      <c r="AG371">
        <v>1632</v>
      </c>
      <c r="AH371">
        <v>95</v>
      </c>
      <c r="AI371">
        <v>2473501</v>
      </c>
      <c r="AJ371">
        <v>1.43</v>
      </c>
    </row>
    <row r="372" spans="1:36">
      <c r="A372" s="1" t="s">
        <v>406</v>
      </c>
      <c r="B372" t="s">
        <v>1270</v>
      </c>
      <c r="C372" t="str">
        <f>HYPERLINK("https://finance.naver.com/item/coinfo.nhn?code=009780", "A009780")</f>
        <v>A009780</v>
      </c>
      <c r="D372" t="str">
        <f>HYPERLINK("http://comp.fnguide.com/SVO2/ASP/SVD_Consensus.asp?pGB=1&amp;gicode=A009780&amp;cID=&amp;MenuYn=Y&amp;ReportGB=&amp;NewMenuID=108&amp;stkGb=701", "엠에스씨")</f>
        <v>엠에스씨</v>
      </c>
      <c r="E372">
        <v>3</v>
      </c>
      <c r="F372">
        <v>4970</v>
      </c>
      <c r="G372">
        <v>0</v>
      </c>
      <c r="H372">
        <v>7.09</v>
      </c>
      <c r="I372">
        <v>9343</v>
      </c>
      <c r="J372">
        <v>6808</v>
      </c>
      <c r="K372">
        <v>6088</v>
      </c>
      <c r="L372">
        <v>-87.98</v>
      </c>
      <c r="M372">
        <v>-36.99</v>
      </c>
      <c r="N372">
        <v>-22.5</v>
      </c>
      <c r="O372">
        <v>14.46</v>
      </c>
      <c r="P372" t="b">
        <v>1</v>
      </c>
      <c r="Q372">
        <v>0</v>
      </c>
      <c r="R372">
        <v>668</v>
      </c>
      <c r="U372" t="s">
        <v>2134</v>
      </c>
      <c r="V372" t="s">
        <v>2998</v>
      </c>
      <c r="W372">
        <v>0</v>
      </c>
      <c r="X372">
        <v>-3.9</v>
      </c>
      <c r="Y372" t="s">
        <v>3815</v>
      </c>
      <c r="Z372">
        <v>17.004815045851231</v>
      </c>
      <c r="AA372">
        <v>875</v>
      </c>
      <c r="AB372">
        <v>53480</v>
      </c>
      <c r="AC372" t="s">
        <v>4653</v>
      </c>
      <c r="AD372">
        <v>73.22</v>
      </c>
      <c r="AE372" t="s">
        <v>5517</v>
      </c>
      <c r="AF372" t="s">
        <v>6350</v>
      </c>
      <c r="AG372">
        <v>1492</v>
      </c>
      <c r="AH372">
        <v>147</v>
      </c>
      <c r="AJ372">
        <v>1.27</v>
      </c>
    </row>
    <row r="373" spans="1:36">
      <c r="A373" s="1" t="s">
        <v>407</v>
      </c>
      <c r="B373" t="s">
        <v>1271</v>
      </c>
      <c r="C373" t="str">
        <f>HYPERLINK("https://finance.naver.com/item/coinfo.nhn?code=033160", "A033160")</f>
        <v>A033160</v>
      </c>
      <c r="D373" t="str">
        <f>HYPERLINK("http://comp.fnguide.com/SVO2/ASP/SVD_Consensus.asp?pGB=1&amp;gicode=A033160&amp;cID=&amp;MenuYn=Y&amp;ReportGB=&amp;NewMenuID=108&amp;stkGb=701", "엠케이전자")</f>
        <v>엠케이전자</v>
      </c>
      <c r="E373">
        <v>3</v>
      </c>
      <c r="F373">
        <v>9850</v>
      </c>
      <c r="G373">
        <v>0</v>
      </c>
      <c r="H373">
        <v>23.77</v>
      </c>
      <c r="I373">
        <v>12334</v>
      </c>
      <c r="J373">
        <v>13701</v>
      </c>
      <c r="K373">
        <v>14090</v>
      </c>
      <c r="L373">
        <v>-25.22</v>
      </c>
      <c r="M373">
        <v>-39.1</v>
      </c>
      <c r="N373">
        <v>-43.04</v>
      </c>
      <c r="O373">
        <v>6.71</v>
      </c>
      <c r="P373" t="b">
        <v>1</v>
      </c>
      <c r="Q373">
        <v>0</v>
      </c>
      <c r="R373">
        <v>324</v>
      </c>
      <c r="U373" t="s">
        <v>2135</v>
      </c>
      <c r="V373" t="s">
        <v>2999</v>
      </c>
      <c r="W373">
        <v>0</v>
      </c>
      <c r="X373">
        <v>-10.6</v>
      </c>
      <c r="Y373" t="s">
        <v>3816</v>
      </c>
      <c r="Z373">
        <v>-46.636451658653478</v>
      </c>
      <c r="AA373">
        <v>2148</v>
      </c>
      <c r="AB373">
        <v>209314</v>
      </c>
      <c r="AC373" t="s">
        <v>4654</v>
      </c>
      <c r="AD373">
        <v>35.85</v>
      </c>
      <c r="AE373" t="s">
        <v>5518</v>
      </c>
      <c r="AF373" t="s">
        <v>6351</v>
      </c>
      <c r="AG373">
        <v>7316</v>
      </c>
      <c r="AH373">
        <v>1267</v>
      </c>
      <c r="AI373">
        <v>919254</v>
      </c>
      <c r="AJ373">
        <v>0.52</v>
      </c>
    </row>
    <row r="374" spans="1:36">
      <c r="A374" s="1" t="s">
        <v>408</v>
      </c>
      <c r="B374" t="s">
        <v>1272</v>
      </c>
      <c r="C374" t="str">
        <f>HYPERLINK("https://finance.naver.com/item/coinfo.nhn?code=036560", "A036560")</f>
        <v>A036560</v>
      </c>
      <c r="D374" t="str">
        <f>HYPERLINK("http://comp.fnguide.com/SVO2/ASP/SVD_Consensus.asp?pGB=1&amp;gicode=A036560&amp;cID=&amp;MenuYn=Y&amp;ReportGB=&amp;NewMenuID=108&amp;stkGb=701", "영풍정밀")</f>
        <v>영풍정밀</v>
      </c>
      <c r="E374">
        <v>3</v>
      </c>
      <c r="F374">
        <v>8360</v>
      </c>
      <c r="G374">
        <v>0</v>
      </c>
      <c r="H374">
        <v>10.64</v>
      </c>
      <c r="I374">
        <v>9040</v>
      </c>
      <c r="J374">
        <v>14465</v>
      </c>
      <c r="K374">
        <v>16007</v>
      </c>
      <c r="L374">
        <v>-8.1300000000000008</v>
      </c>
      <c r="M374">
        <v>-73.03</v>
      </c>
      <c r="N374">
        <v>-91.47</v>
      </c>
      <c r="O374">
        <v>3.98</v>
      </c>
      <c r="P374" t="b">
        <v>1</v>
      </c>
      <c r="Q374">
        <v>0</v>
      </c>
      <c r="R374">
        <v>799</v>
      </c>
      <c r="U374" t="s">
        <v>2136</v>
      </c>
      <c r="V374" t="s">
        <v>3000</v>
      </c>
      <c r="W374">
        <v>0</v>
      </c>
      <c r="X374">
        <v>8.5</v>
      </c>
      <c r="Y374" t="s">
        <v>3817</v>
      </c>
      <c r="Z374">
        <v>8.4411357410976606</v>
      </c>
      <c r="AA374">
        <v>1317</v>
      </c>
      <c r="AB374">
        <v>145105</v>
      </c>
      <c r="AC374" t="s">
        <v>4655</v>
      </c>
      <c r="AD374">
        <v>51.07</v>
      </c>
      <c r="AE374" t="s">
        <v>5519</v>
      </c>
      <c r="AF374" t="s">
        <v>6352</v>
      </c>
      <c r="AG374">
        <v>750</v>
      </c>
      <c r="AH374">
        <v>101</v>
      </c>
      <c r="AJ374">
        <v>3.53</v>
      </c>
    </row>
    <row r="375" spans="1:36">
      <c r="A375" s="1" t="s">
        <v>409</v>
      </c>
      <c r="B375" t="s">
        <v>1273</v>
      </c>
      <c r="C375" t="str">
        <f>HYPERLINK("https://finance.naver.com/item/coinfo.nhn?code=036000", "A036000")</f>
        <v>A036000</v>
      </c>
      <c r="D375" t="str">
        <f>HYPERLINK("http://comp.fnguide.com/SVO2/ASP/SVD_Consensus.asp?pGB=1&amp;gicode=A036000&amp;cID=&amp;MenuYn=Y&amp;ReportGB=&amp;NewMenuID=108&amp;stkGb=701", "예림당")</f>
        <v>예림당</v>
      </c>
      <c r="E375">
        <v>3</v>
      </c>
      <c r="F375">
        <v>2905</v>
      </c>
      <c r="G375">
        <v>0</v>
      </c>
      <c r="I375">
        <v>6569</v>
      </c>
      <c r="J375">
        <v>7010</v>
      </c>
      <c r="K375">
        <v>7136</v>
      </c>
      <c r="L375">
        <v>-126.14</v>
      </c>
      <c r="M375">
        <v>-141.32</v>
      </c>
      <c r="N375">
        <v>-145.63</v>
      </c>
      <c r="O375">
        <v>7.14</v>
      </c>
      <c r="P375" t="b">
        <v>0</v>
      </c>
      <c r="Q375">
        <v>0</v>
      </c>
      <c r="R375">
        <v>-708</v>
      </c>
      <c r="U375" t="s">
        <v>2137</v>
      </c>
      <c r="V375" t="s">
        <v>3001</v>
      </c>
      <c r="W375">
        <v>0</v>
      </c>
      <c r="X375">
        <v>0</v>
      </c>
      <c r="Y375" t="s">
        <v>3818</v>
      </c>
      <c r="Z375">
        <v>93.986064069617697</v>
      </c>
      <c r="AA375">
        <v>669</v>
      </c>
      <c r="AB375">
        <v>154616</v>
      </c>
      <c r="AC375" t="s">
        <v>4656</v>
      </c>
      <c r="AD375">
        <v>54.26</v>
      </c>
      <c r="AE375" t="s">
        <v>5520</v>
      </c>
      <c r="AF375" t="s">
        <v>6353</v>
      </c>
      <c r="AG375">
        <v>8359</v>
      </c>
      <c r="AH375">
        <v>-247</v>
      </c>
    </row>
    <row r="376" spans="1:36">
      <c r="A376" s="1" t="s">
        <v>410</v>
      </c>
      <c r="B376" t="s">
        <v>1274</v>
      </c>
      <c r="C376" t="str">
        <f>HYPERLINK("https://finance.naver.com/item/coinfo.nhn?code=900300", "A900300")</f>
        <v>A900300</v>
      </c>
      <c r="D376" t="str">
        <f>HYPERLINK("http://comp.fnguide.com/SVO2/ASP/SVD_Consensus.asp?pGB=1&amp;gicode=A900300&amp;cID=&amp;MenuYn=Y&amp;ReportGB=&amp;NewMenuID=108&amp;stkGb=701", "오가닉티코스메틱")</f>
        <v>오가닉티코스메틱</v>
      </c>
      <c r="E376">
        <v>3</v>
      </c>
      <c r="F376">
        <v>549</v>
      </c>
      <c r="G376">
        <v>0</v>
      </c>
      <c r="H376">
        <v>2.6</v>
      </c>
      <c r="I376">
        <v>8811</v>
      </c>
      <c r="J376">
        <v>6094</v>
      </c>
      <c r="K376">
        <v>5321</v>
      </c>
      <c r="L376">
        <v>-1504.96</v>
      </c>
      <c r="M376">
        <v>-1009.93</v>
      </c>
      <c r="N376">
        <v>-869.25</v>
      </c>
      <c r="O376">
        <v>16.29</v>
      </c>
      <c r="P376" t="b">
        <v>0</v>
      </c>
      <c r="Q376">
        <v>0</v>
      </c>
      <c r="R376">
        <v>559</v>
      </c>
      <c r="U376" t="s">
        <v>2138</v>
      </c>
      <c r="V376" t="s">
        <v>3002</v>
      </c>
      <c r="W376">
        <v>0</v>
      </c>
      <c r="X376">
        <v>-58.5</v>
      </c>
      <c r="Y376" t="s">
        <v>3819</v>
      </c>
      <c r="Z376">
        <v>-22.379316953710969</v>
      </c>
      <c r="AA376">
        <v>354</v>
      </c>
      <c r="AB376">
        <v>3607713</v>
      </c>
      <c r="AC376" t="s">
        <v>4657</v>
      </c>
      <c r="AD376">
        <v>16.13</v>
      </c>
      <c r="AE376" t="s">
        <v>5521</v>
      </c>
      <c r="AF376" t="s">
        <v>6354</v>
      </c>
      <c r="AG376">
        <v>2996</v>
      </c>
      <c r="AH376">
        <v>459</v>
      </c>
    </row>
    <row r="377" spans="1:36">
      <c r="A377" s="1" t="s">
        <v>411</v>
      </c>
      <c r="B377" t="s">
        <v>1275</v>
      </c>
      <c r="C377" t="str">
        <f>HYPERLINK("https://finance.naver.com/item/coinfo.nhn?code=080520", "A080520")</f>
        <v>A080520</v>
      </c>
      <c r="D377" t="str">
        <f>HYPERLINK("http://comp.fnguide.com/SVO2/ASP/SVD_Consensus.asp?pGB=1&amp;gicode=A080520&amp;cID=&amp;MenuYn=Y&amp;ReportGB=&amp;NewMenuID=108&amp;stkGb=701", "오디텍")</f>
        <v>오디텍</v>
      </c>
      <c r="E377">
        <v>3</v>
      </c>
      <c r="F377">
        <v>5100</v>
      </c>
      <c r="G377">
        <v>0</v>
      </c>
      <c r="H377">
        <v>26.75</v>
      </c>
      <c r="I377">
        <v>3363</v>
      </c>
      <c r="J377">
        <v>7822</v>
      </c>
      <c r="K377">
        <v>9089</v>
      </c>
      <c r="L377">
        <v>34.06</v>
      </c>
      <c r="M377">
        <v>-53.37</v>
      </c>
      <c r="N377">
        <v>-78.22</v>
      </c>
      <c r="O377">
        <v>2.48</v>
      </c>
      <c r="P377" t="b">
        <v>1</v>
      </c>
      <c r="Q377">
        <v>0</v>
      </c>
      <c r="R377">
        <v>182</v>
      </c>
      <c r="U377" t="s">
        <v>2139</v>
      </c>
      <c r="V377" t="s">
        <v>3003</v>
      </c>
      <c r="W377">
        <v>0</v>
      </c>
      <c r="X377">
        <v>-78.099999999999994</v>
      </c>
      <c r="Y377" t="s">
        <v>3820</v>
      </c>
      <c r="Z377">
        <v>-44.81714120707975</v>
      </c>
      <c r="AA377">
        <v>599</v>
      </c>
      <c r="AB377">
        <v>60801</v>
      </c>
      <c r="AC377" t="s">
        <v>4658</v>
      </c>
      <c r="AD377">
        <v>25.33</v>
      </c>
      <c r="AE377" t="s">
        <v>5522</v>
      </c>
      <c r="AF377" t="s">
        <v>6355</v>
      </c>
      <c r="AG377">
        <v>416</v>
      </c>
      <c r="AH377">
        <v>12</v>
      </c>
      <c r="AI377">
        <v>840658</v>
      </c>
      <c r="AJ377">
        <v>2.0499999999999998</v>
      </c>
    </row>
    <row r="378" spans="1:36">
      <c r="A378" s="1" t="s">
        <v>412</v>
      </c>
      <c r="B378" t="s">
        <v>1276</v>
      </c>
      <c r="C378" t="str">
        <f>HYPERLINK("https://finance.naver.com/item/coinfo.nhn?code=039830", "A039830")</f>
        <v>A039830</v>
      </c>
      <c r="D378" t="str">
        <f>HYPERLINK("http://comp.fnguide.com/SVO2/ASP/SVD_Consensus.asp?pGB=1&amp;gicode=A039830&amp;cID=&amp;MenuYn=Y&amp;ReportGB=&amp;NewMenuID=108&amp;stkGb=701", "오로라")</f>
        <v>오로라</v>
      </c>
      <c r="E378">
        <v>3</v>
      </c>
      <c r="F378">
        <v>9340</v>
      </c>
      <c r="G378">
        <v>-2.66</v>
      </c>
      <c r="H378">
        <v>38.96</v>
      </c>
      <c r="I378">
        <v>7937</v>
      </c>
      <c r="J378">
        <v>9393</v>
      </c>
      <c r="K378">
        <v>9807</v>
      </c>
      <c r="L378">
        <v>15.02</v>
      </c>
      <c r="M378">
        <v>-0.56999999999999995</v>
      </c>
      <c r="N378">
        <v>-5</v>
      </c>
      <c r="O378">
        <v>6.08</v>
      </c>
      <c r="P378" t="b">
        <v>0</v>
      </c>
      <c r="Q378">
        <v>1</v>
      </c>
      <c r="R378">
        <v>350</v>
      </c>
      <c r="S378">
        <v>743</v>
      </c>
      <c r="T378">
        <v>112.3</v>
      </c>
      <c r="U378" t="s">
        <v>2140</v>
      </c>
      <c r="V378" t="s">
        <v>3004</v>
      </c>
      <c r="W378">
        <v>-14.6287648042667</v>
      </c>
      <c r="X378">
        <v>-36.799999999999997</v>
      </c>
      <c r="Y378" t="s">
        <v>3821</v>
      </c>
      <c r="Z378">
        <v>-17.443193362655311</v>
      </c>
      <c r="AA378">
        <v>1005</v>
      </c>
      <c r="AB378">
        <v>74916</v>
      </c>
      <c r="AC378" t="s">
        <v>4659</v>
      </c>
      <c r="AD378">
        <v>46.52</v>
      </c>
      <c r="AE378" t="s">
        <v>5523</v>
      </c>
      <c r="AF378" t="s">
        <v>6356</v>
      </c>
      <c r="AG378">
        <v>1571</v>
      </c>
      <c r="AH378">
        <v>126</v>
      </c>
      <c r="AI378">
        <v>509176</v>
      </c>
      <c r="AJ378">
        <v>1.47</v>
      </c>
    </row>
    <row r="379" spans="1:36">
      <c r="A379" s="1" t="s">
        <v>413</v>
      </c>
      <c r="B379" t="s">
        <v>1277</v>
      </c>
      <c r="C379" t="str">
        <f>HYPERLINK("https://finance.naver.com/item/coinfo.nhn?code=010470", "A010470")</f>
        <v>A010470</v>
      </c>
      <c r="D379" t="str">
        <f>HYPERLINK("http://comp.fnguide.com/SVO2/ASP/SVD_Consensus.asp?pGB=1&amp;gicode=A010470&amp;cID=&amp;MenuYn=Y&amp;ReportGB=&amp;NewMenuID=108&amp;stkGb=701", "오리콤")</f>
        <v>오리콤</v>
      </c>
      <c r="E379">
        <v>3</v>
      </c>
      <c r="F379">
        <v>5160</v>
      </c>
      <c r="G379">
        <v>0</v>
      </c>
      <c r="H379">
        <v>9.69</v>
      </c>
      <c r="I379">
        <v>7807</v>
      </c>
      <c r="J379">
        <v>7457</v>
      </c>
      <c r="K379">
        <v>7357</v>
      </c>
      <c r="L379">
        <v>-51.3</v>
      </c>
      <c r="M379">
        <v>-44.51</v>
      </c>
      <c r="N379">
        <v>-42.58</v>
      </c>
      <c r="O379">
        <v>8.58</v>
      </c>
      <c r="P379" t="b">
        <v>0</v>
      </c>
      <c r="Q379">
        <v>0</v>
      </c>
      <c r="R379">
        <v>515</v>
      </c>
      <c r="U379" t="s">
        <v>2141</v>
      </c>
      <c r="V379" t="s">
        <v>3005</v>
      </c>
      <c r="W379">
        <v>0</v>
      </c>
      <c r="X379">
        <v>0</v>
      </c>
      <c r="Y379" t="s">
        <v>3822</v>
      </c>
      <c r="Z379">
        <v>19.273062724207971</v>
      </c>
      <c r="AA379">
        <v>611</v>
      </c>
      <c r="AB379">
        <v>98363</v>
      </c>
      <c r="AC379" t="s">
        <v>4660</v>
      </c>
      <c r="AD379">
        <v>62.12</v>
      </c>
      <c r="AE379" t="s">
        <v>5524</v>
      </c>
      <c r="AF379" t="s">
        <v>6357</v>
      </c>
      <c r="AG379">
        <v>1985</v>
      </c>
      <c r="AH379">
        <v>80</v>
      </c>
      <c r="AI379">
        <v>370315</v>
      </c>
      <c r="AJ379">
        <v>4.41</v>
      </c>
    </row>
    <row r="380" spans="1:36">
      <c r="A380" s="1" t="s">
        <v>414</v>
      </c>
      <c r="B380" t="s">
        <v>1278</v>
      </c>
      <c r="C380" t="str">
        <f>HYPERLINK("https://finance.naver.com/item/coinfo.nhn?code=057540", "A057540")</f>
        <v>A057540</v>
      </c>
      <c r="D380" t="str">
        <f>HYPERLINK("http://comp.fnguide.com/SVO2/ASP/SVD_Consensus.asp?pGB=1&amp;gicode=A057540&amp;cID=&amp;MenuYn=Y&amp;ReportGB=&amp;NewMenuID=108&amp;stkGb=701", "옴니시스템")</f>
        <v>옴니시스템</v>
      </c>
      <c r="E380">
        <v>3</v>
      </c>
      <c r="F380">
        <v>2335</v>
      </c>
      <c r="G380">
        <v>0</v>
      </c>
      <c r="H380">
        <v>4.24</v>
      </c>
      <c r="I380">
        <v>3765</v>
      </c>
      <c r="J380">
        <v>2783</v>
      </c>
      <c r="K380">
        <v>2504</v>
      </c>
      <c r="L380">
        <v>-61.25</v>
      </c>
      <c r="M380">
        <v>-19.2</v>
      </c>
      <c r="N380">
        <v>-7.25</v>
      </c>
      <c r="O380">
        <v>14.01</v>
      </c>
      <c r="P380" t="b">
        <v>1</v>
      </c>
      <c r="Q380">
        <v>0</v>
      </c>
      <c r="R380">
        <v>463</v>
      </c>
      <c r="U380" t="s">
        <v>2142</v>
      </c>
      <c r="V380" t="s">
        <v>3006</v>
      </c>
      <c r="W380">
        <v>0</v>
      </c>
      <c r="X380">
        <v>-97.5</v>
      </c>
      <c r="Y380" t="s">
        <v>3823</v>
      </c>
      <c r="Z380">
        <v>-42.69491372534636</v>
      </c>
      <c r="AA380">
        <v>1017</v>
      </c>
      <c r="AB380">
        <v>620661</v>
      </c>
      <c r="AC380" t="s">
        <v>4661</v>
      </c>
      <c r="AD380">
        <v>19.93</v>
      </c>
      <c r="AE380" t="s">
        <v>5525</v>
      </c>
      <c r="AF380" t="s">
        <v>6358</v>
      </c>
      <c r="AG380">
        <v>940</v>
      </c>
      <c r="AH380">
        <v>-20</v>
      </c>
      <c r="AI380">
        <v>2105261</v>
      </c>
    </row>
    <row r="381" spans="1:36">
      <c r="A381" s="1" t="s">
        <v>415</v>
      </c>
      <c r="B381" t="s">
        <v>1279</v>
      </c>
      <c r="C381" t="str">
        <f>HYPERLINK("https://finance.naver.com/item/coinfo.nhn?code=012620", "A012620")</f>
        <v>A012620</v>
      </c>
      <c r="D381" t="str">
        <f>HYPERLINK("http://comp.fnguide.com/SVO2/ASP/SVD_Consensus.asp?pGB=1&amp;gicode=A012620&amp;cID=&amp;MenuYn=Y&amp;ReportGB=&amp;NewMenuID=108&amp;stkGb=701", "원일특강")</f>
        <v>원일특강</v>
      </c>
      <c r="E381">
        <v>3</v>
      </c>
      <c r="F381">
        <v>8880</v>
      </c>
      <c r="G381">
        <v>0</v>
      </c>
      <c r="H381">
        <v>3.97</v>
      </c>
      <c r="I381">
        <v>26013</v>
      </c>
      <c r="J381">
        <v>26498</v>
      </c>
      <c r="K381">
        <v>26635</v>
      </c>
      <c r="L381">
        <v>-192.94</v>
      </c>
      <c r="M381">
        <v>-198.4</v>
      </c>
      <c r="N381">
        <v>-199.95</v>
      </c>
      <c r="O381">
        <v>7.7</v>
      </c>
      <c r="P381" t="b">
        <v>1</v>
      </c>
      <c r="Q381">
        <v>0</v>
      </c>
      <c r="R381">
        <v>2259</v>
      </c>
      <c r="U381" t="s">
        <v>2143</v>
      </c>
      <c r="V381" t="s">
        <v>3007</v>
      </c>
      <c r="W381">
        <v>0</v>
      </c>
      <c r="X381">
        <v>-28.2</v>
      </c>
      <c r="Y381" t="s">
        <v>3824</v>
      </c>
      <c r="Z381">
        <v>8.9817407801917604</v>
      </c>
      <c r="AA381">
        <v>391</v>
      </c>
      <c r="AB381">
        <v>8250</v>
      </c>
      <c r="AC381" t="s">
        <v>4662</v>
      </c>
      <c r="AD381">
        <v>44.83</v>
      </c>
      <c r="AE381" t="s">
        <v>5526</v>
      </c>
      <c r="AF381" t="s">
        <v>6359</v>
      </c>
      <c r="AG381">
        <v>2558</v>
      </c>
      <c r="AH381">
        <v>92</v>
      </c>
      <c r="AJ381">
        <v>1.67</v>
      </c>
    </row>
    <row r="382" spans="1:36">
      <c r="A382" s="1" t="s">
        <v>416</v>
      </c>
      <c r="B382" t="s">
        <v>1280</v>
      </c>
      <c r="C382" t="str">
        <f>HYPERLINK("https://finance.naver.com/item/coinfo.nhn?code=019210", "A019210")</f>
        <v>A019210</v>
      </c>
      <c r="D382" t="str">
        <f>HYPERLINK("http://comp.fnguide.com/SVO2/ASP/SVD_Consensus.asp?pGB=1&amp;gicode=A019210&amp;cID=&amp;MenuYn=Y&amp;ReportGB=&amp;NewMenuID=108&amp;stkGb=701", "와이지-원")</f>
        <v>와이지-원</v>
      </c>
      <c r="E382">
        <v>3</v>
      </c>
      <c r="F382">
        <v>6460</v>
      </c>
      <c r="G382">
        <v>0</v>
      </c>
      <c r="H382">
        <v>171.77</v>
      </c>
      <c r="I382">
        <v>6026</v>
      </c>
      <c r="J382">
        <v>8824</v>
      </c>
      <c r="K382">
        <v>9619</v>
      </c>
      <c r="L382">
        <v>6.72</v>
      </c>
      <c r="M382">
        <v>-36.590000000000003</v>
      </c>
      <c r="N382">
        <v>-48.9</v>
      </c>
      <c r="O382">
        <v>4.4800000000000004</v>
      </c>
      <c r="P382" t="b">
        <v>0</v>
      </c>
      <c r="Q382">
        <v>0</v>
      </c>
      <c r="R382">
        <v>44</v>
      </c>
      <c r="U382" t="s">
        <v>2144</v>
      </c>
      <c r="V382" t="s">
        <v>3008</v>
      </c>
      <c r="W382">
        <v>0</v>
      </c>
      <c r="X382">
        <v>0</v>
      </c>
      <c r="Y382" t="s">
        <v>3825</v>
      </c>
      <c r="Z382">
        <v>-45.831414093391153</v>
      </c>
      <c r="AA382">
        <v>1975</v>
      </c>
      <c r="AB382">
        <v>165607</v>
      </c>
      <c r="AC382" t="s">
        <v>4663</v>
      </c>
      <c r="AD382">
        <v>37.840000000000003</v>
      </c>
      <c r="AE382" t="s">
        <v>5527</v>
      </c>
      <c r="AF382" t="s">
        <v>6360</v>
      </c>
      <c r="AG382">
        <v>4280</v>
      </c>
      <c r="AH382">
        <v>132</v>
      </c>
      <c r="AJ382">
        <v>1.58</v>
      </c>
    </row>
    <row r="383" spans="1:36">
      <c r="A383" s="1" t="s">
        <v>417</v>
      </c>
      <c r="B383" t="s">
        <v>1281</v>
      </c>
      <c r="C383" t="str">
        <f>HYPERLINK("https://finance.naver.com/item/coinfo.nhn?code=079000", "A079000")</f>
        <v>A079000</v>
      </c>
      <c r="D383" t="str">
        <f>HYPERLINK("http://comp.fnguide.com/SVO2/ASP/SVD_Consensus.asp?pGB=1&amp;gicode=A079000&amp;cID=&amp;MenuYn=Y&amp;ReportGB=&amp;NewMenuID=108&amp;stkGb=701", "와토스코리아")</f>
        <v>와토스코리아</v>
      </c>
      <c r="E383">
        <v>3</v>
      </c>
      <c r="F383">
        <v>5450</v>
      </c>
      <c r="G383">
        <v>0</v>
      </c>
      <c r="H383">
        <v>12.67</v>
      </c>
      <c r="I383">
        <v>5661</v>
      </c>
      <c r="J383">
        <v>8548</v>
      </c>
      <c r="K383">
        <v>9369</v>
      </c>
      <c r="L383">
        <v>-3.86</v>
      </c>
      <c r="M383">
        <v>-56.85</v>
      </c>
      <c r="N383">
        <v>-71.91</v>
      </c>
      <c r="O383">
        <v>4.3</v>
      </c>
      <c r="P383" t="b">
        <v>1</v>
      </c>
      <c r="Q383">
        <v>0</v>
      </c>
      <c r="R383">
        <v>437</v>
      </c>
      <c r="U383" t="s">
        <v>2145</v>
      </c>
      <c r="V383" t="s">
        <v>3009</v>
      </c>
      <c r="W383">
        <v>0</v>
      </c>
      <c r="X383">
        <v>-74.900000000000006</v>
      </c>
      <c r="Y383" t="s">
        <v>3826</v>
      </c>
      <c r="Z383">
        <v>-31.482556748599851</v>
      </c>
      <c r="AA383">
        <v>392</v>
      </c>
      <c r="AB383">
        <v>28421</v>
      </c>
      <c r="AC383" t="s">
        <v>4664</v>
      </c>
      <c r="AD383">
        <v>67.12</v>
      </c>
      <c r="AE383" t="s">
        <v>5528</v>
      </c>
      <c r="AF383" t="s">
        <v>6361</v>
      </c>
      <c r="AG383">
        <v>183</v>
      </c>
      <c r="AH383">
        <v>5</v>
      </c>
      <c r="AI383">
        <v>1393</v>
      </c>
      <c r="AJ383">
        <v>3.61</v>
      </c>
    </row>
    <row r="384" spans="1:36">
      <c r="A384" s="1" t="s">
        <v>418</v>
      </c>
      <c r="B384" t="s">
        <v>1282</v>
      </c>
      <c r="C384" t="str">
        <f>HYPERLINK("https://finance.naver.com/item/coinfo.nhn?code=072470", "A072470")</f>
        <v>A072470</v>
      </c>
      <c r="D384" t="str">
        <f>HYPERLINK("http://comp.fnguide.com/SVO2/ASP/SVD_Consensus.asp?pGB=1&amp;gicode=A072470&amp;cID=&amp;MenuYn=Y&amp;ReportGB=&amp;NewMenuID=108&amp;stkGb=701", "우리산업홀딩스")</f>
        <v>우리산업홀딩스</v>
      </c>
      <c r="E384">
        <v>3</v>
      </c>
      <c r="F384">
        <v>5140</v>
      </c>
      <c r="G384">
        <v>0</v>
      </c>
      <c r="H384">
        <v>314.95</v>
      </c>
      <c r="I384">
        <v>766</v>
      </c>
      <c r="J384">
        <v>4419</v>
      </c>
      <c r="K384">
        <v>5457</v>
      </c>
      <c r="L384">
        <v>85.09</v>
      </c>
      <c r="M384">
        <v>14.03</v>
      </c>
      <c r="N384">
        <v>-6.16</v>
      </c>
      <c r="O384">
        <v>0.89</v>
      </c>
      <c r="P384" t="b">
        <v>0</v>
      </c>
      <c r="Q384">
        <v>0</v>
      </c>
      <c r="R384">
        <v>10</v>
      </c>
      <c r="U384" t="s">
        <v>2146</v>
      </c>
      <c r="V384" t="s">
        <v>3010</v>
      </c>
      <c r="W384">
        <v>0</v>
      </c>
      <c r="X384">
        <v>-53.5</v>
      </c>
      <c r="Y384" t="s">
        <v>3827</v>
      </c>
      <c r="Z384">
        <v>-69.752492497476453</v>
      </c>
      <c r="AA384">
        <v>971</v>
      </c>
      <c r="AB384">
        <v>51581</v>
      </c>
      <c r="AC384" t="s">
        <v>4665</v>
      </c>
      <c r="AD384">
        <v>78.63</v>
      </c>
      <c r="AE384" t="s">
        <v>5529</v>
      </c>
      <c r="AF384" t="s">
        <v>6362</v>
      </c>
      <c r="AG384">
        <v>3782</v>
      </c>
      <c r="AH384">
        <v>74</v>
      </c>
      <c r="AI384">
        <v>3612</v>
      </c>
      <c r="AJ384">
        <v>0.83</v>
      </c>
    </row>
    <row r="385" spans="1:36">
      <c r="A385" s="1" t="s">
        <v>419</v>
      </c>
      <c r="B385" t="s">
        <v>1283</v>
      </c>
      <c r="C385" t="str">
        <f>HYPERLINK("https://finance.naver.com/item/coinfo.nhn?code=073560", "A073560")</f>
        <v>A073560</v>
      </c>
      <c r="D385" t="str">
        <f>HYPERLINK("http://comp.fnguide.com/SVO2/ASP/SVD_Consensus.asp?pGB=1&amp;gicode=A073560&amp;cID=&amp;MenuYn=Y&amp;ReportGB=&amp;NewMenuID=108&amp;stkGb=701", "우리손에프앤지")</f>
        <v>우리손에프앤지</v>
      </c>
      <c r="E385">
        <v>3</v>
      </c>
      <c r="F385">
        <v>1985</v>
      </c>
      <c r="G385">
        <v>0</v>
      </c>
      <c r="H385">
        <v>33.25</v>
      </c>
      <c r="I385">
        <v>3154</v>
      </c>
      <c r="J385">
        <v>2847</v>
      </c>
      <c r="K385">
        <v>2760</v>
      </c>
      <c r="L385">
        <v>-58.87</v>
      </c>
      <c r="M385">
        <v>-43.44</v>
      </c>
      <c r="N385">
        <v>-39.049999999999997</v>
      </c>
      <c r="O385">
        <v>9.4700000000000006</v>
      </c>
      <c r="P385" t="b">
        <v>1</v>
      </c>
      <c r="Q385">
        <v>0</v>
      </c>
      <c r="R385">
        <v>61</v>
      </c>
      <c r="U385" t="s">
        <v>2147</v>
      </c>
      <c r="V385" t="s">
        <v>3011</v>
      </c>
      <c r="W385">
        <v>0</v>
      </c>
      <c r="X385">
        <v>24.2</v>
      </c>
      <c r="Y385" t="s">
        <v>3828</v>
      </c>
      <c r="Z385">
        <v>-27.979718466384028</v>
      </c>
      <c r="AA385">
        <v>1374</v>
      </c>
      <c r="AB385">
        <v>486471</v>
      </c>
      <c r="AC385" t="s">
        <v>4666</v>
      </c>
      <c r="AD385">
        <v>49.69</v>
      </c>
      <c r="AE385" t="s">
        <v>5530</v>
      </c>
      <c r="AF385" t="s">
        <v>6363</v>
      </c>
      <c r="AG385">
        <v>2252</v>
      </c>
      <c r="AH385">
        <v>102</v>
      </c>
      <c r="AJ385">
        <v>1.24</v>
      </c>
    </row>
    <row r="386" spans="1:36">
      <c r="A386" s="1" t="s">
        <v>420</v>
      </c>
      <c r="B386" t="s">
        <v>1284</v>
      </c>
      <c r="C386" t="str">
        <f>HYPERLINK("https://finance.naver.com/item/coinfo.nhn?code=037400", "A037400")</f>
        <v>A037400</v>
      </c>
      <c r="D386" t="str">
        <f>HYPERLINK("http://comp.fnguide.com/SVO2/ASP/SVD_Consensus.asp?pGB=1&amp;gicode=A037400&amp;cID=&amp;MenuYn=Y&amp;ReportGB=&amp;NewMenuID=108&amp;stkGb=701", "우리조명")</f>
        <v>우리조명</v>
      </c>
      <c r="E386">
        <v>3</v>
      </c>
      <c r="F386">
        <v>2000</v>
      </c>
      <c r="G386">
        <v>0</v>
      </c>
      <c r="H386">
        <v>25.67</v>
      </c>
      <c r="I386">
        <v>323</v>
      </c>
      <c r="J386">
        <v>1956</v>
      </c>
      <c r="K386">
        <v>2420</v>
      </c>
      <c r="L386">
        <v>83.84</v>
      </c>
      <c r="M386">
        <v>2.2000000000000002</v>
      </c>
      <c r="N386">
        <v>-21</v>
      </c>
      <c r="O386">
        <v>0.85</v>
      </c>
      <c r="P386" t="b">
        <v>1</v>
      </c>
      <c r="Q386">
        <v>0</v>
      </c>
      <c r="R386">
        <v>48</v>
      </c>
      <c r="U386" t="s">
        <v>2148</v>
      </c>
      <c r="V386" t="s">
        <v>3012</v>
      </c>
      <c r="W386">
        <v>0</v>
      </c>
      <c r="X386">
        <v>613</v>
      </c>
      <c r="Y386" t="s">
        <v>3829</v>
      </c>
      <c r="Z386">
        <v>613</v>
      </c>
      <c r="AA386">
        <v>498</v>
      </c>
      <c r="AB386">
        <v>156410</v>
      </c>
      <c r="AC386" t="s">
        <v>4667</v>
      </c>
      <c r="AD386">
        <v>29.96</v>
      </c>
      <c r="AE386" t="s">
        <v>5531</v>
      </c>
      <c r="AF386" t="s">
        <v>6364</v>
      </c>
      <c r="AG386">
        <v>16977</v>
      </c>
      <c r="AH386">
        <v>271</v>
      </c>
      <c r="AI386">
        <v>1972510</v>
      </c>
    </row>
    <row r="387" spans="1:36">
      <c r="A387" s="1" t="s">
        <v>421</v>
      </c>
      <c r="B387" t="s">
        <v>1285</v>
      </c>
      <c r="C387" t="str">
        <f>HYPERLINK("https://finance.naver.com/item/coinfo.nhn?code=101170", "A101170")</f>
        <v>A101170</v>
      </c>
      <c r="D387" t="str">
        <f>HYPERLINK("http://comp.fnguide.com/SVO2/ASP/SVD_Consensus.asp?pGB=1&amp;gicode=A101170&amp;cID=&amp;MenuYn=Y&amp;ReportGB=&amp;NewMenuID=108&amp;stkGb=701", "우림기계")</f>
        <v>우림기계</v>
      </c>
      <c r="E387">
        <v>3</v>
      </c>
      <c r="F387">
        <v>5010</v>
      </c>
      <c r="G387">
        <v>0</v>
      </c>
      <c r="I387">
        <v>1345</v>
      </c>
      <c r="J387">
        <v>4487</v>
      </c>
      <c r="K387">
        <v>5380</v>
      </c>
      <c r="L387">
        <v>73.14</v>
      </c>
      <c r="M387">
        <v>10.43</v>
      </c>
      <c r="N387">
        <v>-7.39</v>
      </c>
      <c r="O387">
        <v>1.63</v>
      </c>
      <c r="P387" t="b">
        <v>0</v>
      </c>
      <c r="Q387">
        <v>0</v>
      </c>
      <c r="R387">
        <v>-49</v>
      </c>
      <c r="U387" t="s">
        <v>2149</v>
      </c>
      <c r="V387" t="s">
        <v>3013</v>
      </c>
      <c r="W387">
        <v>0</v>
      </c>
      <c r="X387">
        <v>0</v>
      </c>
      <c r="Y387" t="s">
        <v>3830</v>
      </c>
      <c r="Z387">
        <v>-73.7</v>
      </c>
      <c r="AA387">
        <v>676</v>
      </c>
      <c r="AB387">
        <v>227419</v>
      </c>
      <c r="AC387" t="s">
        <v>4668</v>
      </c>
      <c r="AD387">
        <v>55.53</v>
      </c>
      <c r="AE387" t="s">
        <v>5532</v>
      </c>
      <c r="AF387" t="s">
        <v>6365</v>
      </c>
      <c r="AG387">
        <v>555</v>
      </c>
      <c r="AH387">
        <v>-13</v>
      </c>
      <c r="AI387">
        <v>283098</v>
      </c>
    </row>
    <row r="388" spans="1:36">
      <c r="A388" s="1" t="s">
        <v>422</v>
      </c>
      <c r="B388" t="s">
        <v>1286</v>
      </c>
      <c r="C388" t="str">
        <f>HYPERLINK("https://finance.naver.com/item/coinfo.nhn?code=032940", "A032940")</f>
        <v>A032940</v>
      </c>
      <c r="D388" t="str">
        <f>HYPERLINK("http://comp.fnguide.com/SVO2/ASP/SVD_Consensus.asp?pGB=1&amp;gicode=A032940&amp;cID=&amp;MenuYn=Y&amp;ReportGB=&amp;NewMenuID=108&amp;stkGb=701", "원익")</f>
        <v>원익</v>
      </c>
      <c r="E388">
        <v>3</v>
      </c>
      <c r="F388">
        <v>4550</v>
      </c>
      <c r="G388">
        <v>0</v>
      </c>
      <c r="H388">
        <v>1.64</v>
      </c>
      <c r="I388">
        <v>21630</v>
      </c>
      <c r="J388">
        <v>12403</v>
      </c>
      <c r="K388">
        <v>9781</v>
      </c>
      <c r="L388">
        <v>-375.39</v>
      </c>
      <c r="M388">
        <v>-172.6</v>
      </c>
      <c r="N388">
        <v>-114.97</v>
      </c>
      <c r="O388">
        <v>27.28</v>
      </c>
      <c r="P388" t="b">
        <v>1</v>
      </c>
      <c r="Q388">
        <v>0</v>
      </c>
      <c r="R388">
        <v>2577</v>
      </c>
      <c r="U388" t="s">
        <v>2150</v>
      </c>
      <c r="V388" t="s">
        <v>3014</v>
      </c>
      <c r="W388">
        <v>0</v>
      </c>
      <c r="X388">
        <v>0</v>
      </c>
      <c r="Y388" t="s">
        <v>3831</v>
      </c>
      <c r="Z388">
        <v>-83.1</v>
      </c>
      <c r="AA388">
        <v>828</v>
      </c>
      <c r="AB388">
        <v>112143</v>
      </c>
      <c r="AC388" t="s">
        <v>4669</v>
      </c>
      <c r="AD388">
        <v>47.9</v>
      </c>
      <c r="AE388" t="s">
        <v>5533</v>
      </c>
      <c r="AF388" t="s">
        <v>6366</v>
      </c>
      <c r="AG388">
        <v>904</v>
      </c>
      <c r="AH388">
        <v>42</v>
      </c>
      <c r="AI388">
        <v>3749</v>
      </c>
    </row>
    <row r="389" spans="1:36">
      <c r="A389" s="1" t="s">
        <v>423</v>
      </c>
      <c r="B389" t="s">
        <v>1287</v>
      </c>
      <c r="C389" t="str">
        <f>HYPERLINK("https://finance.naver.com/item/coinfo.nhn?code=014190", "A014190")</f>
        <v>A014190</v>
      </c>
      <c r="D389" t="str">
        <f>HYPERLINK("http://comp.fnguide.com/SVO2/ASP/SVD_Consensus.asp?pGB=1&amp;gicode=A014190&amp;cID=&amp;MenuYn=Y&amp;ReportGB=&amp;NewMenuID=108&amp;stkGb=701", "원익큐브")</f>
        <v>원익큐브</v>
      </c>
      <c r="E389">
        <v>3</v>
      </c>
      <c r="F389">
        <v>1715</v>
      </c>
      <c r="G389">
        <v>0</v>
      </c>
      <c r="H389">
        <v>20.05</v>
      </c>
      <c r="I389">
        <v>816</v>
      </c>
      <c r="J389">
        <v>1695</v>
      </c>
      <c r="K389">
        <v>1945</v>
      </c>
      <c r="L389">
        <v>52.42</v>
      </c>
      <c r="M389">
        <v>1.1599999999999999</v>
      </c>
      <c r="N389">
        <v>-13.41</v>
      </c>
      <c r="O389">
        <v>2.85</v>
      </c>
      <c r="P389" t="b">
        <v>1</v>
      </c>
      <c r="Q389">
        <v>0</v>
      </c>
      <c r="R389">
        <v>108</v>
      </c>
      <c r="U389" t="s">
        <v>2151</v>
      </c>
      <c r="V389" t="s">
        <v>3015</v>
      </c>
      <c r="W389">
        <v>0</v>
      </c>
      <c r="X389">
        <v>0</v>
      </c>
      <c r="Y389" t="s">
        <v>3832</v>
      </c>
      <c r="Z389">
        <v>-5.6766111957329279E-2</v>
      </c>
      <c r="AA389">
        <v>607</v>
      </c>
      <c r="AB389">
        <v>160659</v>
      </c>
      <c r="AC389" t="s">
        <v>4670</v>
      </c>
      <c r="AD389">
        <v>32.85</v>
      </c>
      <c r="AE389" t="s">
        <v>5534</v>
      </c>
      <c r="AF389" t="s">
        <v>6367</v>
      </c>
      <c r="AG389">
        <v>2039</v>
      </c>
      <c r="AH389">
        <v>-18</v>
      </c>
      <c r="AI389">
        <v>4835</v>
      </c>
    </row>
    <row r="390" spans="1:36">
      <c r="A390" s="1" t="s">
        <v>424</v>
      </c>
      <c r="B390" t="s">
        <v>1288</v>
      </c>
      <c r="C390" t="str">
        <f>HYPERLINK("https://finance.naver.com/item/coinfo.nhn?code=030530", "A030530")</f>
        <v>A030530</v>
      </c>
      <c r="D390" t="str">
        <f>HYPERLINK("http://comp.fnguide.com/SVO2/ASP/SVD_Consensus.asp?pGB=1&amp;gicode=A030530&amp;cID=&amp;MenuYn=Y&amp;ReportGB=&amp;NewMenuID=108&amp;stkGb=701", "원익홀딩스")</f>
        <v>원익홀딩스</v>
      </c>
      <c r="E390">
        <v>3</v>
      </c>
      <c r="F390">
        <v>6220</v>
      </c>
      <c r="G390">
        <v>0</v>
      </c>
      <c r="H390">
        <v>12.71</v>
      </c>
      <c r="I390">
        <v>9771</v>
      </c>
      <c r="J390">
        <v>9945</v>
      </c>
      <c r="K390">
        <v>9994</v>
      </c>
      <c r="L390">
        <v>-57.08</v>
      </c>
      <c r="M390">
        <v>-59.88</v>
      </c>
      <c r="N390">
        <v>-60.68</v>
      </c>
      <c r="O390">
        <v>7.71</v>
      </c>
      <c r="P390" t="b">
        <v>1</v>
      </c>
      <c r="Q390">
        <v>0</v>
      </c>
      <c r="R390">
        <v>429</v>
      </c>
      <c r="U390" t="s">
        <v>2152</v>
      </c>
      <c r="V390" t="s">
        <v>3016</v>
      </c>
      <c r="W390">
        <v>0</v>
      </c>
      <c r="X390">
        <v>51.8</v>
      </c>
      <c r="Y390" t="s">
        <v>3833</v>
      </c>
      <c r="Z390">
        <v>-3.2430862734817212</v>
      </c>
      <c r="AA390">
        <v>4804</v>
      </c>
      <c r="AB390">
        <v>740655</v>
      </c>
      <c r="AC390" t="s">
        <v>4671</v>
      </c>
      <c r="AD390">
        <v>47.76</v>
      </c>
      <c r="AE390" t="s">
        <v>5535</v>
      </c>
      <c r="AF390" t="s">
        <v>6368</v>
      </c>
      <c r="AG390">
        <v>4508</v>
      </c>
      <c r="AH390">
        <v>616</v>
      </c>
      <c r="AI390">
        <v>854976</v>
      </c>
    </row>
    <row r="391" spans="1:36">
      <c r="A391" s="1" t="s">
        <v>425</v>
      </c>
      <c r="B391" t="s">
        <v>1289</v>
      </c>
      <c r="C391" t="str">
        <f>HYPERLINK("https://finance.naver.com/item/coinfo.nhn?code=000240", "A000240")</f>
        <v>A000240</v>
      </c>
      <c r="D391" t="str">
        <f>HYPERLINK("http://comp.fnguide.com/SVO2/ASP/SVD_Consensus.asp?pGB=1&amp;gicode=A000240&amp;cID=&amp;MenuYn=Y&amp;ReportGB=&amp;NewMenuID=108&amp;stkGb=701", "한국테크놀로지그룹")</f>
        <v>한국테크놀로지그룹</v>
      </c>
      <c r="E391">
        <v>3</v>
      </c>
      <c r="F391">
        <v>14350</v>
      </c>
      <c r="G391">
        <v>-0.45</v>
      </c>
      <c r="H391">
        <v>8.85</v>
      </c>
      <c r="I391">
        <v>26796</v>
      </c>
      <c r="J391">
        <v>32201</v>
      </c>
      <c r="K391">
        <v>33736</v>
      </c>
      <c r="L391">
        <v>-86.73</v>
      </c>
      <c r="M391">
        <v>-124.39</v>
      </c>
      <c r="N391">
        <v>-135.1</v>
      </c>
      <c r="O391">
        <v>5.95</v>
      </c>
      <c r="P391" t="b">
        <v>0</v>
      </c>
      <c r="Q391">
        <v>0</v>
      </c>
      <c r="R391">
        <v>1627</v>
      </c>
      <c r="S391">
        <v>1304</v>
      </c>
      <c r="T391">
        <v>-19.899999999999999</v>
      </c>
      <c r="U391" t="s">
        <v>2153</v>
      </c>
      <c r="V391" t="s">
        <v>3017</v>
      </c>
      <c r="W391">
        <v>-19.587983529179699</v>
      </c>
      <c r="X391">
        <v>-28.6</v>
      </c>
      <c r="Y391" t="s">
        <v>3834</v>
      </c>
      <c r="Z391">
        <v>-8.9654129010534369</v>
      </c>
      <c r="AA391">
        <v>13348</v>
      </c>
      <c r="AB391">
        <v>318005</v>
      </c>
      <c r="AC391" t="s">
        <v>4672</v>
      </c>
      <c r="AD391">
        <v>73.92</v>
      </c>
      <c r="AE391" t="s">
        <v>5536</v>
      </c>
      <c r="AF391" t="s">
        <v>6369</v>
      </c>
      <c r="AG391">
        <v>8476</v>
      </c>
      <c r="AH391">
        <v>1709</v>
      </c>
      <c r="AI391">
        <v>1325090</v>
      </c>
      <c r="AJ391">
        <v>2.4300000000000002</v>
      </c>
    </row>
    <row r="392" spans="1:36">
      <c r="A392" s="1" t="s">
        <v>426</v>
      </c>
      <c r="B392" t="s">
        <v>1290</v>
      </c>
      <c r="C392" t="str">
        <f>HYPERLINK("https://finance.naver.com/item/coinfo.nhn?code=227840", "A227840")</f>
        <v>A227840</v>
      </c>
      <c r="D392" t="str">
        <f>HYPERLINK("http://comp.fnguide.com/SVO2/ASP/SVD_Consensus.asp?pGB=1&amp;gicode=A227840&amp;cID=&amp;MenuYn=Y&amp;ReportGB=&amp;NewMenuID=108&amp;stkGb=701", "현대코퍼레이션홀딩스")</f>
        <v>현대코퍼레이션홀딩스</v>
      </c>
      <c r="E392">
        <v>3</v>
      </c>
      <c r="F392">
        <v>11600</v>
      </c>
      <c r="G392">
        <v>0.75</v>
      </c>
      <c r="H392">
        <v>10.58</v>
      </c>
      <c r="I392">
        <v>13254</v>
      </c>
      <c r="J392">
        <v>18127</v>
      </c>
      <c r="K392">
        <v>19512</v>
      </c>
      <c r="L392">
        <v>-14.26</v>
      </c>
      <c r="M392">
        <v>-56.27</v>
      </c>
      <c r="N392">
        <v>-68.209999999999994</v>
      </c>
      <c r="O392">
        <v>4.93</v>
      </c>
      <c r="P392" t="b">
        <v>1</v>
      </c>
      <c r="Q392">
        <v>2</v>
      </c>
      <c r="R392">
        <v>1129</v>
      </c>
      <c r="S392">
        <v>1978</v>
      </c>
      <c r="T392">
        <v>75.2</v>
      </c>
      <c r="U392" t="s">
        <v>2154</v>
      </c>
      <c r="V392" t="s">
        <v>3018</v>
      </c>
      <c r="W392">
        <v>14.100653486604431</v>
      </c>
      <c r="X392">
        <v>41.2</v>
      </c>
      <c r="Y392" t="s">
        <v>3835</v>
      </c>
      <c r="Z392">
        <v>-4.4355693361270099</v>
      </c>
      <c r="AA392">
        <v>1056</v>
      </c>
      <c r="AB392">
        <v>44083</v>
      </c>
      <c r="AC392" t="s">
        <v>4673</v>
      </c>
      <c r="AD392">
        <v>43.29</v>
      </c>
      <c r="AE392" t="s">
        <v>5537</v>
      </c>
      <c r="AF392" t="s">
        <v>6370</v>
      </c>
      <c r="AG392">
        <v>1839</v>
      </c>
      <c r="AH392">
        <v>93</v>
      </c>
      <c r="AI392">
        <v>704000</v>
      </c>
      <c r="AJ392">
        <v>4.18</v>
      </c>
    </row>
    <row r="393" spans="1:36">
      <c r="A393" s="1" t="s">
        <v>427</v>
      </c>
      <c r="B393" t="s">
        <v>1291</v>
      </c>
      <c r="C393" t="str">
        <f>HYPERLINK("https://finance.naver.com/item/coinfo.nhn?code=024720", "A024720")</f>
        <v>A024720</v>
      </c>
      <c r="D393" t="str">
        <f>HYPERLINK("http://comp.fnguide.com/SVO2/ASP/SVD_Consensus.asp?pGB=1&amp;gicode=A024720&amp;cID=&amp;MenuYn=Y&amp;ReportGB=&amp;NewMenuID=108&amp;stkGb=701", "한국콜마홀딩스")</f>
        <v>한국콜마홀딩스</v>
      </c>
      <c r="E393">
        <v>3</v>
      </c>
      <c r="F393">
        <v>25500</v>
      </c>
      <c r="G393">
        <v>0</v>
      </c>
      <c r="H393">
        <v>10.09</v>
      </c>
      <c r="I393">
        <v>40211</v>
      </c>
      <c r="J393">
        <v>30620</v>
      </c>
      <c r="K393">
        <v>27895</v>
      </c>
      <c r="L393">
        <v>-57.69</v>
      </c>
      <c r="M393">
        <v>-20.079999999999998</v>
      </c>
      <c r="N393">
        <v>-9.39</v>
      </c>
      <c r="O393">
        <v>13.16</v>
      </c>
      <c r="P393" t="b">
        <v>0</v>
      </c>
      <c r="Q393">
        <v>0</v>
      </c>
      <c r="R393">
        <v>2236</v>
      </c>
      <c r="U393" t="s">
        <v>2155</v>
      </c>
      <c r="V393" t="s">
        <v>3019</v>
      </c>
      <c r="W393">
        <v>0</v>
      </c>
      <c r="X393">
        <v>19</v>
      </c>
      <c r="Y393" t="s">
        <v>3836</v>
      </c>
      <c r="Z393">
        <v>5.015279997605071</v>
      </c>
      <c r="AA393">
        <v>4737</v>
      </c>
      <c r="AB393">
        <v>57017</v>
      </c>
      <c r="AC393" t="s">
        <v>4674</v>
      </c>
      <c r="AD393">
        <v>44.38</v>
      </c>
      <c r="AE393" t="s">
        <v>5538</v>
      </c>
      <c r="AF393" t="s">
        <v>6371</v>
      </c>
      <c r="AG393">
        <v>5934</v>
      </c>
      <c r="AH393">
        <v>930</v>
      </c>
      <c r="AI393">
        <v>97500</v>
      </c>
      <c r="AJ393">
        <v>0.86</v>
      </c>
    </row>
    <row r="394" spans="1:36">
      <c r="A394" s="1" t="s">
        <v>428</v>
      </c>
      <c r="B394" t="s">
        <v>1292</v>
      </c>
      <c r="C394" t="str">
        <f>HYPERLINK("https://finance.naver.com/item/coinfo.nhn?code=018500", "A018500")</f>
        <v>A018500</v>
      </c>
      <c r="D394" t="str">
        <f>HYPERLINK("http://comp.fnguide.com/SVO2/ASP/SVD_Consensus.asp?pGB=1&amp;gicode=A018500&amp;cID=&amp;MenuYn=Y&amp;ReportGB=&amp;NewMenuID=108&amp;stkGb=701", "동원금속")</f>
        <v>동원금속</v>
      </c>
      <c r="E394">
        <v>3</v>
      </c>
      <c r="F394">
        <v>750</v>
      </c>
      <c r="G394">
        <v>0</v>
      </c>
      <c r="H394">
        <v>1.42</v>
      </c>
      <c r="I394">
        <v>2719</v>
      </c>
      <c r="J394">
        <v>1903</v>
      </c>
      <c r="K394">
        <v>1671</v>
      </c>
      <c r="L394">
        <v>-262.58999999999997</v>
      </c>
      <c r="M394">
        <v>-153.75</v>
      </c>
      <c r="N394">
        <v>-122.82</v>
      </c>
      <c r="O394">
        <v>15.85</v>
      </c>
      <c r="P394" t="b">
        <v>1</v>
      </c>
      <c r="Q394">
        <v>0</v>
      </c>
      <c r="R394">
        <v>350</v>
      </c>
      <c r="U394" t="s">
        <v>2156</v>
      </c>
      <c r="V394" t="s">
        <v>3020</v>
      </c>
      <c r="W394">
        <v>0</v>
      </c>
      <c r="X394">
        <v>0</v>
      </c>
      <c r="Y394" t="s">
        <v>3499</v>
      </c>
      <c r="Z394">
        <v>0</v>
      </c>
      <c r="AA394">
        <v>351</v>
      </c>
      <c r="AB394">
        <v>276660</v>
      </c>
      <c r="AC394" t="s">
        <v>4675</v>
      </c>
      <c r="AD394">
        <v>23.16</v>
      </c>
      <c r="AE394" t="s">
        <v>5539</v>
      </c>
      <c r="AF394" t="s">
        <v>6372</v>
      </c>
      <c r="AG394">
        <v>4566</v>
      </c>
      <c r="AH394">
        <v>201</v>
      </c>
      <c r="AI394">
        <v>10128</v>
      </c>
    </row>
    <row r="395" spans="1:36">
      <c r="A395" s="1" t="s">
        <v>429</v>
      </c>
      <c r="B395" t="s">
        <v>1293</v>
      </c>
      <c r="C395" t="str">
        <f>HYPERLINK("https://finance.naver.com/item/coinfo.nhn?code=005960", "A005960")</f>
        <v>A005960</v>
      </c>
      <c r="D395" t="str">
        <f>HYPERLINK("http://comp.fnguide.com/SVO2/ASP/SVD_Consensus.asp?pGB=1&amp;gicode=A005960&amp;cID=&amp;MenuYn=Y&amp;ReportGB=&amp;NewMenuID=108&amp;stkGb=701", "동부건설")</f>
        <v>동부건설</v>
      </c>
      <c r="E395">
        <v>3</v>
      </c>
      <c r="F395">
        <v>13600</v>
      </c>
      <c r="G395">
        <v>-0.18</v>
      </c>
      <c r="H395">
        <v>3.05</v>
      </c>
      <c r="I395">
        <v>48528</v>
      </c>
      <c r="J395">
        <v>30471</v>
      </c>
      <c r="K395">
        <v>25340</v>
      </c>
      <c r="L395">
        <v>-256.82</v>
      </c>
      <c r="M395">
        <v>-124.05</v>
      </c>
      <c r="N395">
        <v>-86.32</v>
      </c>
      <c r="O395">
        <v>20.81</v>
      </c>
      <c r="P395" t="b">
        <v>1</v>
      </c>
      <c r="Q395">
        <v>0</v>
      </c>
      <c r="R395">
        <v>2803</v>
      </c>
      <c r="S395">
        <v>2611</v>
      </c>
      <c r="T395">
        <v>-6.8</v>
      </c>
      <c r="U395" t="s">
        <v>2157</v>
      </c>
      <c r="V395" t="s">
        <v>3021</v>
      </c>
      <c r="W395">
        <v>-17.030332078231051</v>
      </c>
      <c r="X395">
        <v>21.8</v>
      </c>
      <c r="Y395" t="s">
        <v>3837</v>
      </c>
      <c r="Z395">
        <v>-14.260292134253969</v>
      </c>
      <c r="AA395">
        <v>3087</v>
      </c>
      <c r="AB395">
        <v>180173</v>
      </c>
      <c r="AC395" t="s">
        <v>4676</v>
      </c>
      <c r="AD395">
        <v>62.19</v>
      </c>
      <c r="AE395" t="s">
        <v>5540</v>
      </c>
      <c r="AF395" t="s">
        <v>6373</v>
      </c>
      <c r="AG395">
        <v>11554</v>
      </c>
      <c r="AH395">
        <v>555</v>
      </c>
      <c r="AI395">
        <v>4291</v>
      </c>
      <c r="AJ395">
        <v>8.1999999999999993</v>
      </c>
    </row>
    <row r="396" spans="1:36">
      <c r="A396" s="1" t="s">
        <v>430</v>
      </c>
      <c r="B396" t="s">
        <v>1294</v>
      </c>
      <c r="C396" t="str">
        <f>HYPERLINK("https://finance.naver.com/item/coinfo.nhn?code=102260", "A102260")</f>
        <v>A102260</v>
      </c>
      <c r="D396" t="str">
        <f>HYPERLINK("http://comp.fnguide.com/SVO2/ASP/SVD_Consensus.asp?pGB=1&amp;gicode=A102260&amp;cID=&amp;MenuYn=Y&amp;ReportGB=&amp;NewMenuID=108&amp;stkGb=701", "동성코퍼레이션")</f>
        <v>동성코퍼레이션</v>
      </c>
      <c r="E396">
        <v>3</v>
      </c>
      <c r="F396">
        <v>5000</v>
      </c>
      <c r="G396">
        <v>0</v>
      </c>
      <c r="H396">
        <v>42.1</v>
      </c>
      <c r="I396">
        <v>1253</v>
      </c>
      <c r="J396">
        <v>4352</v>
      </c>
      <c r="K396">
        <v>5232</v>
      </c>
      <c r="L396">
        <v>74.95</v>
      </c>
      <c r="M396">
        <v>12.97</v>
      </c>
      <c r="N396">
        <v>-4.6500000000000004</v>
      </c>
      <c r="O396">
        <v>1.55</v>
      </c>
      <c r="P396" t="b">
        <v>0</v>
      </c>
      <c r="Q396">
        <v>0</v>
      </c>
      <c r="R396">
        <v>124</v>
      </c>
      <c r="U396" t="s">
        <v>2158</v>
      </c>
      <c r="V396" t="s">
        <v>3022</v>
      </c>
      <c r="W396">
        <v>0</v>
      </c>
      <c r="X396">
        <v>58.5</v>
      </c>
      <c r="Y396" t="s">
        <v>3838</v>
      </c>
      <c r="Z396">
        <v>-11.64453908246518</v>
      </c>
      <c r="AA396">
        <v>2200</v>
      </c>
      <c r="AB396">
        <v>234626</v>
      </c>
      <c r="AC396" t="s">
        <v>4677</v>
      </c>
      <c r="AD396">
        <v>46.52</v>
      </c>
      <c r="AE396" t="s">
        <v>5541</v>
      </c>
      <c r="AF396" t="s">
        <v>6374</v>
      </c>
      <c r="AG396">
        <v>8498</v>
      </c>
      <c r="AH396">
        <v>518</v>
      </c>
      <c r="AJ396">
        <v>3.83</v>
      </c>
    </row>
    <row r="397" spans="1:36">
      <c r="A397" s="1" t="s">
        <v>431</v>
      </c>
      <c r="B397" t="s">
        <v>1295</v>
      </c>
      <c r="C397" t="str">
        <f>HYPERLINK("https://finance.naver.com/item/coinfo.nhn?code=005190", "A005190")</f>
        <v>A005190</v>
      </c>
      <c r="D397" t="str">
        <f>HYPERLINK("http://comp.fnguide.com/SVO2/ASP/SVD_Consensus.asp?pGB=1&amp;gicode=A005190&amp;cID=&amp;MenuYn=Y&amp;ReportGB=&amp;NewMenuID=108&amp;stkGb=701", "동성화학")</f>
        <v>동성화학</v>
      </c>
      <c r="E397">
        <v>3</v>
      </c>
      <c r="F397">
        <v>16500</v>
      </c>
      <c r="G397">
        <v>0.15</v>
      </c>
      <c r="H397">
        <v>7.3</v>
      </c>
      <c r="I397">
        <v>24910</v>
      </c>
      <c r="J397">
        <v>23616</v>
      </c>
      <c r="K397">
        <v>23249</v>
      </c>
      <c r="L397">
        <v>-50.97</v>
      </c>
      <c r="M397">
        <v>-43.13</v>
      </c>
      <c r="N397">
        <v>-40.9</v>
      </c>
      <c r="O397">
        <v>8.69</v>
      </c>
      <c r="P397" t="b">
        <v>1</v>
      </c>
      <c r="Q397">
        <v>3</v>
      </c>
      <c r="R397">
        <v>2492</v>
      </c>
      <c r="S397">
        <v>3224</v>
      </c>
      <c r="T397">
        <v>29.4</v>
      </c>
      <c r="U397" t="s">
        <v>2159</v>
      </c>
      <c r="V397" t="s">
        <v>3023</v>
      </c>
      <c r="W397">
        <v>48.769438228064168</v>
      </c>
      <c r="X397">
        <v>13.6</v>
      </c>
      <c r="Y397" t="s">
        <v>3839</v>
      </c>
      <c r="Z397">
        <v>7.7184377553398464</v>
      </c>
      <c r="AA397">
        <v>880</v>
      </c>
      <c r="AB397">
        <v>44151</v>
      </c>
      <c r="AC397" t="s">
        <v>4678</v>
      </c>
      <c r="AD397">
        <v>51.23</v>
      </c>
      <c r="AE397" t="s">
        <v>5542</v>
      </c>
      <c r="AF397" t="s">
        <v>6375</v>
      </c>
      <c r="AG397">
        <v>2010</v>
      </c>
      <c r="AH397">
        <v>253</v>
      </c>
      <c r="AI397">
        <v>186177</v>
      </c>
      <c r="AJ397">
        <v>3.3</v>
      </c>
    </row>
    <row r="398" spans="1:36">
      <c r="A398" s="1" t="s">
        <v>432</v>
      </c>
      <c r="B398" t="s">
        <v>1296</v>
      </c>
      <c r="C398" t="str">
        <f>HYPERLINK("https://finance.naver.com/item/coinfo.nhn?code=028100", "A028100")</f>
        <v>A028100</v>
      </c>
      <c r="D398" t="str">
        <f>HYPERLINK("http://comp.fnguide.com/SVO2/ASP/SVD_Consensus.asp?pGB=1&amp;gicode=A028100&amp;cID=&amp;MenuYn=Y&amp;ReportGB=&amp;NewMenuID=108&amp;stkGb=701", "동아지질")</f>
        <v>동아지질</v>
      </c>
      <c r="E398">
        <v>3</v>
      </c>
      <c r="F398">
        <v>15750</v>
      </c>
      <c r="G398">
        <v>-0.39</v>
      </c>
      <c r="H398">
        <v>11.56</v>
      </c>
      <c r="I398">
        <v>23347</v>
      </c>
      <c r="J398">
        <v>19624</v>
      </c>
      <c r="K398">
        <v>18566</v>
      </c>
      <c r="L398">
        <v>-48.24</v>
      </c>
      <c r="M398">
        <v>-24.6</v>
      </c>
      <c r="N398">
        <v>-17.88</v>
      </c>
      <c r="O398">
        <v>10.8</v>
      </c>
      <c r="P398" t="b">
        <v>0</v>
      </c>
      <c r="Q398">
        <v>0</v>
      </c>
      <c r="R398">
        <v>1656</v>
      </c>
      <c r="S398">
        <v>522</v>
      </c>
      <c r="T398">
        <v>-68.5</v>
      </c>
      <c r="U398" t="s">
        <v>2160</v>
      </c>
      <c r="V398" t="s">
        <v>3024</v>
      </c>
      <c r="W398">
        <v>-29.475783179873769</v>
      </c>
      <c r="X398">
        <v>-74.099999999999994</v>
      </c>
      <c r="Y398" t="s">
        <v>3840</v>
      </c>
      <c r="Z398">
        <v>1.5524117642098381</v>
      </c>
      <c r="AA398">
        <v>1811</v>
      </c>
      <c r="AB398">
        <v>46388</v>
      </c>
      <c r="AC398" t="s">
        <v>4679</v>
      </c>
      <c r="AD398">
        <v>43.35</v>
      </c>
      <c r="AE398" t="s">
        <v>5543</v>
      </c>
      <c r="AF398" t="s">
        <v>6376</v>
      </c>
      <c r="AG398">
        <v>3809</v>
      </c>
      <c r="AH398">
        <v>229</v>
      </c>
      <c r="AI398">
        <v>200000</v>
      </c>
      <c r="AJ398">
        <v>1.04</v>
      </c>
    </row>
    <row r="399" spans="1:36">
      <c r="A399" s="1" t="s">
        <v>433</v>
      </c>
      <c r="B399" t="s">
        <v>1297</v>
      </c>
      <c r="C399" t="str">
        <f>HYPERLINK("https://finance.naver.com/item/coinfo.nhn?code=282690", "A282690")</f>
        <v>A282690</v>
      </c>
      <c r="D399" t="str">
        <f>HYPERLINK("http://comp.fnguide.com/SVO2/ASP/SVD_Consensus.asp?pGB=1&amp;gicode=A282690&amp;cID=&amp;MenuYn=Y&amp;ReportGB=&amp;NewMenuID=108&amp;stkGb=701", "동아타이어")</f>
        <v>동아타이어</v>
      </c>
      <c r="E399">
        <v>3</v>
      </c>
      <c r="F399">
        <v>10200</v>
      </c>
      <c r="G399">
        <v>0</v>
      </c>
      <c r="H399">
        <v>6.86</v>
      </c>
      <c r="I399">
        <v>16929</v>
      </c>
      <c r="J399">
        <v>22382</v>
      </c>
      <c r="K399">
        <v>23931</v>
      </c>
      <c r="L399">
        <v>-65.97</v>
      </c>
      <c r="M399">
        <v>-119.43</v>
      </c>
      <c r="N399">
        <v>-134.62</v>
      </c>
      <c r="O399">
        <v>5.17</v>
      </c>
      <c r="P399" t="b">
        <v>1</v>
      </c>
      <c r="Q399">
        <v>0</v>
      </c>
      <c r="R399">
        <v>1799</v>
      </c>
      <c r="U399" t="s">
        <v>2161</v>
      </c>
      <c r="V399" t="s">
        <v>3025</v>
      </c>
      <c r="W399">
        <v>0</v>
      </c>
      <c r="X399">
        <v>-50.1</v>
      </c>
      <c r="Y399" t="s">
        <v>3841</v>
      </c>
      <c r="Z399">
        <v>0</v>
      </c>
      <c r="AA399">
        <v>1401</v>
      </c>
      <c r="AB399">
        <v>79385</v>
      </c>
      <c r="AC399" t="s">
        <v>4680</v>
      </c>
      <c r="AD399">
        <v>64.94</v>
      </c>
      <c r="AE399" t="s">
        <v>5544</v>
      </c>
      <c r="AF399" t="s">
        <v>6377</v>
      </c>
      <c r="AG399">
        <v>1560</v>
      </c>
      <c r="AH399">
        <v>180</v>
      </c>
      <c r="AI399">
        <v>1598</v>
      </c>
      <c r="AJ399">
        <v>4.05</v>
      </c>
    </row>
    <row r="400" spans="1:36">
      <c r="A400" s="1" t="s">
        <v>434</v>
      </c>
      <c r="B400" t="s">
        <v>1298</v>
      </c>
      <c r="C400" t="str">
        <f>HYPERLINK("https://finance.naver.com/item/coinfo.nhn?code=001520", "A001520")</f>
        <v>A001520</v>
      </c>
      <c r="D400" t="str">
        <f>HYPERLINK("http://comp.fnguide.com/SVO2/ASP/SVD_Consensus.asp?pGB=1&amp;gicode=A001520&amp;cID=&amp;MenuYn=Y&amp;ReportGB=&amp;NewMenuID=108&amp;stkGb=701", "동양")</f>
        <v>동양</v>
      </c>
      <c r="E400">
        <v>3</v>
      </c>
      <c r="F400">
        <v>1190</v>
      </c>
      <c r="G400">
        <v>0</v>
      </c>
      <c r="I400">
        <v>233</v>
      </c>
      <c r="J400">
        <v>2588</v>
      </c>
      <c r="K400">
        <v>3257</v>
      </c>
      <c r="L400">
        <v>80.400000000000006</v>
      </c>
      <c r="M400">
        <v>-117.48</v>
      </c>
      <c r="N400">
        <v>-173.71</v>
      </c>
      <c r="O400">
        <v>0.45</v>
      </c>
      <c r="P400" t="b">
        <v>0</v>
      </c>
      <c r="Q400">
        <v>0</v>
      </c>
      <c r="R400">
        <v>-2</v>
      </c>
      <c r="U400" t="s">
        <v>2162</v>
      </c>
      <c r="V400" t="s">
        <v>3026</v>
      </c>
      <c r="W400">
        <v>0</v>
      </c>
      <c r="X400">
        <v>0</v>
      </c>
      <c r="Y400" t="s">
        <v>3842</v>
      </c>
      <c r="Z400">
        <v>-82.540158478546658</v>
      </c>
      <c r="AA400">
        <v>2840</v>
      </c>
      <c r="AB400">
        <v>625273</v>
      </c>
      <c r="AC400" t="s">
        <v>4681</v>
      </c>
      <c r="AD400">
        <v>30.05</v>
      </c>
      <c r="AE400" t="s">
        <v>5545</v>
      </c>
      <c r="AF400" t="s">
        <v>6378</v>
      </c>
      <c r="AG400">
        <v>5391</v>
      </c>
      <c r="AH400">
        <v>-201</v>
      </c>
      <c r="AI400">
        <v>40512000</v>
      </c>
      <c r="AJ400">
        <v>2.79</v>
      </c>
    </row>
    <row r="401" spans="1:36">
      <c r="A401" s="1" t="s">
        <v>435</v>
      </c>
      <c r="B401" t="s">
        <v>1299</v>
      </c>
      <c r="C401" t="str">
        <f>HYPERLINK("https://finance.naver.com/item/coinfo.nhn?code=084670", "A084670")</f>
        <v>A084670</v>
      </c>
      <c r="D401" t="str">
        <f>HYPERLINK("http://comp.fnguide.com/SVO2/ASP/SVD_Consensus.asp?pGB=1&amp;gicode=A084670&amp;cID=&amp;MenuYn=Y&amp;ReportGB=&amp;NewMenuID=108&amp;stkGb=701", "동양고속")</f>
        <v>동양고속</v>
      </c>
      <c r="E401">
        <v>3</v>
      </c>
      <c r="F401">
        <v>27450</v>
      </c>
      <c r="G401">
        <v>0</v>
      </c>
      <c r="H401">
        <v>2.41</v>
      </c>
      <c r="I401">
        <v>87510</v>
      </c>
      <c r="J401">
        <v>65119</v>
      </c>
      <c r="K401">
        <v>58756</v>
      </c>
      <c r="L401">
        <v>-218.8</v>
      </c>
      <c r="M401">
        <v>-137.22999999999999</v>
      </c>
      <c r="N401">
        <v>-114.05</v>
      </c>
      <c r="O401">
        <v>13.82</v>
      </c>
      <c r="P401" t="b">
        <v>0</v>
      </c>
      <c r="Q401">
        <v>0</v>
      </c>
      <c r="R401">
        <v>11314</v>
      </c>
      <c r="U401" t="s">
        <v>2163</v>
      </c>
      <c r="V401" t="s">
        <v>3027</v>
      </c>
      <c r="W401">
        <v>0</v>
      </c>
      <c r="X401">
        <v>0</v>
      </c>
      <c r="Y401" t="s">
        <v>3843</v>
      </c>
      <c r="Z401">
        <v>235.53700243043241</v>
      </c>
      <c r="AA401">
        <v>795</v>
      </c>
      <c r="AB401">
        <v>50842</v>
      </c>
      <c r="AC401" t="s">
        <v>4682</v>
      </c>
      <c r="AD401">
        <v>47.52</v>
      </c>
      <c r="AE401" t="s">
        <v>5546</v>
      </c>
      <c r="AF401" t="s">
        <v>6379</v>
      </c>
      <c r="AG401">
        <v>1405</v>
      </c>
      <c r="AH401">
        <v>100</v>
      </c>
      <c r="AI401">
        <v>275048</v>
      </c>
      <c r="AJ401">
        <v>17.25</v>
      </c>
    </row>
    <row r="402" spans="1:36">
      <c r="A402" s="1" t="s">
        <v>436</v>
      </c>
      <c r="B402" t="s">
        <v>1300</v>
      </c>
      <c r="C402" t="str">
        <f>HYPERLINK("https://finance.naver.com/item/coinfo.nhn?code=082640", "A082640")</f>
        <v>A082640</v>
      </c>
      <c r="D402" t="str">
        <f>HYPERLINK("http://comp.fnguide.com/SVO2/ASP/SVD_Consensus.asp?pGB=1&amp;gicode=A082640&amp;cID=&amp;MenuYn=Y&amp;ReportGB=&amp;NewMenuID=108&amp;stkGb=701", "동양생명")</f>
        <v>동양생명</v>
      </c>
      <c r="E402">
        <v>3</v>
      </c>
      <c r="F402">
        <v>3725</v>
      </c>
      <c r="G402">
        <v>0</v>
      </c>
      <c r="H402">
        <v>5.6</v>
      </c>
      <c r="I402">
        <v>9627</v>
      </c>
      <c r="J402">
        <v>13876</v>
      </c>
      <c r="K402">
        <v>15084</v>
      </c>
      <c r="L402">
        <v>-158.44</v>
      </c>
      <c r="M402">
        <v>-272.52</v>
      </c>
      <c r="N402">
        <v>-304.94</v>
      </c>
      <c r="O402">
        <v>4.58</v>
      </c>
      <c r="P402" t="b">
        <v>1</v>
      </c>
      <c r="Q402">
        <v>0</v>
      </c>
      <c r="R402">
        <v>714</v>
      </c>
      <c r="U402" t="s">
        <v>2164</v>
      </c>
      <c r="V402" t="s">
        <v>3028</v>
      </c>
      <c r="W402">
        <v>0</v>
      </c>
      <c r="X402">
        <v>5.0999999999999996</v>
      </c>
      <c r="Y402" t="s">
        <v>3844</v>
      </c>
      <c r="Z402">
        <v>4.4559531071242109</v>
      </c>
      <c r="AA402">
        <v>6011</v>
      </c>
      <c r="AB402">
        <v>323790</v>
      </c>
      <c r="AC402" t="s">
        <v>4683</v>
      </c>
      <c r="AD402">
        <v>75.37</v>
      </c>
      <c r="AE402" t="s">
        <v>5547</v>
      </c>
      <c r="AF402" t="s">
        <v>6380</v>
      </c>
      <c r="AG402">
        <v>45264</v>
      </c>
      <c r="AH402">
        <v>1142</v>
      </c>
      <c r="AI402">
        <v>5500000</v>
      </c>
      <c r="AJ402">
        <v>5.75</v>
      </c>
    </row>
    <row r="403" spans="1:36">
      <c r="A403" s="1" t="s">
        <v>437</v>
      </c>
      <c r="B403" t="s">
        <v>1301</v>
      </c>
      <c r="C403" t="str">
        <f>HYPERLINK("https://finance.naver.com/item/coinfo.nhn?code=092780", "A092780")</f>
        <v>A092780</v>
      </c>
      <c r="D403" t="str">
        <f>HYPERLINK("http://comp.fnguide.com/SVO2/ASP/SVD_Consensus.asp?pGB=1&amp;gicode=A092780&amp;cID=&amp;MenuYn=Y&amp;ReportGB=&amp;NewMenuID=108&amp;stkGb=701", "동양피스톤")</f>
        <v>동양피스톤</v>
      </c>
      <c r="E403">
        <v>3</v>
      </c>
      <c r="F403">
        <v>5440</v>
      </c>
      <c r="G403">
        <v>0</v>
      </c>
      <c r="H403">
        <v>6.53</v>
      </c>
      <c r="I403">
        <v>12024</v>
      </c>
      <c r="J403">
        <v>9888</v>
      </c>
      <c r="K403">
        <v>9281</v>
      </c>
      <c r="L403">
        <v>-121.02</v>
      </c>
      <c r="M403">
        <v>-81.760000000000005</v>
      </c>
      <c r="N403">
        <v>-70.599999999999994</v>
      </c>
      <c r="O403">
        <v>11.27</v>
      </c>
      <c r="P403" t="b">
        <v>1</v>
      </c>
      <c r="Q403">
        <v>0</v>
      </c>
      <c r="R403">
        <v>738</v>
      </c>
      <c r="U403" t="s">
        <v>2165</v>
      </c>
      <c r="V403" t="s">
        <v>3029</v>
      </c>
      <c r="W403">
        <v>0</v>
      </c>
      <c r="X403">
        <v>0</v>
      </c>
      <c r="Y403" t="s">
        <v>3845</v>
      </c>
      <c r="Z403">
        <v>2.3073167311767229</v>
      </c>
      <c r="AA403">
        <v>716</v>
      </c>
      <c r="AB403">
        <v>69551</v>
      </c>
      <c r="AC403" t="s">
        <v>4684</v>
      </c>
      <c r="AD403">
        <v>55.79</v>
      </c>
      <c r="AE403" t="s">
        <v>5548</v>
      </c>
      <c r="AF403" t="s">
        <v>6381</v>
      </c>
      <c r="AG403">
        <v>3648</v>
      </c>
      <c r="AH403">
        <v>185</v>
      </c>
      <c r="AI403">
        <v>647132</v>
      </c>
      <c r="AJ403">
        <v>2.4900000000000002</v>
      </c>
    </row>
    <row r="404" spans="1:36">
      <c r="A404" s="1" t="s">
        <v>438</v>
      </c>
      <c r="B404" t="s">
        <v>1302</v>
      </c>
      <c r="C404" t="str">
        <f>HYPERLINK("https://finance.naver.com/item/coinfo.nhn?code=049770", "A049770")</f>
        <v>A049770</v>
      </c>
      <c r="D404" t="str">
        <f>HYPERLINK("http://comp.fnguide.com/SVO2/ASP/SVD_Consensus.asp?pGB=1&amp;gicode=A049770&amp;cID=&amp;MenuYn=Y&amp;ReportGB=&amp;NewMenuID=108&amp;stkGb=701", "동원F&amp;B")</f>
        <v>동원F&amp;B</v>
      </c>
      <c r="E404">
        <v>3</v>
      </c>
      <c r="F404">
        <v>180000</v>
      </c>
      <c r="G404">
        <v>1.08</v>
      </c>
      <c r="H404">
        <v>13.28</v>
      </c>
      <c r="I404">
        <v>213050</v>
      </c>
      <c r="J404">
        <v>191069</v>
      </c>
      <c r="K404">
        <v>184822</v>
      </c>
      <c r="L404">
        <v>-18.36</v>
      </c>
      <c r="M404">
        <v>-6.15</v>
      </c>
      <c r="N404">
        <v>-2.68</v>
      </c>
      <c r="O404">
        <v>9.58</v>
      </c>
      <c r="P404" t="b">
        <v>1</v>
      </c>
      <c r="Q404">
        <v>3</v>
      </c>
      <c r="R404">
        <v>17015</v>
      </c>
      <c r="S404">
        <v>18842</v>
      </c>
      <c r="T404">
        <v>10.7</v>
      </c>
      <c r="U404" t="s">
        <v>2166</v>
      </c>
      <c r="V404" t="s">
        <v>3030</v>
      </c>
      <c r="W404">
        <v>12.27293721938174</v>
      </c>
      <c r="X404">
        <v>10.3</v>
      </c>
      <c r="Y404" t="s">
        <v>3846</v>
      </c>
      <c r="Z404">
        <v>4.9649810253615589</v>
      </c>
      <c r="AA404">
        <v>6946</v>
      </c>
      <c r="AB404">
        <v>6910</v>
      </c>
      <c r="AC404" t="s">
        <v>4685</v>
      </c>
      <c r="AD404">
        <v>71.27</v>
      </c>
      <c r="AE404" t="s">
        <v>5549</v>
      </c>
      <c r="AF404" t="s">
        <v>6382</v>
      </c>
      <c r="AG404">
        <v>30303</v>
      </c>
      <c r="AH404">
        <v>1014</v>
      </c>
      <c r="AJ404">
        <v>1.33</v>
      </c>
    </row>
    <row r="405" spans="1:36">
      <c r="A405" s="1" t="s">
        <v>439</v>
      </c>
      <c r="B405" t="s">
        <v>1303</v>
      </c>
      <c r="C405" t="str">
        <f>HYPERLINK("https://finance.naver.com/item/coinfo.nhn?code=006040", "A006040")</f>
        <v>A006040</v>
      </c>
      <c r="D405" t="str">
        <f>HYPERLINK("http://comp.fnguide.com/SVO2/ASP/SVD_Consensus.asp?pGB=1&amp;gicode=A006040&amp;cID=&amp;MenuYn=Y&amp;ReportGB=&amp;NewMenuID=108&amp;stkGb=701", "동원산업")</f>
        <v>동원산업</v>
      </c>
      <c r="E405">
        <v>3</v>
      </c>
      <c r="F405">
        <v>219000</v>
      </c>
      <c r="G405">
        <v>-7.49</v>
      </c>
      <c r="H405">
        <v>16.739999999999998</v>
      </c>
      <c r="I405">
        <v>305216</v>
      </c>
      <c r="J405">
        <v>304985</v>
      </c>
      <c r="K405">
        <v>304919</v>
      </c>
      <c r="L405">
        <v>-39.369999999999997</v>
      </c>
      <c r="M405">
        <v>-39.26</v>
      </c>
      <c r="N405">
        <v>-39.229999999999997</v>
      </c>
      <c r="O405">
        <v>7.95</v>
      </c>
      <c r="P405" t="b">
        <v>0</v>
      </c>
      <c r="Q405">
        <v>1</v>
      </c>
      <c r="R405">
        <v>12632</v>
      </c>
      <c r="S405">
        <v>46361</v>
      </c>
      <c r="T405">
        <v>267</v>
      </c>
      <c r="U405" t="s">
        <v>2167</v>
      </c>
      <c r="V405" t="s">
        <v>3031</v>
      </c>
      <c r="W405">
        <v>-2.235652274055044</v>
      </c>
      <c r="X405">
        <v>161.1</v>
      </c>
      <c r="Y405" t="s">
        <v>3847</v>
      </c>
      <c r="Z405">
        <v>57.063712835856471</v>
      </c>
      <c r="AA405">
        <v>8054</v>
      </c>
      <c r="AB405">
        <v>7952</v>
      </c>
      <c r="AC405" t="s">
        <v>4686</v>
      </c>
      <c r="AD405">
        <v>63.3</v>
      </c>
      <c r="AE405" t="s">
        <v>5550</v>
      </c>
      <c r="AF405" t="s">
        <v>6383</v>
      </c>
      <c r="AG405">
        <v>26826</v>
      </c>
      <c r="AH405">
        <v>1936</v>
      </c>
      <c r="AI405">
        <v>266581</v>
      </c>
      <c r="AJ405">
        <v>0.95</v>
      </c>
    </row>
    <row r="406" spans="1:36">
      <c r="A406" s="1" t="s">
        <v>440</v>
      </c>
      <c r="B406" t="s">
        <v>1304</v>
      </c>
      <c r="C406" t="str">
        <f>HYPERLINK("https://finance.naver.com/item/coinfo.nhn?code=001230", "A001230")</f>
        <v>A001230</v>
      </c>
      <c r="D406" t="str">
        <f>HYPERLINK("http://comp.fnguide.com/SVO2/ASP/SVD_Consensus.asp?pGB=1&amp;gicode=A001230&amp;cID=&amp;MenuYn=Y&amp;ReportGB=&amp;NewMenuID=108&amp;stkGb=701", "동국제강")</f>
        <v>동국제강</v>
      </c>
      <c r="E406">
        <v>3</v>
      </c>
      <c r="F406">
        <v>7790</v>
      </c>
      <c r="G406">
        <v>0</v>
      </c>
      <c r="I406">
        <v>84</v>
      </c>
      <c r="J406">
        <v>12062</v>
      </c>
      <c r="K406">
        <v>15465</v>
      </c>
      <c r="L406">
        <v>98.92</v>
      </c>
      <c r="M406">
        <v>-54.83</v>
      </c>
      <c r="N406">
        <v>-98.53</v>
      </c>
      <c r="O406">
        <v>0.03</v>
      </c>
      <c r="P406" t="b">
        <v>0</v>
      </c>
      <c r="Q406">
        <v>2</v>
      </c>
      <c r="R406">
        <v>-718</v>
      </c>
      <c r="S406">
        <v>-31</v>
      </c>
      <c r="T406">
        <v>-95.7</v>
      </c>
      <c r="U406" t="s">
        <v>2168</v>
      </c>
      <c r="V406" t="s">
        <v>3032</v>
      </c>
      <c r="W406">
        <v>0</v>
      </c>
      <c r="X406">
        <v>0</v>
      </c>
      <c r="Y406" t="s">
        <v>3848</v>
      </c>
      <c r="Z406">
        <v>-92.6</v>
      </c>
      <c r="AA406">
        <v>7434</v>
      </c>
      <c r="AB406">
        <v>670884</v>
      </c>
      <c r="AC406" t="s">
        <v>4687</v>
      </c>
      <c r="AD406">
        <v>26.18</v>
      </c>
      <c r="AE406" t="s">
        <v>5551</v>
      </c>
      <c r="AF406" t="s">
        <v>6384</v>
      </c>
      <c r="AG406">
        <v>56584</v>
      </c>
      <c r="AH406">
        <v>1646</v>
      </c>
      <c r="AI406">
        <v>2907520</v>
      </c>
    </row>
    <row r="407" spans="1:36">
      <c r="A407" s="1" t="s">
        <v>441</v>
      </c>
      <c r="B407" t="s">
        <v>1305</v>
      </c>
      <c r="C407" t="str">
        <f>HYPERLINK("https://finance.naver.com/item/coinfo.nhn?code=030720", "A030720")</f>
        <v>A030720</v>
      </c>
      <c r="D407" t="str">
        <f>HYPERLINK("http://comp.fnguide.com/SVO2/ASP/SVD_Consensus.asp?pGB=1&amp;gicode=A030720&amp;cID=&amp;MenuYn=Y&amp;ReportGB=&amp;NewMenuID=108&amp;stkGb=701", "동원수산")</f>
        <v>동원수산</v>
      </c>
      <c r="E407">
        <v>3</v>
      </c>
      <c r="F407">
        <v>9260</v>
      </c>
      <c r="G407">
        <v>0</v>
      </c>
      <c r="H407">
        <v>7.78</v>
      </c>
      <c r="I407">
        <v>13993</v>
      </c>
      <c r="J407">
        <v>12154</v>
      </c>
      <c r="K407">
        <v>11632</v>
      </c>
      <c r="L407">
        <v>-51.11</v>
      </c>
      <c r="M407">
        <v>-31.26</v>
      </c>
      <c r="N407">
        <v>-25.62</v>
      </c>
      <c r="O407">
        <v>10.16</v>
      </c>
      <c r="P407" t="b">
        <v>0</v>
      </c>
      <c r="Q407">
        <v>0</v>
      </c>
      <c r="R407">
        <v>1305</v>
      </c>
      <c r="U407" t="s">
        <v>2169</v>
      </c>
      <c r="V407" t="s">
        <v>3033</v>
      </c>
      <c r="W407">
        <v>0</v>
      </c>
      <c r="X407">
        <v>-65.2</v>
      </c>
      <c r="Y407" t="s">
        <v>3849</v>
      </c>
      <c r="Z407">
        <v>20.905494314577219</v>
      </c>
      <c r="AA407">
        <v>431</v>
      </c>
      <c r="AB407">
        <v>73391</v>
      </c>
      <c r="AC407" t="s">
        <v>4688</v>
      </c>
      <c r="AD407">
        <v>18.899999999999999</v>
      </c>
      <c r="AE407" t="s">
        <v>5552</v>
      </c>
      <c r="AF407" t="s">
        <v>6385</v>
      </c>
      <c r="AG407">
        <v>1640</v>
      </c>
      <c r="AH407">
        <v>151</v>
      </c>
    </row>
    <row r="408" spans="1:36">
      <c r="A408" s="1" t="s">
        <v>442</v>
      </c>
      <c r="B408" t="s">
        <v>1306</v>
      </c>
      <c r="C408" t="str">
        <f>HYPERLINK("https://finance.naver.com/item/coinfo.nhn?code=163560", "A163560")</f>
        <v>A163560</v>
      </c>
      <c r="D408" t="str">
        <f>HYPERLINK("http://comp.fnguide.com/SVO2/ASP/SVD_Consensus.asp?pGB=1&amp;gicode=A163560&amp;cID=&amp;MenuYn=Y&amp;ReportGB=&amp;NewMenuID=108&amp;stkGb=701", "동일고무벨트")</f>
        <v>동일고무벨트</v>
      </c>
      <c r="E408">
        <v>3</v>
      </c>
      <c r="F408">
        <v>9740</v>
      </c>
      <c r="G408">
        <v>0</v>
      </c>
      <c r="H408">
        <v>9.09</v>
      </c>
      <c r="I408">
        <v>7431</v>
      </c>
      <c r="J408">
        <v>11490</v>
      </c>
      <c r="K408">
        <v>12644</v>
      </c>
      <c r="L408">
        <v>23.71</v>
      </c>
      <c r="M408">
        <v>-17.97</v>
      </c>
      <c r="N408">
        <v>-29.81</v>
      </c>
      <c r="O408">
        <v>4.16</v>
      </c>
      <c r="P408" t="b">
        <v>1</v>
      </c>
      <c r="Q408">
        <v>0</v>
      </c>
      <c r="R408">
        <v>606</v>
      </c>
      <c r="U408" t="s">
        <v>2170</v>
      </c>
      <c r="V408" t="s">
        <v>3034</v>
      </c>
      <c r="W408">
        <v>0</v>
      </c>
      <c r="X408">
        <v>-13.8</v>
      </c>
      <c r="Y408" t="s">
        <v>3850</v>
      </c>
      <c r="Z408">
        <v>-18.09867213398017</v>
      </c>
      <c r="AA408">
        <v>1330</v>
      </c>
      <c r="AB408">
        <v>107064</v>
      </c>
      <c r="AC408" t="s">
        <v>4689</v>
      </c>
      <c r="AD408">
        <v>69.760000000000005</v>
      </c>
      <c r="AE408" t="s">
        <v>5553</v>
      </c>
      <c r="AF408" t="s">
        <v>6386</v>
      </c>
      <c r="AG408">
        <v>2619</v>
      </c>
      <c r="AH408">
        <v>144</v>
      </c>
      <c r="AI408">
        <v>1691</v>
      </c>
      <c r="AJ408">
        <v>1.78</v>
      </c>
    </row>
    <row r="409" spans="1:36">
      <c r="A409" s="1" t="s">
        <v>443</v>
      </c>
      <c r="B409" t="s">
        <v>1307</v>
      </c>
      <c r="C409" t="str">
        <f>HYPERLINK("https://finance.naver.com/item/coinfo.nhn?code=004890", "A004890")</f>
        <v>A004890</v>
      </c>
      <c r="D409" t="str">
        <f>HYPERLINK("http://comp.fnguide.com/SVO2/ASP/SVD_Consensus.asp?pGB=1&amp;gicode=A004890&amp;cID=&amp;MenuYn=Y&amp;ReportGB=&amp;NewMenuID=108&amp;stkGb=701", "동일산업")</f>
        <v>동일산업</v>
      </c>
      <c r="E409">
        <v>3</v>
      </c>
      <c r="F409">
        <v>75400</v>
      </c>
      <c r="G409">
        <v>0</v>
      </c>
      <c r="H409">
        <v>37.44</v>
      </c>
      <c r="I409">
        <v>65486</v>
      </c>
      <c r="J409">
        <v>124360</v>
      </c>
      <c r="K409">
        <v>141091</v>
      </c>
      <c r="L409">
        <v>13.15</v>
      </c>
      <c r="M409">
        <v>-64.930000000000007</v>
      </c>
      <c r="N409">
        <v>-87.12</v>
      </c>
      <c r="O409">
        <v>3.18</v>
      </c>
      <c r="P409" t="b">
        <v>0</v>
      </c>
      <c r="Q409">
        <v>0</v>
      </c>
      <c r="R409">
        <v>1547</v>
      </c>
      <c r="U409" t="s">
        <v>2171</v>
      </c>
      <c r="V409" t="s">
        <v>3035</v>
      </c>
      <c r="W409">
        <v>0</v>
      </c>
      <c r="X409">
        <v>-15.8</v>
      </c>
      <c r="Y409" t="s">
        <v>3851</v>
      </c>
      <c r="Z409">
        <v>-5.5052560955428209</v>
      </c>
      <c r="AA409">
        <v>1829</v>
      </c>
      <c r="AB409">
        <v>4570</v>
      </c>
      <c r="AC409" t="s">
        <v>4690</v>
      </c>
      <c r="AD409">
        <v>45.73</v>
      </c>
      <c r="AE409" t="s">
        <v>5554</v>
      </c>
      <c r="AF409" t="s">
        <v>6387</v>
      </c>
      <c r="AG409">
        <v>3547</v>
      </c>
      <c r="AH409">
        <v>-10</v>
      </c>
      <c r="AI409">
        <v>259144</v>
      </c>
      <c r="AJ409">
        <v>1.3</v>
      </c>
    </row>
    <row r="410" spans="1:36">
      <c r="A410" s="1" t="s">
        <v>444</v>
      </c>
      <c r="B410" t="s">
        <v>1308</v>
      </c>
      <c r="C410" t="str">
        <f>HYPERLINK("https://finance.naver.com/item/coinfo.nhn?code=002690", "A002690")</f>
        <v>A002690</v>
      </c>
      <c r="D410" t="str">
        <f>HYPERLINK("http://comp.fnguide.com/SVO2/ASP/SVD_Consensus.asp?pGB=1&amp;gicode=A002690&amp;cID=&amp;MenuYn=Y&amp;ReportGB=&amp;NewMenuID=108&amp;stkGb=701", "동일제강")</f>
        <v>동일제강</v>
      </c>
      <c r="E410">
        <v>3</v>
      </c>
      <c r="F410">
        <v>2390</v>
      </c>
      <c r="G410">
        <v>0</v>
      </c>
      <c r="H410">
        <v>33.369999999999997</v>
      </c>
      <c r="I410">
        <v>719</v>
      </c>
      <c r="J410">
        <v>5707</v>
      </c>
      <c r="K410">
        <v>7124</v>
      </c>
      <c r="L410">
        <v>69.930000000000007</v>
      </c>
      <c r="M410">
        <v>-138.78</v>
      </c>
      <c r="N410">
        <v>-198.09</v>
      </c>
      <c r="O410">
        <v>0.63</v>
      </c>
      <c r="P410" t="b">
        <v>0</v>
      </c>
      <c r="Q410">
        <v>0</v>
      </c>
      <c r="R410">
        <v>74</v>
      </c>
      <c r="U410" t="s">
        <v>2172</v>
      </c>
      <c r="V410" t="s">
        <v>3036</v>
      </c>
      <c r="W410">
        <v>0</v>
      </c>
      <c r="X410">
        <v>0</v>
      </c>
      <c r="Y410" t="s">
        <v>3852</v>
      </c>
      <c r="Z410">
        <v>-40.034370434392073</v>
      </c>
      <c r="AA410">
        <v>359</v>
      </c>
      <c r="AB410">
        <v>64652</v>
      </c>
      <c r="AC410" t="s">
        <v>4691</v>
      </c>
      <c r="AD410">
        <v>60.13</v>
      </c>
      <c r="AE410" t="s">
        <v>5555</v>
      </c>
      <c r="AF410" t="s">
        <v>6388</v>
      </c>
      <c r="AG410">
        <v>1274</v>
      </c>
      <c r="AH410">
        <v>10</v>
      </c>
      <c r="AI410">
        <v>514900</v>
      </c>
      <c r="AJ410">
        <v>0.4</v>
      </c>
    </row>
    <row r="411" spans="1:36">
      <c r="A411" s="1" t="s">
        <v>445</v>
      </c>
      <c r="B411" t="s">
        <v>1309</v>
      </c>
      <c r="C411" t="str">
        <f>HYPERLINK("https://finance.naver.com/item/coinfo.nhn?code=000150", "A000150")</f>
        <v>A000150</v>
      </c>
      <c r="D411" t="str">
        <f>HYPERLINK("http://comp.fnguide.com/SVO2/ASP/SVD_Consensus.asp?pGB=1&amp;gicode=A000150&amp;cID=&amp;MenuYn=Y&amp;ReportGB=&amp;NewMenuID=108&amp;stkGb=701", "두산")</f>
        <v>두산</v>
      </c>
      <c r="E411">
        <v>3</v>
      </c>
      <c r="F411">
        <v>55400</v>
      </c>
      <c r="G411">
        <v>0</v>
      </c>
      <c r="H411">
        <v>3.86</v>
      </c>
      <c r="I411">
        <v>175184</v>
      </c>
      <c r="J411">
        <v>139300</v>
      </c>
      <c r="K411">
        <v>129103</v>
      </c>
      <c r="L411">
        <v>-216.22</v>
      </c>
      <c r="M411">
        <v>-151.44</v>
      </c>
      <c r="N411">
        <v>-133.04</v>
      </c>
      <c r="O411">
        <v>12.04</v>
      </c>
      <c r="P411" t="b">
        <v>1</v>
      </c>
      <c r="Q411">
        <v>0</v>
      </c>
      <c r="R411">
        <v>18218</v>
      </c>
      <c r="S411">
        <v>-12035</v>
      </c>
      <c r="T411">
        <v>-166.1</v>
      </c>
      <c r="U411" t="s">
        <v>2173</v>
      </c>
      <c r="V411" t="s">
        <v>3037</v>
      </c>
      <c r="W411">
        <v>0</v>
      </c>
      <c r="X411">
        <v>0</v>
      </c>
      <c r="Y411" t="s">
        <v>3853</v>
      </c>
      <c r="Z411">
        <v>-78.400000000000006</v>
      </c>
      <c r="AA411">
        <v>9154</v>
      </c>
      <c r="AB411">
        <v>140818</v>
      </c>
      <c r="AC411" t="s">
        <v>4692</v>
      </c>
      <c r="AD411">
        <v>47.24</v>
      </c>
      <c r="AE411" t="s">
        <v>5556</v>
      </c>
      <c r="AF411" t="s">
        <v>6389</v>
      </c>
      <c r="AG411">
        <v>185357</v>
      </c>
      <c r="AH411">
        <v>12619</v>
      </c>
      <c r="AI411">
        <v>3000866</v>
      </c>
      <c r="AJ411">
        <v>7.4</v>
      </c>
    </row>
    <row r="412" spans="1:36">
      <c r="A412" s="1" t="s">
        <v>446</v>
      </c>
      <c r="B412" t="s">
        <v>1310</v>
      </c>
      <c r="C412" t="str">
        <f>HYPERLINK("https://finance.naver.com/item/coinfo.nhn?code=241560", "A241560")</f>
        <v>A241560</v>
      </c>
      <c r="D412" t="str">
        <f>HYPERLINK("http://comp.fnguide.com/SVO2/ASP/SVD_Consensus.asp?pGB=1&amp;gicode=A241560&amp;cID=&amp;MenuYn=Y&amp;ReportGB=&amp;NewMenuID=108&amp;stkGb=701", "두산밥캣")</f>
        <v>두산밥캣</v>
      </c>
      <c r="E412">
        <v>3</v>
      </c>
      <c r="F412">
        <v>30000</v>
      </c>
      <c r="G412">
        <v>-1.29</v>
      </c>
      <c r="H412">
        <v>12.65</v>
      </c>
      <c r="I412">
        <v>36651</v>
      </c>
      <c r="J412">
        <v>38481</v>
      </c>
      <c r="K412">
        <v>39001</v>
      </c>
      <c r="L412">
        <v>-22.17</v>
      </c>
      <c r="M412">
        <v>-28.27</v>
      </c>
      <c r="N412">
        <v>-30</v>
      </c>
      <c r="O412">
        <v>7.33</v>
      </c>
      <c r="P412" t="b">
        <v>1</v>
      </c>
      <c r="Q412">
        <v>0</v>
      </c>
      <c r="R412">
        <v>2714</v>
      </c>
      <c r="S412">
        <v>2002</v>
      </c>
      <c r="T412">
        <v>-26.2</v>
      </c>
      <c r="U412" t="s">
        <v>2174</v>
      </c>
      <c r="V412" t="s">
        <v>3038</v>
      </c>
      <c r="W412">
        <v>-9.8118204026815707</v>
      </c>
      <c r="X412">
        <v>-37.700000000000003</v>
      </c>
      <c r="Y412" t="s">
        <v>3854</v>
      </c>
      <c r="Z412">
        <v>1.8682738874399969</v>
      </c>
      <c r="AA412">
        <v>30075</v>
      </c>
      <c r="AB412">
        <v>255182</v>
      </c>
      <c r="AC412" t="s">
        <v>4693</v>
      </c>
      <c r="AD412">
        <v>51.06</v>
      </c>
      <c r="AE412" t="s">
        <v>5557</v>
      </c>
      <c r="AF412" t="s">
        <v>6390</v>
      </c>
      <c r="AG412">
        <v>45096</v>
      </c>
      <c r="AH412">
        <v>4770</v>
      </c>
      <c r="AJ412">
        <v>3.49</v>
      </c>
    </row>
    <row r="413" spans="1:36">
      <c r="A413" s="1" t="s">
        <v>447</v>
      </c>
      <c r="B413" t="s">
        <v>1311</v>
      </c>
      <c r="C413" t="str">
        <f>HYPERLINK("https://finance.naver.com/item/coinfo.nhn?code=042670", "A042670")</f>
        <v>A042670</v>
      </c>
      <c r="D413" t="str">
        <f>HYPERLINK("http://comp.fnguide.com/SVO2/ASP/SVD_Consensus.asp?pGB=1&amp;gicode=A042670&amp;cID=&amp;MenuYn=Y&amp;ReportGB=&amp;NewMenuID=108&amp;stkGb=701", "두산인프라코어")</f>
        <v>두산인프라코어</v>
      </c>
      <c r="E413">
        <v>3</v>
      </c>
      <c r="F413">
        <v>8020</v>
      </c>
      <c r="G413">
        <v>0.79</v>
      </c>
      <c r="H413">
        <v>4.82</v>
      </c>
      <c r="I413">
        <v>15337</v>
      </c>
      <c r="J413">
        <v>12303</v>
      </c>
      <c r="K413">
        <v>11441</v>
      </c>
      <c r="L413">
        <v>-91.24</v>
      </c>
      <c r="M413">
        <v>-53.4</v>
      </c>
      <c r="N413">
        <v>-42.65</v>
      </c>
      <c r="O413">
        <v>11.83</v>
      </c>
      <c r="P413" t="b">
        <v>1</v>
      </c>
      <c r="Q413">
        <v>0</v>
      </c>
      <c r="R413">
        <v>1153</v>
      </c>
      <c r="S413">
        <v>856</v>
      </c>
      <c r="T413">
        <v>-25.8</v>
      </c>
      <c r="U413" t="s">
        <v>2175</v>
      </c>
      <c r="V413" t="s">
        <v>3039</v>
      </c>
      <c r="W413">
        <v>6.1286864756869397</v>
      </c>
      <c r="X413">
        <v>-35</v>
      </c>
      <c r="Y413" t="s">
        <v>3855</v>
      </c>
      <c r="Z413">
        <v>25.209684118643811</v>
      </c>
      <c r="AA413">
        <v>17316</v>
      </c>
      <c r="AB413">
        <v>1960180</v>
      </c>
      <c r="AC413" t="s">
        <v>4694</v>
      </c>
      <c r="AD413">
        <v>35</v>
      </c>
      <c r="AE413" t="s">
        <v>5558</v>
      </c>
      <c r="AF413" t="s">
        <v>6391</v>
      </c>
      <c r="AG413">
        <v>81858</v>
      </c>
      <c r="AH413">
        <v>8404</v>
      </c>
      <c r="AI413">
        <v>505</v>
      </c>
    </row>
    <row r="414" spans="1:36">
      <c r="A414" s="1" t="s">
        <v>448</v>
      </c>
      <c r="B414" t="s">
        <v>1312</v>
      </c>
      <c r="C414" t="str">
        <f>HYPERLINK("https://finance.naver.com/item/coinfo.nhn?code=016740", "A016740")</f>
        <v>A016740</v>
      </c>
      <c r="D414" t="str">
        <f>HYPERLINK("http://comp.fnguide.com/SVO2/ASP/SVD_Consensus.asp?pGB=1&amp;gicode=A016740&amp;cID=&amp;MenuYn=Y&amp;ReportGB=&amp;NewMenuID=108&amp;stkGb=701", "두올")</f>
        <v>두올</v>
      </c>
      <c r="E414">
        <v>3</v>
      </c>
      <c r="F414">
        <v>3370</v>
      </c>
      <c r="G414">
        <v>0</v>
      </c>
      <c r="H414">
        <v>8.59</v>
      </c>
      <c r="I414">
        <v>6838</v>
      </c>
      <c r="J414">
        <v>6649</v>
      </c>
      <c r="K414">
        <v>6596</v>
      </c>
      <c r="L414">
        <v>-102.91</v>
      </c>
      <c r="M414">
        <v>-97.31</v>
      </c>
      <c r="N414">
        <v>-95.72</v>
      </c>
      <c r="O414">
        <v>8.32</v>
      </c>
      <c r="P414" t="b">
        <v>1</v>
      </c>
      <c r="Q414">
        <v>0</v>
      </c>
      <c r="R414">
        <v>366</v>
      </c>
      <c r="U414" t="s">
        <v>2176</v>
      </c>
      <c r="V414" t="s">
        <v>3040</v>
      </c>
      <c r="W414">
        <v>0</v>
      </c>
      <c r="X414">
        <v>-58.7</v>
      </c>
      <c r="Y414" t="s">
        <v>3856</v>
      </c>
      <c r="Z414">
        <v>-30.095535079596399</v>
      </c>
      <c r="AA414">
        <v>912</v>
      </c>
      <c r="AB414">
        <v>144579</v>
      </c>
      <c r="AC414" t="s">
        <v>4695</v>
      </c>
      <c r="AD414">
        <v>49.34</v>
      </c>
      <c r="AE414" t="s">
        <v>5559</v>
      </c>
      <c r="AF414" t="s">
        <v>6392</v>
      </c>
      <c r="AG414">
        <v>4659</v>
      </c>
      <c r="AH414">
        <v>276</v>
      </c>
      <c r="AI414">
        <v>596916</v>
      </c>
      <c r="AJ414">
        <v>2.5499999999999998</v>
      </c>
    </row>
    <row r="415" spans="1:36">
      <c r="A415" s="1" t="s">
        <v>449</v>
      </c>
      <c r="B415" t="s">
        <v>1313</v>
      </c>
      <c r="C415" t="str">
        <f>HYPERLINK("https://finance.naver.com/item/coinfo.nhn?code=024090", "A024090")</f>
        <v>A024090</v>
      </c>
      <c r="D415" t="str">
        <f>HYPERLINK("http://comp.fnguide.com/SVO2/ASP/SVD_Consensus.asp?pGB=1&amp;gicode=A024090&amp;cID=&amp;MenuYn=Y&amp;ReportGB=&amp;NewMenuID=108&amp;stkGb=701", "디씨엠")</f>
        <v>디씨엠</v>
      </c>
      <c r="E415">
        <v>3</v>
      </c>
      <c r="F415">
        <v>12100</v>
      </c>
      <c r="G415">
        <v>0</v>
      </c>
      <c r="H415">
        <v>6.06</v>
      </c>
      <c r="I415">
        <v>23835</v>
      </c>
      <c r="J415">
        <v>20934</v>
      </c>
      <c r="K415">
        <v>20110</v>
      </c>
      <c r="L415">
        <v>-96.98</v>
      </c>
      <c r="M415">
        <v>-73.010000000000005</v>
      </c>
      <c r="N415">
        <v>-66.2</v>
      </c>
      <c r="O415">
        <v>9.9499999999999993</v>
      </c>
      <c r="P415" t="b">
        <v>1</v>
      </c>
      <c r="Q415">
        <v>0</v>
      </c>
      <c r="R415">
        <v>2005</v>
      </c>
      <c r="U415" t="s">
        <v>2177</v>
      </c>
      <c r="V415" t="s">
        <v>3041</v>
      </c>
      <c r="W415">
        <v>0</v>
      </c>
      <c r="X415">
        <v>-6.4</v>
      </c>
      <c r="Y415" t="s">
        <v>3857</v>
      </c>
      <c r="Z415">
        <v>37.360370031176359</v>
      </c>
      <c r="AA415">
        <v>1416</v>
      </c>
      <c r="AB415">
        <v>10388</v>
      </c>
      <c r="AC415" t="s">
        <v>4696</v>
      </c>
      <c r="AD415">
        <v>44.57</v>
      </c>
      <c r="AE415" t="s">
        <v>5560</v>
      </c>
      <c r="AF415" t="s">
        <v>6393</v>
      </c>
      <c r="AG415">
        <v>1453</v>
      </c>
      <c r="AH415">
        <v>175</v>
      </c>
      <c r="AI415">
        <v>2511909</v>
      </c>
      <c r="AJ415">
        <v>4.12</v>
      </c>
    </row>
    <row r="416" spans="1:36">
      <c r="A416" s="1" t="s">
        <v>450</v>
      </c>
      <c r="B416" t="s">
        <v>1314</v>
      </c>
      <c r="C416" t="str">
        <f>HYPERLINK("https://finance.naver.com/item/coinfo.nhn?code=003160", "A003160")</f>
        <v>A003160</v>
      </c>
      <c r="D416" t="str">
        <f>HYPERLINK("http://comp.fnguide.com/SVO2/ASP/SVD_Consensus.asp?pGB=1&amp;gicode=A003160&amp;cID=&amp;MenuYn=Y&amp;ReportGB=&amp;NewMenuID=108&amp;stkGb=701", "디아이")</f>
        <v>디아이</v>
      </c>
      <c r="E416">
        <v>3</v>
      </c>
      <c r="F416">
        <v>4415</v>
      </c>
      <c r="G416">
        <v>0</v>
      </c>
      <c r="H416">
        <v>169.79</v>
      </c>
      <c r="I416">
        <v>3516</v>
      </c>
      <c r="J416">
        <v>4516</v>
      </c>
      <c r="K416">
        <v>4800</v>
      </c>
      <c r="L416">
        <v>20.36</v>
      </c>
      <c r="M416">
        <v>-2.29</v>
      </c>
      <c r="N416">
        <v>-8.73</v>
      </c>
      <c r="O416">
        <v>5.39</v>
      </c>
      <c r="P416" t="b">
        <v>0</v>
      </c>
      <c r="Q416">
        <v>0</v>
      </c>
      <c r="R416">
        <v>21</v>
      </c>
      <c r="U416" t="s">
        <v>2178</v>
      </c>
      <c r="V416" t="s">
        <v>3042</v>
      </c>
      <c r="W416">
        <v>0</v>
      </c>
      <c r="X416">
        <v>0</v>
      </c>
      <c r="Y416" t="s">
        <v>3858</v>
      </c>
      <c r="Z416">
        <v>-17.83289761948668</v>
      </c>
      <c r="AA416">
        <v>1391</v>
      </c>
      <c r="AB416">
        <v>710180</v>
      </c>
      <c r="AC416" t="s">
        <v>4697</v>
      </c>
      <c r="AD416">
        <v>26.29</v>
      </c>
      <c r="AE416" t="s">
        <v>5561</v>
      </c>
      <c r="AF416" t="s">
        <v>6394</v>
      </c>
      <c r="AG416">
        <v>1095</v>
      </c>
      <c r="AH416">
        <v>-65</v>
      </c>
      <c r="AI416">
        <v>5600000</v>
      </c>
      <c r="AJ416">
        <v>1.43</v>
      </c>
    </row>
    <row r="417" spans="1:36">
      <c r="A417" s="1" t="s">
        <v>451</v>
      </c>
      <c r="B417" t="s">
        <v>1315</v>
      </c>
      <c r="C417" t="str">
        <f>HYPERLINK("https://finance.naver.com/item/coinfo.nhn?code=007590", "A007590")</f>
        <v>A007590</v>
      </c>
      <c r="D417" t="str">
        <f>HYPERLINK("http://comp.fnguide.com/SVO2/ASP/SVD_Consensus.asp?pGB=1&amp;gicode=A007590&amp;cID=&amp;MenuYn=Y&amp;ReportGB=&amp;NewMenuID=108&amp;stkGb=701", "동방아그로")</f>
        <v>동방아그로</v>
      </c>
      <c r="E417">
        <v>3</v>
      </c>
      <c r="F417">
        <v>6500</v>
      </c>
      <c r="G417">
        <v>0</v>
      </c>
      <c r="H417">
        <v>14.53</v>
      </c>
      <c r="I417">
        <v>6958</v>
      </c>
      <c r="J417">
        <v>9799</v>
      </c>
      <c r="K417">
        <v>10607</v>
      </c>
      <c r="L417">
        <v>-7.05</v>
      </c>
      <c r="M417">
        <v>-50.76</v>
      </c>
      <c r="N417">
        <v>-63.18</v>
      </c>
      <c r="O417">
        <v>4.7300000000000004</v>
      </c>
      <c r="P417" t="b">
        <v>1</v>
      </c>
      <c r="Q417">
        <v>0</v>
      </c>
      <c r="R417">
        <v>473</v>
      </c>
      <c r="U417" t="s">
        <v>2179</v>
      </c>
      <c r="V417" t="s">
        <v>3043</v>
      </c>
      <c r="W417">
        <v>0</v>
      </c>
      <c r="X417">
        <v>8.3000000000000007</v>
      </c>
      <c r="Y417" t="s">
        <v>3859</v>
      </c>
      <c r="Z417">
        <v>4.1106249830229258</v>
      </c>
      <c r="AA417">
        <v>885</v>
      </c>
      <c r="AB417">
        <v>9538</v>
      </c>
      <c r="AC417" t="s">
        <v>4698</v>
      </c>
      <c r="AD417">
        <v>34.26</v>
      </c>
      <c r="AE417" t="s">
        <v>5562</v>
      </c>
      <c r="AF417" t="s">
        <v>6395</v>
      </c>
      <c r="AG417">
        <v>1246</v>
      </c>
      <c r="AH417">
        <v>78</v>
      </c>
      <c r="AI417">
        <v>1922682</v>
      </c>
      <c r="AJ417">
        <v>3.64</v>
      </c>
    </row>
    <row r="418" spans="1:36">
      <c r="A418" s="1" t="s">
        <v>452</v>
      </c>
      <c r="B418" t="s">
        <v>1316</v>
      </c>
      <c r="C418" t="str">
        <f>HYPERLINK("https://finance.naver.com/item/coinfo.nhn?code=016090", "A016090")</f>
        <v>A016090</v>
      </c>
      <c r="D418" t="str">
        <f>HYPERLINK("http://comp.fnguide.com/SVO2/ASP/SVD_Consensus.asp?pGB=1&amp;gicode=A016090&amp;cID=&amp;MenuYn=Y&amp;ReportGB=&amp;NewMenuID=108&amp;stkGb=701", "대현")</f>
        <v>대현</v>
      </c>
      <c r="E418">
        <v>3</v>
      </c>
      <c r="F418">
        <v>1895</v>
      </c>
      <c r="G418">
        <v>0</v>
      </c>
      <c r="H418">
        <v>6.64</v>
      </c>
      <c r="I418">
        <v>4728</v>
      </c>
      <c r="J418">
        <v>4590</v>
      </c>
      <c r="K418">
        <v>4551</v>
      </c>
      <c r="L418">
        <v>-149.49</v>
      </c>
      <c r="M418">
        <v>-142.21</v>
      </c>
      <c r="N418">
        <v>-140.13999999999999</v>
      </c>
      <c r="O418">
        <v>8.35</v>
      </c>
      <c r="P418" t="b">
        <v>1</v>
      </c>
      <c r="Q418">
        <v>0</v>
      </c>
      <c r="R418">
        <v>376</v>
      </c>
      <c r="U418" t="s">
        <v>2180</v>
      </c>
      <c r="V418" t="s">
        <v>3044</v>
      </c>
      <c r="W418">
        <v>0</v>
      </c>
      <c r="X418">
        <v>-40</v>
      </c>
      <c r="Y418" t="s">
        <v>3860</v>
      </c>
      <c r="Z418">
        <v>4.2430092187716539</v>
      </c>
      <c r="AA418">
        <v>839</v>
      </c>
      <c r="AB418">
        <v>127336</v>
      </c>
      <c r="AC418" t="s">
        <v>4699</v>
      </c>
      <c r="AD418">
        <v>47.28</v>
      </c>
      <c r="AE418" t="s">
        <v>5563</v>
      </c>
      <c r="AF418" t="s">
        <v>6396</v>
      </c>
      <c r="AG418">
        <v>2996</v>
      </c>
      <c r="AH418">
        <v>202</v>
      </c>
      <c r="AJ418">
        <v>4.01</v>
      </c>
    </row>
    <row r="419" spans="1:36">
      <c r="A419" s="1" t="s">
        <v>453</v>
      </c>
      <c r="B419" t="s">
        <v>1317</v>
      </c>
      <c r="C419" t="str">
        <f>HYPERLINK("https://finance.naver.com/item/coinfo.nhn?code=013570", "A013570")</f>
        <v>A013570</v>
      </c>
      <c r="D419" t="str">
        <f>HYPERLINK("http://comp.fnguide.com/SVO2/ASP/SVD_Consensus.asp?pGB=1&amp;gicode=A013570&amp;cID=&amp;MenuYn=Y&amp;ReportGB=&amp;NewMenuID=108&amp;stkGb=701", "디와이")</f>
        <v>디와이</v>
      </c>
      <c r="E419">
        <v>3</v>
      </c>
      <c r="F419">
        <v>4465</v>
      </c>
      <c r="G419">
        <v>0</v>
      </c>
      <c r="H419">
        <v>9.0299999999999994</v>
      </c>
      <c r="I419">
        <v>7193</v>
      </c>
      <c r="J419">
        <v>11499</v>
      </c>
      <c r="K419">
        <v>12723</v>
      </c>
      <c r="L419">
        <v>-61.1</v>
      </c>
      <c r="M419">
        <v>-157.54</v>
      </c>
      <c r="N419">
        <v>-184.95</v>
      </c>
      <c r="O419">
        <v>3.98</v>
      </c>
      <c r="P419" t="b">
        <v>0</v>
      </c>
      <c r="Q419">
        <v>0</v>
      </c>
      <c r="R419">
        <v>623</v>
      </c>
      <c r="U419" t="s">
        <v>2181</v>
      </c>
      <c r="V419" t="s">
        <v>3045</v>
      </c>
      <c r="W419">
        <v>0</v>
      </c>
      <c r="X419">
        <v>-50.7</v>
      </c>
      <c r="Y419" t="s">
        <v>3861</v>
      </c>
      <c r="Z419">
        <v>-17.708485233997472</v>
      </c>
      <c r="AA419">
        <v>1175</v>
      </c>
      <c r="AB419">
        <v>107107</v>
      </c>
      <c r="AC419" t="s">
        <v>4700</v>
      </c>
      <c r="AD419">
        <v>40.51</v>
      </c>
      <c r="AE419" t="s">
        <v>5564</v>
      </c>
      <c r="AF419" t="s">
        <v>6397</v>
      </c>
      <c r="AG419">
        <v>8543</v>
      </c>
      <c r="AH419">
        <v>441</v>
      </c>
      <c r="AI419">
        <v>1650442</v>
      </c>
      <c r="AJ419">
        <v>2.66</v>
      </c>
    </row>
    <row r="420" spans="1:36">
      <c r="A420" s="1" t="s">
        <v>454</v>
      </c>
      <c r="B420" t="s">
        <v>1318</v>
      </c>
      <c r="C420" t="str">
        <f>HYPERLINK("https://finance.naver.com/item/coinfo.nhn?code=042660", "A042660")</f>
        <v>A042660</v>
      </c>
      <c r="D420" t="str">
        <f>HYPERLINK("http://comp.fnguide.com/SVO2/ASP/SVD_Consensus.asp?pGB=1&amp;gicode=A042660&amp;cID=&amp;MenuYn=Y&amp;ReportGB=&amp;NewMenuID=108&amp;stkGb=701", "대우조선해양")</f>
        <v>대우조선해양</v>
      </c>
      <c r="E420">
        <v>3</v>
      </c>
      <c r="F420">
        <v>26650</v>
      </c>
      <c r="I420">
        <v>34665</v>
      </c>
      <c r="J420">
        <v>34868</v>
      </c>
      <c r="K420">
        <v>34926</v>
      </c>
      <c r="L420">
        <v>-30.07</v>
      </c>
      <c r="M420">
        <v>-30.84</v>
      </c>
      <c r="N420">
        <v>-31.05</v>
      </c>
      <c r="O420">
        <v>7.86</v>
      </c>
      <c r="P420" t="b">
        <v>0</v>
      </c>
      <c r="Q420">
        <v>1</v>
      </c>
      <c r="R420">
        <v>-434</v>
      </c>
      <c r="S420">
        <v>2849</v>
      </c>
      <c r="T420">
        <v>-756.5</v>
      </c>
      <c r="U420" t="s">
        <v>2182</v>
      </c>
      <c r="V420" t="s">
        <v>3046</v>
      </c>
      <c r="W420">
        <v>-27.38649250712669</v>
      </c>
      <c r="X420">
        <v>500.4</v>
      </c>
      <c r="Y420" t="s">
        <v>3862</v>
      </c>
      <c r="Z420">
        <v>61.050551070153134</v>
      </c>
      <c r="AA420">
        <v>28593</v>
      </c>
      <c r="AB420">
        <v>553100</v>
      </c>
      <c r="AC420" t="s">
        <v>4701</v>
      </c>
      <c r="AD420">
        <v>67.849999999999994</v>
      </c>
      <c r="AE420" t="s">
        <v>5565</v>
      </c>
      <c r="AF420" t="s">
        <v>6398</v>
      </c>
      <c r="AG420">
        <v>83587</v>
      </c>
      <c r="AH420">
        <v>2928</v>
      </c>
      <c r="AI420">
        <v>16207</v>
      </c>
    </row>
    <row r="421" spans="1:36">
      <c r="A421" s="1" t="s">
        <v>455</v>
      </c>
      <c r="B421" t="s">
        <v>1319</v>
      </c>
      <c r="C421" t="str">
        <f>HYPERLINK("https://finance.naver.com/item/coinfo.nhn?code=008110", "A008110")</f>
        <v>A008110</v>
      </c>
      <c r="D421" t="str">
        <f>HYPERLINK("http://comp.fnguide.com/SVO2/ASP/SVD_Consensus.asp?pGB=1&amp;gicode=A008110&amp;cID=&amp;MenuYn=Y&amp;ReportGB=&amp;NewMenuID=108&amp;stkGb=701", "대동전자")</f>
        <v>대동전자</v>
      </c>
      <c r="E421">
        <v>3</v>
      </c>
      <c r="F421">
        <v>4480</v>
      </c>
      <c r="G421">
        <v>0</v>
      </c>
      <c r="H421">
        <v>7.36</v>
      </c>
      <c r="I421">
        <v>5496</v>
      </c>
      <c r="J421">
        <v>12433</v>
      </c>
      <c r="K421">
        <v>14404</v>
      </c>
      <c r="L421">
        <v>-22.68</v>
      </c>
      <c r="M421">
        <v>-177.51</v>
      </c>
      <c r="N421">
        <v>-221.51</v>
      </c>
      <c r="O421">
        <v>2.56</v>
      </c>
      <c r="P421" t="b">
        <v>1</v>
      </c>
      <c r="Q421">
        <v>0</v>
      </c>
      <c r="R421">
        <v>419</v>
      </c>
      <c r="U421" t="s">
        <v>2183</v>
      </c>
      <c r="V421" t="s">
        <v>3047</v>
      </c>
      <c r="W421">
        <v>0</v>
      </c>
      <c r="X421">
        <v>0</v>
      </c>
      <c r="Y421" t="s">
        <v>3863</v>
      </c>
      <c r="Z421">
        <v>34.8310694122681</v>
      </c>
      <c r="AA421">
        <v>470</v>
      </c>
      <c r="AB421">
        <v>7055</v>
      </c>
      <c r="AC421" t="s">
        <v>4702</v>
      </c>
      <c r="AD421">
        <v>60.4</v>
      </c>
      <c r="AE421" t="s">
        <v>5566</v>
      </c>
      <c r="AF421" t="s">
        <v>6399</v>
      </c>
      <c r="AG421">
        <v>450</v>
      </c>
      <c r="AH421">
        <v>17</v>
      </c>
      <c r="AI421">
        <v>2320000</v>
      </c>
      <c r="AJ421">
        <v>16.21</v>
      </c>
    </row>
    <row r="422" spans="1:36">
      <c r="A422" s="1" t="s">
        <v>456</v>
      </c>
      <c r="B422" t="s">
        <v>1320</v>
      </c>
      <c r="C422" t="str">
        <f>HYPERLINK("https://finance.naver.com/item/coinfo.nhn?code=005750", "A005750")</f>
        <v>A005750</v>
      </c>
      <c r="D422" t="str">
        <f>HYPERLINK("http://comp.fnguide.com/SVO2/ASP/SVD_Consensus.asp?pGB=1&amp;gicode=A005750&amp;cID=&amp;MenuYn=Y&amp;ReportGB=&amp;NewMenuID=108&amp;stkGb=701", "대림B&amp;Co")</f>
        <v>대림B&amp;Co</v>
      </c>
      <c r="E422">
        <v>3</v>
      </c>
      <c r="F422">
        <v>6150</v>
      </c>
      <c r="G422">
        <v>0</v>
      </c>
      <c r="H422">
        <v>31.62</v>
      </c>
      <c r="I422">
        <v>2789</v>
      </c>
      <c r="J422">
        <v>6892</v>
      </c>
      <c r="K422">
        <v>8058</v>
      </c>
      <c r="L422">
        <v>54.64</v>
      </c>
      <c r="M422">
        <v>-12.07</v>
      </c>
      <c r="N422">
        <v>-31.03</v>
      </c>
      <c r="O422">
        <v>2.31</v>
      </c>
      <c r="P422" t="b">
        <v>0</v>
      </c>
      <c r="Q422">
        <v>0</v>
      </c>
      <c r="R422">
        <v>132</v>
      </c>
      <c r="U422" t="s">
        <v>2184</v>
      </c>
      <c r="V422" t="s">
        <v>3048</v>
      </c>
      <c r="W422">
        <v>0</v>
      </c>
      <c r="X422">
        <v>0</v>
      </c>
      <c r="Y422" t="s">
        <v>3864</v>
      </c>
      <c r="Z422">
        <v>-29.334618609667771</v>
      </c>
      <c r="AA422">
        <v>1025</v>
      </c>
      <c r="AB422">
        <v>172521</v>
      </c>
      <c r="AC422" t="s">
        <v>4703</v>
      </c>
      <c r="AD422">
        <v>49.87</v>
      </c>
      <c r="AE422" t="s">
        <v>5567</v>
      </c>
      <c r="AF422" t="s">
        <v>6400</v>
      </c>
      <c r="AG422">
        <v>2364</v>
      </c>
      <c r="AH422">
        <v>41</v>
      </c>
      <c r="AJ422">
        <v>3.11</v>
      </c>
    </row>
    <row r="423" spans="1:36">
      <c r="A423" s="1" t="s">
        <v>457</v>
      </c>
      <c r="B423" t="s">
        <v>1321</v>
      </c>
      <c r="C423" t="str">
        <f>HYPERLINK("https://finance.naver.com/item/coinfo.nhn?code=000210", "A000210")</f>
        <v>A000210</v>
      </c>
      <c r="D423" t="str">
        <f>HYPERLINK("http://comp.fnguide.com/SVO2/ASP/SVD_Consensus.asp?pGB=1&amp;gicode=A000210&amp;cID=&amp;MenuYn=Y&amp;ReportGB=&amp;NewMenuID=108&amp;stkGb=701", "대림산업")</f>
        <v>대림산업</v>
      </c>
      <c r="E423">
        <v>3</v>
      </c>
      <c r="F423">
        <v>88400</v>
      </c>
      <c r="G423">
        <v>0.27</v>
      </c>
      <c r="H423">
        <v>5.25</v>
      </c>
      <c r="I423">
        <v>251048</v>
      </c>
      <c r="J423">
        <v>202652</v>
      </c>
      <c r="K423">
        <v>188899</v>
      </c>
      <c r="L423">
        <v>-183.99</v>
      </c>
      <c r="M423">
        <v>-129.24</v>
      </c>
      <c r="N423">
        <v>-113.69</v>
      </c>
      <c r="O423">
        <v>11.68</v>
      </c>
      <c r="P423" t="b">
        <v>1</v>
      </c>
      <c r="Q423">
        <v>3</v>
      </c>
      <c r="R423">
        <v>17228</v>
      </c>
      <c r="S423">
        <v>21583</v>
      </c>
      <c r="T423">
        <v>25.3</v>
      </c>
      <c r="U423" t="s">
        <v>2185</v>
      </c>
      <c r="V423" t="s">
        <v>3049</v>
      </c>
      <c r="W423">
        <v>19.333016448568841</v>
      </c>
      <c r="X423">
        <v>12.4</v>
      </c>
      <c r="Y423" t="s">
        <v>3865</v>
      </c>
      <c r="Z423">
        <v>29.31596135023273</v>
      </c>
      <c r="AA423">
        <v>30763</v>
      </c>
      <c r="AB423">
        <v>488332</v>
      </c>
      <c r="AC423" t="s">
        <v>4704</v>
      </c>
      <c r="AD423">
        <v>23.12</v>
      </c>
      <c r="AE423" t="s">
        <v>5568</v>
      </c>
      <c r="AF423" t="s">
        <v>6401</v>
      </c>
      <c r="AG423">
        <v>97001</v>
      </c>
      <c r="AH423">
        <v>11301</v>
      </c>
      <c r="AJ423">
        <v>1.44</v>
      </c>
    </row>
    <row r="424" spans="1:36">
      <c r="A424" s="1" t="s">
        <v>458</v>
      </c>
      <c r="B424" t="s">
        <v>1322</v>
      </c>
      <c r="C424" t="str">
        <f>HYPERLINK("https://finance.naver.com/item/coinfo.nhn?code=006570", "A006570")</f>
        <v>A006570</v>
      </c>
      <c r="D424" t="str">
        <f>HYPERLINK("http://comp.fnguide.com/SVO2/ASP/SVD_Consensus.asp?pGB=1&amp;gicode=A006570&amp;cID=&amp;MenuYn=Y&amp;ReportGB=&amp;NewMenuID=108&amp;stkGb=701", "대림통상")</f>
        <v>대림통상</v>
      </c>
      <c r="E424">
        <v>3</v>
      </c>
      <c r="F424">
        <v>4030</v>
      </c>
      <c r="G424">
        <v>0</v>
      </c>
      <c r="I424">
        <v>0</v>
      </c>
      <c r="J424">
        <v>3639</v>
      </c>
      <c r="K424">
        <v>4673</v>
      </c>
      <c r="L424">
        <v>100</v>
      </c>
      <c r="M424">
        <v>9.7100000000000009</v>
      </c>
      <c r="N424">
        <v>-15.95</v>
      </c>
      <c r="O424">
        <v>0</v>
      </c>
      <c r="P424" t="b">
        <v>0</v>
      </c>
      <c r="Q424">
        <v>0</v>
      </c>
      <c r="R424">
        <v>-765</v>
      </c>
      <c r="U424" t="s">
        <v>2186</v>
      </c>
      <c r="V424" t="s">
        <v>3050</v>
      </c>
      <c r="W424">
        <v>0</v>
      </c>
      <c r="X424">
        <v>0</v>
      </c>
      <c r="Y424" t="s">
        <v>3499</v>
      </c>
      <c r="Z424">
        <v>0</v>
      </c>
      <c r="AA424">
        <v>614</v>
      </c>
      <c r="AB424">
        <v>71155</v>
      </c>
      <c r="AC424" t="s">
        <v>4705</v>
      </c>
      <c r="AD424">
        <v>79.48</v>
      </c>
      <c r="AE424" t="s">
        <v>5569</v>
      </c>
      <c r="AF424" t="s">
        <v>6021</v>
      </c>
      <c r="AG424">
        <v>1836</v>
      </c>
      <c r="AH424">
        <v>-25</v>
      </c>
      <c r="AI424">
        <v>111373</v>
      </c>
      <c r="AJ424">
        <v>3.4</v>
      </c>
    </row>
    <row r="425" spans="1:36">
      <c r="A425" s="1" t="s">
        <v>459</v>
      </c>
      <c r="B425" t="s">
        <v>1323</v>
      </c>
      <c r="C425" t="str">
        <f>HYPERLINK("https://finance.naver.com/item/coinfo.nhn?code=001680", "A001680")</f>
        <v>A001680</v>
      </c>
      <c r="D425" t="str">
        <f>HYPERLINK("http://comp.fnguide.com/SVO2/ASP/SVD_Consensus.asp?pGB=1&amp;gicode=A001680&amp;cID=&amp;MenuYn=Y&amp;ReportGB=&amp;NewMenuID=108&amp;stkGb=701", "대상")</f>
        <v>대상</v>
      </c>
      <c r="E425">
        <v>3</v>
      </c>
      <c r="F425">
        <v>26700</v>
      </c>
      <c r="G425">
        <v>0.21</v>
      </c>
      <c r="H425">
        <v>7.79</v>
      </c>
      <c r="I425">
        <v>32981</v>
      </c>
      <c r="J425">
        <v>30586</v>
      </c>
      <c r="K425">
        <v>29905</v>
      </c>
      <c r="L425">
        <v>-23.53</v>
      </c>
      <c r="M425">
        <v>-14.55</v>
      </c>
      <c r="N425">
        <v>-12</v>
      </c>
      <c r="O425">
        <v>9.0299999999999994</v>
      </c>
      <c r="P425" t="b">
        <v>1</v>
      </c>
      <c r="Q425">
        <v>3</v>
      </c>
      <c r="R425">
        <v>2976</v>
      </c>
      <c r="S425">
        <v>3756</v>
      </c>
      <c r="T425">
        <v>26.2</v>
      </c>
      <c r="U425" t="s">
        <v>2187</v>
      </c>
      <c r="V425" t="s">
        <v>3051</v>
      </c>
      <c r="W425">
        <v>36.875221959148831</v>
      </c>
      <c r="X425">
        <v>53</v>
      </c>
      <c r="Y425" t="s">
        <v>3866</v>
      </c>
      <c r="Z425">
        <v>22.983162878472349</v>
      </c>
      <c r="AA425">
        <v>9251</v>
      </c>
      <c r="AB425">
        <v>235605</v>
      </c>
      <c r="AC425" t="s">
        <v>4706</v>
      </c>
      <c r="AD425">
        <v>44.74</v>
      </c>
      <c r="AE425" t="s">
        <v>5570</v>
      </c>
      <c r="AF425" t="s">
        <v>6402</v>
      </c>
      <c r="AG425">
        <v>29640</v>
      </c>
      <c r="AH425">
        <v>1298</v>
      </c>
      <c r="AJ425">
        <v>2.59</v>
      </c>
    </row>
    <row r="426" spans="1:36">
      <c r="A426" s="1" t="s">
        <v>460</v>
      </c>
      <c r="B426" t="s">
        <v>1324</v>
      </c>
      <c r="C426" t="str">
        <f>HYPERLINK("https://finance.naver.com/item/coinfo.nhn?code=084690", "A084690")</f>
        <v>A084690</v>
      </c>
      <c r="D426" t="str">
        <f>HYPERLINK("http://comp.fnguide.com/SVO2/ASP/SVD_Consensus.asp?pGB=1&amp;gicode=A084690&amp;cID=&amp;MenuYn=Y&amp;ReportGB=&amp;NewMenuID=108&amp;stkGb=701", "대상홀딩스")</f>
        <v>대상홀딩스</v>
      </c>
      <c r="E426">
        <v>3</v>
      </c>
      <c r="F426">
        <v>10250</v>
      </c>
      <c r="G426">
        <v>0</v>
      </c>
      <c r="H426">
        <v>3.46</v>
      </c>
      <c r="I426">
        <v>18070</v>
      </c>
      <c r="J426">
        <v>16884</v>
      </c>
      <c r="K426">
        <v>16547</v>
      </c>
      <c r="L426">
        <v>-76.290000000000006</v>
      </c>
      <c r="M426">
        <v>-64.72</v>
      </c>
      <c r="N426">
        <v>-61.44</v>
      </c>
      <c r="O426">
        <v>8.91</v>
      </c>
      <c r="P426" t="b">
        <v>1</v>
      </c>
      <c r="Q426">
        <v>0</v>
      </c>
      <c r="R426">
        <v>1946</v>
      </c>
      <c r="U426" t="s">
        <v>2188</v>
      </c>
      <c r="V426" t="s">
        <v>3052</v>
      </c>
      <c r="W426">
        <v>0</v>
      </c>
      <c r="X426">
        <v>125.2</v>
      </c>
      <c r="Y426" t="s">
        <v>3867</v>
      </c>
      <c r="Z426">
        <v>46.141195946977263</v>
      </c>
      <c r="AA426">
        <v>3712</v>
      </c>
      <c r="AB426">
        <v>189253</v>
      </c>
      <c r="AC426" t="s">
        <v>4707</v>
      </c>
      <c r="AD426">
        <v>67.3</v>
      </c>
      <c r="AE426" t="s">
        <v>5571</v>
      </c>
      <c r="AF426" t="s">
        <v>6403</v>
      </c>
      <c r="AG426">
        <v>35525</v>
      </c>
      <c r="AH426">
        <v>1555</v>
      </c>
      <c r="AJ426">
        <v>2.97</v>
      </c>
    </row>
    <row r="427" spans="1:36">
      <c r="A427" s="1" t="s">
        <v>461</v>
      </c>
      <c r="B427" t="s">
        <v>1325</v>
      </c>
      <c r="C427" t="str">
        <f>HYPERLINK("https://finance.naver.com/item/coinfo.nhn?code=128820", "A128820")</f>
        <v>A128820</v>
      </c>
      <c r="D427" t="str">
        <f>HYPERLINK("http://comp.fnguide.com/SVO2/ASP/SVD_Consensus.asp?pGB=1&amp;gicode=A128820&amp;cID=&amp;MenuYn=Y&amp;ReportGB=&amp;NewMenuID=108&amp;stkGb=701", "대성산업")</f>
        <v>대성산업</v>
      </c>
      <c r="E427">
        <v>3</v>
      </c>
      <c r="F427">
        <v>3065</v>
      </c>
      <c r="G427">
        <v>0</v>
      </c>
      <c r="I427">
        <v>18927</v>
      </c>
      <c r="J427">
        <v>14969</v>
      </c>
      <c r="K427">
        <v>13844</v>
      </c>
      <c r="L427">
        <v>-517.52</v>
      </c>
      <c r="M427">
        <v>-388.38</v>
      </c>
      <c r="N427">
        <v>-351.68</v>
      </c>
      <c r="O427">
        <v>12.17</v>
      </c>
      <c r="P427" t="b">
        <v>0</v>
      </c>
      <c r="Q427">
        <v>0</v>
      </c>
      <c r="R427">
        <v>-1390</v>
      </c>
      <c r="U427" t="s">
        <v>2189</v>
      </c>
      <c r="V427" t="s">
        <v>3053</v>
      </c>
      <c r="W427">
        <v>0</v>
      </c>
      <c r="X427">
        <v>0</v>
      </c>
      <c r="Y427" t="s">
        <v>3499</v>
      </c>
      <c r="Z427">
        <v>0</v>
      </c>
      <c r="AA427">
        <v>1386</v>
      </c>
      <c r="AB427">
        <v>160614</v>
      </c>
      <c r="AC427" t="s">
        <v>4708</v>
      </c>
      <c r="AD427">
        <v>35.479999999999997</v>
      </c>
      <c r="AE427" t="s">
        <v>5572</v>
      </c>
      <c r="AF427" t="s">
        <v>6404</v>
      </c>
      <c r="AG427">
        <v>8699</v>
      </c>
      <c r="AH427">
        <v>-97</v>
      </c>
      <c r="AI427">
        <v>11830607</v>
      </c>
    </row>
    <row r="428" spans="1:36">
      <c r="A428" s="1" t="s">
        <v>462</v>
      </c>
      <c r="B428" t="s">
        <v>1326</v>
      </c>
      <c r="C428" t="str">
        <f>HYPERLINK("https://finance.naver.com/item/coinfo.nhn?code=117580", "A117580")</f>
        <v>A117580</v>
      </c>
      <c r="D428" t="str">
        <f>HYPERLINK("http://comp.fnguide.com/SVO2/ASP/SVD_Consensus.asp?pGB=1&amp;gicode=A117580&amp;cID=&amp;MenuYn=Y&amp;ReportGB=&amp;NewMenuID=108&amp;stkGb=701", "대성에너지")</f>
        <v>대성에너지</v>
      </c>
      <c r="E428">
        <v>3</v>
      </c>
      <c r="F428">
        <v>5500</v>
      </c>
      <c r="G428">
        <v>0</v>
      </c>
      <c r="H428">
        <v>11.06</v>
      </c>
      <c r="I428">
        <v>6179</v>
      </c>
      <c r="J428">
        <v>9167</v>
      </c>
      <c r="K428">
        <v>10016</v>
      </c>
      <c r="L428">
        <v>-12.34</v>
      </c>
      <c r="M428">
        <v>-66.67</v>
      </c>
      <c r="N428">
        <v>-82.11</v>
      </c>
      <c r="O428">
        <v>4.4000000000000004</v>
      </c>
      <c r="P428" t="b">
        <v>0</v>
      </c>
      <c r="Q428">
        <v>0</v>
      </c>
      <c r="R428">
        <v>474</v>
      </c>
      <c r="U428" t="s">
        <v>2190</v>
      </c>
      <c r="V428" t="s">
        <v>3054</v>
      </c>
      <c r="W428">
        <v>0</v>
      </c>
      <c r="X428">
        <v>24.5</v>
      </c>
      <c r="Y428" t="s">
        <v>3868</v>
      </c>
      <c r="Z428">
        <v>3.40648756630002</v>
      </c>
      <c r="AA428">
        <v>1513</v>
      </c>
      <c r="AB428">
        <v>32000</v>
      </c>
      <c r="AC428" t="s">
        <v>4709</v>
      </c>
      <c r="AD428">
        <v>72.73</v>
      </c>
      <c r="AE428" t="s">
        <v>5573</v>
      </c>
      <c r="AF428" t="s">
        <v>6405</v>
      </c>
      <c r="AG428">
        <v>7749</v>
      </c>
      <c r="AH428">
        <v>243</v>
      </c>
      <c r="AJ428">
        <v>4.7699999999999996</v>
      </c>
    </row>
    <row r="429" spans="1:36">
      <c r="A429" s="1" t="s">
        <v>463</v>
      </c>
      <c r="B429" t="s">
        <v>1327</v>
      </c>
      <c r="C429" t="str">
        <f>HYPERLINK("https://finance.naver.com/item/coinfo.nhn?code=003540", "A003540")</f>
        <v>A003540</v>
      </c>
      <c r="D429" t="str">
        <f>HYPERLINK("http://comp.fnguide.com/SVO2/ASP/SVD_Consensus.asp?pGB=1&amp;gicode=A003540&amp;cID=&amp;MenuYn=Y&amp;ReportGB=&amp;NewMenuID=108&amp;stkGb=701", "대신증권")</f>
        <v>대신증권</v>
      </c>
      <c r="E429">
        <v>3</v>
      </c>
      <c r="F429">
        <v>14150</v>
      </c>
      <c r="G429">
        <v>6.28</v>
      </c>
      <c r="H429">
        <v>10.95</v>
      </c>
      <c r="I429">
        <v>41103</v>
      </c>
      <c r="J429">
        <v>49644</v>
      </c>
      <c r="K429">
        <v>52071</v>
      </c>
      <c r="L429">
        <v>-190.48</v>
      </c>
      <c r="M429">
        <v>-250.84</v>
      </c>
      <c r="N429">
        <v>-268</v>
      </c>
      <c r="O429">
        <v>5.9</v>
      </c>
      <c r="P429" t="b">
        <v>0</v>
      </c>
      <c r="Q429">
        <v>1</v>
      </c>
      <c r="R429">
        <v>1092</v>
      </c>
      <c r="S429">
        <v>1406</v>
      </c>
      <c r="T429">
        <v>28.8</v>
      </c>
      <c r="U429" t="s">
        <v>2191</v>
      </c>
      <c r="V429" t="s">
        <v>3055</v>
      </c>
      <c r="W429">
        <v>1.742499271005449</v>
      </c>
      <c r="X429">
        <v>6.1</v>
      </c>
      <c r="Y429" t="s">
        <v>3869</v>
      </c>
      <c r="Z429">
        <v>5.7540837999183081</v>
      </c>
      <c r="AA429">
        <v>7184</v>
      </c>
      <c r="AB429">
        <v>230470</v>
      </c>
      <c r="AC429" t="s">
        <v>4710</v>
      </c>
      <c r="AD429">
        <v>13.75</v>
      </c>
      <c r="AE429" t="s">
        <v>5574</v>
      </c>
      <c r="AF429" t="s">
        <v>6406</v>
      </c>
      <c r="AG429">
        <v>4775</v>
      </c>
      <c r="AH429">
        <v>997</v>
      </c>
      <c r="AI429">
        <v>14886491</v>
      </c>
      <c r="AJ429">
        <v>8.3699999999999992</v>
      </c>
    </row>
    <row r="430" spans="1:36">
      <c r="A430" s="1" t="s">
        <v>464</v>
      </c>
      <c r="B430" t="s">
        <v>1328</v>
      </c>
      <c r="C430" t="str">
        <f>HYPERLINK("https://finance.naver.com/item/coinfo.nhn?code=047040", "A047040")</f>
        <v>A047040</v>
      </c>
      <c r="D430" t="str">
        <f>HYPERLINK("http://comp.fnguide.com/SVO2/ASP/SVD_Consensus.asp?pGB=1&amp;gicode=A047040&amp;cID=&amp;MenuYn=Y&amp;ReportGB=&amp;NewMenuID=108&amp;stkGb=701", "대우건설")</f>
        <v>대우건설</v>
      </c>
      <c r="E430">
        <v>3</v>
      </c>
      <c r="F430">
        <v>4645</v>
      </c>
      <c r="G430">
        <v>-5.36</v>
      </c>
      <c r="H430">
        <v>9.44</v>
      </c>
      <c r="I430">
        <v>8154</v>
      </c>
      <c r="J430">
        <v>6848</v>
      </c>
      <c r="K430">
        <v>6477</v>
      </c>
      <c r="L430">
        <v>-75.55</v>
      </c>
      <c r="M430">
        <v>-47.44</v>
      </c>
      <c r="N430">
        <v>-39.450000000000003</v>
      </c>
      <c r="O430">
        <v>10.82</v>
      </c>
      <c r="P430" t="b">
        <v>0</v>
      </c>
      <c r="Q430">
        <v>1</v>
      </c>
      <c r="R430">
        <v>502</v>
      </c>
      <c r="S430">
        <v>591</v>
      </c>
      <c r="T430">
        <v>17.7</v>
      </c>
      <c r="U430" t="s">
        <v>2192</v>
      </c>
      <c r="V430" t="s">
        <v>3056</v>
      </c>
      <c r="W430">
        <v>-1.762063512407597</v>
      </c>
      <c r="X430">
        <v>-8.6</v>
      </c>
      <c r="Y430" t="s">
        <v>3870</v>
      </c>
      <c r="Z430">
        <v>-9.703868940002792</v>
      </c>
      <c r="AA430">
        <v>19306</v>
      </c>
      <c r="AB430">
        <v>44159783</v>
      </c>
      <c r="AC430" t="s">
        <v>4711</v>
      </c>
      <c r="AD430">
        <v>50.76</v>
      </c>
      <c r="AE430" t="s">
        <v>5575</v>
      </c>
      <c r="AF430" t="s">
        <v>6407</v>
      </c>
      <c r="AG430">
        <v>86519</v>
      </c>
      <c r="AH430">
        <v>3641</v>
      </c>
      <c r="AI430">
        <v>4736918</v>
      </c>
    </row>
    <row r="431" spans="1:36">
      <c r="A431" s="1" t="s">
        <v>465</v>
      </c>
      <c r="B431" t="s">
        <v>1329</v>
      </c>
      <c r="C431" t="str">
        <f>HYPERLINK("https://finance.naver.com/item/coinfo.nhn?code=000430", "A000430")</f>
        <v>A000430</v>
      </c>
      <c r="D431" t="str">
        <f>HYPERLINK("http://comp.fnguide.com/SVO2/ASP/SVD_Consensus.asp?pGB=1&amp;gicode=A000430&amp;cID=&amp;MenuYn=Y&amp;ReportGB=&amp;NewMenuID=108&amp;stkGb=701", "대원강업")</f>
        <v>대원강업</v>
      </c>
      <c r="E431">
        <v>3</v>
      </c>
      <c r="F431">
        <v>3770</v>
      </c>
      <c r="G431">
        <v>0</v>
      </c>
      <c r="H431">
        <v>13.13</v>
      </c>
      <c r="I431">
        <v>3659</v>
      </c>
      <c r="J431">
        <v>6116</v>
      </c>
      <c r="K431">
        <v>6815</v>
      </c>
      <c r="L431">
        <v>2.95</v>
      </c>
      <c r="M431">
        <v>-62.24</v>
      </c>
      <c r="N431">
        <v>-80.77</v>
      </c>
      <c r="O431">
        <v>3.75</v>
      </c>
      <c r="P431" t="b">
        <v>1</v>
      </c>
      <c r="Q431">
        <v>0</v>
      </c>
      <c r="R431">
        <v>258</v>
      </c>
      <c r="U431" t="s">
        <v>2193</v>
      </c>
      <c r="V431" t="s">
        <v>3057</v>
      </c>
      <c r="W431">
        <v>0</v>
      </c>
      <c r="X431">
        <v>0</v>
      </c>
      <c r="Y431" t="s">
        <v>3871</v>
      </c>
      <c r="Z431">
        <v>-4.0386952643932883</v>
      </c>
      <c r="AA431">
        <v>2337</v>
      </c>
      <c r="AB431">
        <v>72716</v>
      </c>
      <c r="AC431" t="s">
        <v>4712</v>
      </c>
      <c r="AD431">
        <v>37.19</v>
      </c>
      <c r="AE431" t="s">
        <v>5576</v>
      </c>
      <c r="AF431" t="s">
        <v>6408</v>
      </c>
      <c r="AG431">
        <v>9602</v>
      </c>
      <c r="AH431">
        <v>269</v>
      </c>
      <c r="AJ431">
        <v>3.39</v>
      </c>
    </row>
    <row r="432" spans="1:36">
      <c r="A432" s="1" t="s">
        <v>466</v>
      </c>
      <c r="B432" t="s">
        <v>1330</v>
      </c>
      <c r="C432" t="str">
        <f>HYPERLINK("https://finance.naver.com/item/coinfo.nhn?code=003830", "A003830")</f>
        <v>A003830</v>
      </c>
      <c r="D432" t="str">
        <f>HYPERLINK("http://comp.fnguide.com/SVO2/ASP/SVD_Consensus.asp?pGB=1&amp;gicode=A003830&amp;cID=&amp;MenuYn=Y&amp;ReportGB=&amp;NewMenuID=108&amp;stkGb=701", "대한화섬")</f>
        <v>대한화섬</v>
      </c>
      <c r="E432">
        <v>3</v>
      </c>
      <c r="F432">
        <v>101000</v>
      </c>
      <c r="G432">
        <v>0</v>
      </c>
      <c r="H432">
        <v>5.28</v>
      </c>
      <c r="I432">
        <v>359625</v>
      </c>
      <c r="J432">
        <v>428952</v>
      </c>
      <c r="K432">
        <v>448653</v>
      </c>
      <c r="L432">
        <v>-256.06</v>
      </c>
      <c r="M432">
        <v>-324.7</v>
      </c>
      <c r="N432">
        <v>-344.21</v>
      </c>
      <c r="O432">
        <v>6.01</v>
      </c>
      <c r="P432" t="b">
        <v>1</v>
      </c>
      <c r="Q432">
        <v>0</v>
      </c>
      <c r="R432">
        <v>16958</v>
      </c>
      <c r="U432" t="s">
        <v>2194</v>
      </c>
      <c r="V432" t="s">
        <v>3058</v>
      </c>
      <c r="W432">
        <v>0</v>
      </c>
      <c r="X432">
        <v>-15.8</v>
      </c>
      <c r="Y432" t="s">
        <v>3872</v>
      </c>
      <c r="Z432">
        <v>5.4549091300193808</v>
      </c>
      <c r="AA432">
        <v>1341</v>
      </c>
      <c r="AB432">
        <v>1692</v>
      </c>
      <c r="AC432" t="s">
        <v>4713</v>
      </c>
      <c r="AD432">
        <v>61</v>
      </c>
      <c r="AE432" t="s">
        <v>5577</v>
      </c>
      <c r="AF432" t="s">
        <v>6409</v>
      </c>
      <c r="AG432">
        <v>1142</v>
      </c>
      <c r="AH432">
        <v>49</v>
      </c>
      <c r="AI432">
        <v>204695</v>
      </c>
      <c r="AJ432">
        <v>0.46</v>
      </c>
    </row>
    <row r="433" spans="1:36">
      <c r="A433" s="1" t="s">
        <v>467</v>
      </c>
      <c r="B433" t="s">
        <v>1331</v>
      </c>
      <c r="C433" t="str">
        <f>HYPERLINK("https://finance.naver.com/item/coinfo.nhn?code=024890", "A024890")</f>
        <v>A024890</v>
      </c>
      <c r="D433" t="str">
        <f>HYPERLINK("http://comp.fnguide.com/SVO2/ASP/SVD_Consensus.asp?pGB=1&amp;gicode=A024890&amp;cID=&amp;MenuYn=Y&amp;ReportGB=&amp;NewMenuID=108&amp;stkGb=701", "대원화성")</f>
        <v>대원화성</v>
      </c>
      <c r="E433">
        <v>3</v>
      </c>
      <c r="F433">
        <v>1740</v>
      </c>
      <c r="G433">
        <v>0</v>
      </c>
      <c r="H433">
        <v>13.67</v>
      </c>
      <c r="I433">
        <v>1064</v>
      </c>
      <c r="J433">
        <v>1591</v>
      </c>
      <c r="K433">
        <v>1741</v>
      </c>
      <c r="L433">
        <v>38.840000000000003</v>
      </c>
      <c r="M433">
        <v>8.5500000000000007</v>
      </c>
      <c r="N433">
        <v>-0.06</v>
      </c>
      <c r="O433">
        <v>4.3499999999999996</v>
      </c>
      <c r="P433" t="b">
        <v>1</v>
      </c>
      <c r="Q433">
        <v>0</v>
      </c>
      <c r="R433">
        <v>104</v>
      </c>
      <c r="U433" t="s">
        <v>2195</v>
      </c>
      <c r="V433" t="s">
        <v>3059</v>
      </c>
      <c r="W433">
        <v>0</v>
      </c>
      <c r="X433">
        <v>-94.7</v>
      </c>
      <c r="Y433" t="s">
        <v>3873</v>
      </c>
      <c r="Z433">
        <v>-54.572368426009547</v>
      </c>
      <c r="AA433">
        <v>718</v>
      </c>
      <c r="AB433">
        <v>427687</v>
      </c>
      <c r="AC433" t="s">
        <v>4714</v>
      </c>
      <c r="AD433">
        <v>47.2</v>
      </c>
      <c r="AE433" t="s">
        <v>5578</v>
      </c>
      <c r="AF433" t="s">
        <v>6410</v>
      </c>
      <c r="AG433">
        <v>1331</v>
      </c>
      <c r="AH433">
        <v>67</v>
      </c>
      <c r="AI433">
        <v>326560</v>
      </c>
      <c r="AJ433">
        <v>0.7</v>
      </c>
    </row>
    <row r="434" spans="1:36">
      <c r="A434" s="1" t="s">
        <v>468</v>
      </c>
      <c r="B434" t="s">
        <v>1332</v>
      </c>
      <c r="C434" t="str">
        <f>HYPERLINK("https://finance.naver.com/item/coinfo.nhn?code=002880", "A002880")</f>
        <v>A002880</v>
      </c>
      <c r="D434" t="str">
        <f>HYPERLINK("http://comp.fnguide.com/SVO2/ASP/SVD_Consensus.asp?pGB=1&amp;gicode=A002880&amp;cID=&amp;MenuYn=Y&amp;ReportGB=&amp;NewMenuID=108&amp;stkGb=701", "대유에이텍")</f>
        <v>대유에이텍</v>
      </c>
      <c r="E434">
        <v>3</v>
      </c>
      <c r="F434">
        <v>845</v>
      </c>
      <c r="G434">
        <v>0</v>
      </c>
      <c r="H434">
        <v>9.67</v>
      </c>
      <c r="I434">
        <v>683</v>
      </c>
      <c r="J434">
        <v>894</v>
      </c>
      <c r="K434">
        <v>955</v>
      </c>
      <c r="L434">
        <v>19.18</v>
      </c>
      <c r="M434">
        <v>-5.85</v>
      </c>
      <c r="N434">
        <v>-12.96</v>
      </c>
      <c r="O434">
        <v>5.24</v>
      </c>
      <c r="P434" t="b">
        <v>1</v>
      </c>
      <c r="Q434">
        <v>0</v>
      </c>
      <c r="R434">
        <v>93</v>
      </c>
      <c r="U434" t="s">
        <v>2196</v>
      </c>
      <c r="V434" t="s">
        <v>3060</v>
      </c>
      <c r="W434">
        <v>0</v>
      </c>
      <c r="X434">
        <v>0</v>
      </c>
      <c r="Y434" t="s">
        <v>3499</v>
      </c>
      <c r="Z434">
        <v>0</v>
      </c>
      <c r="AA434">
        <v>903</v>
      </c>
      <c r="AB434">
        <v>162606</v>
      </c>
      <c r="AC434" t="s">
        <v>4715</v>
      </c>
      <c r="AD434">
        <v>55.35</v>
      </c>
      <c r="AE434" t="s">
        <v>5579</v>
      </c>
      <c r="AF434" t="s">
        <v>6411</v>
      </c>
      <c r="AG434">
        <v>12850</v>
      </c>
      <c r="AH434">
        <v>313</v>
      </c>
      <c r="AI434">
        <v>77</v>
      </c>
    </row>
    <row r="435" spans="1:36">
      <c r="A435" s="1" t="s">
        <v>469</v>
      </c>
      <c r="B435" t="s">
        <v>1333</v>
      </c>
      <c r="C435" t="str">
        <f>HYPERLINK("https://finance.naver.com/item/coinfo.nhn?code=000300", "A000300")</f>
        <v>A000300</v>
      </c>
      <c r="D435" t="str">
        <f>HYPERLINK("http://comp.fnguide.com/SVO2/ASP/SVD_Consensus.asp?pGB=1&amp;gicode=A000300&amp;cID=&amp;MenuYn=Y&amp;ReportGB=&amp;NewMenuID=108&amp;stkGb=701", "대유플러스")</f>
        <v>대유플러스</v>
      </c>
      <c r="E435">
        <v>3</v>
      </c>
      <c r="F435">
        <v>773</v>
      </c>
      <c r="G435">
        <v>0</v>
      </c>
      <c r="H435">
        <v>7.29</v>
      </c>
      <c r="I435">
        <v>776</v>
      </c>
      <c r="J435">
        <v>839</v>
      </c>
      <c r="K435">
        <v>857</v>
      </c>
      <c r="L435">
        <v>-0.43</v>
      </c>
      <c r="M435">
        <v>-8.59</v>
      </c>
      <c r="N435">
        <v>-10.91</v>
      </c>
      <c r="O435">
        <v>7</v>
      </c>
      <c r="P435" t="b">
        <v>1</v>
      </c>
      <c r="Q435">
        <v>0</v>
      </c>
      <c r="R435">
        <v>106</v>
      </c>
      <c r="U435" t="s">
        <v>2197</v>
      </c>
      <c r="V435" t="s">
        <v>3061</v>
      </c>
      <c r="W435">
        <v>0</v>
      </c>
      <c r="X435">
        <v>0</v>
      </c>
      <c r="Y435" t="s">
        <v>3874</v>
      </c>
      <c r="Z435">
        <v>298.10000000000002</v>
      </c>
      <c r="AA435">
        <v>902</v>
      </c>
      <c r="AB435">
        <v>491573</v>
      </c>
      <c r="AC435" t="s">
        <v>4716</v>
      </c>
      <c r="AD435">
        <v>46</v>
      </c>
      <c r="AE435" t="s">
        <v>5580</v>
      </c>
      <c r="AF435" t="s">
        <v>6412</v>
      </c>
      <c r="AG435">
        <v>5300</v>
      </c>
      <c r="AH435">
        <v>396</v>
      </c>
      <c r="AI435">
        <v>3057</v>
      </c>
    </row>
    <row r="436" spans="1:36">
      <c r="A436" s="1" t="s">
        <v>470</v>
      </c>
      <c r="B436" t="s">
        <v>1334</v>
      </c>
      <c r="C436" t="str">
        <f>HYPERLINK("https://finance.naver.com/item/coinfo.nhn?code=012800", "A012800")</f>
        <v>A012800</v>
      </c>
      <c r="D436" t="str">
        <f>HYPERLINK("http://comp.fnguide.com/SVO2/ASP/SVD_Consensus.asp?pGB=1&amp;gicode=A012800&amp;cID=&amp;MenuYn=Y&amp;ReportGB=&amp;NewMenuID=108&amp;stkGb=701", "대창")</f>
        <v>대창</v>
      </c>
      <c r="E436">
        <v>3</v>
      </c>
      <c r="F436">
        <v>1325</v>
      </c>
      <c r="G436">
        <v>0</v>
      </c>
      <c r="H436">
        <v>25.68</v>
      </c>
      <c r="I436">
        <v>1406</v>
      </c>
      <c r="J436">
        <v>2005</v>
      </c>
      <c r="K436">
        <v>2175</v>
      </c>
      <c r="L436">
        <v>-6.14</v>
      </c>
      <c r="M436">
        <v>-51.29</v>
      </c>
      <c r="N436">
        <v>-64.12</v>
      </c>
      <c r="O436">
        <v>4.6500000000000004</v>
      </c>
      <c r="P436" t="b">
        <v>0</v>
      </c>
      <c r="Q436">
        <v>0</v>
      </c>
      <c r="R436">
        <v>56</v>
      </c>
      <c r="U436" t="s">
        <v>2198</v>
      </c>
      <c r="V436" t="s">
        <v>3062</v>
      </c>
      <c r="W436">
        <v>0</v>
      </c>
      <c r="X436">
        <v>-7.3</v>
      </c>
      <c r="Y436" t="s">
        <v>3875</v>
      </c>
      <c r="Z436">
        <v>-15.489613403256429</v>
      </c>
      <c r="AA436">
        <v>1208</v>
      </c>
      <c r="AB436">
        <v>1393944</v>
      </c>
      <c r="AC436" t="s">
        <v>4717</v>
      </c>
      <c r="AD436">
        <v>32.700000000000003</v>
      </c>
      <c r="AE436" t="s">
        <v>5581</v>
      </c>
      <c r="AF436" t="s">
        <v>6413</v>
      </c>
      <c r="AG436">
        <v>8990</v>
      </c>
      <c r="AH436">
        <v>170</v>
      </c>
      <c r="AI436">
        <v>14324627</v>
      </c>
      <c r="AJ436">
        <v>0.7</v>
      </c>
    </row>
    <row r="437" spans="1:36">
      <c r="A437" s="1" t="s">
        <v>471</v>
      </c>
      <c r="B437" t="s">
        <v>1335</v>
      </c>
      <c r="C437" t="str">
        <f>HYPERLINK("https://finance.naver.com/item/coinfo.nhn?code=015230", "A015230")</f>
        <v>A015230</v>
      </c>
      <c r="D437" t="str">
        <f>HYPERLINK("http://comp.fnguide.com/SVO2/ASP/SVD_Consensus.asp?pGB=1&amp;gicode=A015230&amp;cID=&amp;MenuYn=Y&amp;ReportGB=&amp;NewMenuID=108&amp;stkGb=701", "대창단조")</f>
        <v>대창단조</v>
      </c>
      <c r="E437">
        <v>3</v>
      </c>
      <c r="F437">
        <v>7040</v>
      </c>
      <c r="G437">
        <v>0</v>
      </c>
      <c r="H437">
        <v>5.71</v>
      </c>
      <c r="I437">
        <v>13416</v>
      </c>
      <c r="J437">
        <v>13655</v>
      </c>
      <c r="K437">
        <v>13723</v>
      </c>
      <c r="L437">
        <v>-90.57</v>
      </c>
      <c r="M437">
        <v>-93.96</v>
      </c>
      <c r="N437">
        <v>-94.92</v>
      </c>
      <c r="O437">
        <v>7.71</v>
      </c>
      <c r="P437" t="b">
        <v>1</v>
      </c>
      <c r="Q437">
        <v>0</v>
      </c>
      <c r="R437">
        <v>1011</v>
      </c>
      <c r="U437" t="s">
        <v>2199</v>
      </c>
      <c r="V437" t="s">
        <v>3063</v>
      </c>
      <c r="W437">
        <v>0</v>
      </c>
      <c r="X437">
        <v>-7.7</v>
      </c>
      <c r="Y437" t="s">
        <v>3876</v>
      </c>
      <c r="Z437">
        <v>-3.2518888168259101</v>
      </c>
      <c r="AA437">
        <v>1006</v>
      </c>
      <c r="AB437">
        <v>143756</v>
      </c>
      <c r="AC437" t="s">
        <v>4718</v>
      </c>
      <c r="AD437">
        <v>44.07</v>
      </c>
      <c r="AE437" t="s">
        <v>5582</v>
      </c>
      <c r="AF437" t="s">
        <v>6414</v>
      </c>
      <c r="AG437">
        <v>2773</v>
      </c>
      <c r="AH437">
        <v>187</v>
      </c>
      <c r="AI437">
        <v>1124618</v>
      </c>
      <c r="AJ437">
        <v>3.81</v>
      </c>
    </row>
    <row r="438" spans="1:36">
      <c r="A438" s="1" t="s">
        <v>472</v>
      </c>
      <c r="B438" t="s">
        <v>1336</v>
      </c>
      <c r="C438" t="str">
        <f>HYPERLINK("https://finance.naver.com/item/coinfo.nhn?code=006650", "A006650")</f>
        <v>A006650</v>
      </c>
      <c r="D438" t="str">
        <f>HYPERLINK("http://comp.fnguide.com/SVO2/ASP/SVD_Consensus.asp?pGB=1&amp;gicode=A006650&amp;cID=&amp;MenuYn=Y&amp;ReportGB=&amp;NewMenuID=108&amp;stkGb=701", "대한유화")</f>
        <v>대한유화</v>
      </c>
      <c r="E438">
        <v>3</v>
      </c>
      <c r="F438">
        <v>220000</v>
      </c>
      <c r="G438">
        <v>-0.51</v>
      </c>
      <c r="H438">
        <v>7.18</v>
      </c>
      <c r="I438">
        <v>400780</v>
      </c>
      <c r="J438">
        <v>332912</v>
      </c>
      <c r="K438">
        <v>313625</v>
      </c>
      <c r="L438">
        <v>-82.17</v>
      </c>
      <c r="M438">
        <v>-51.32</v>
      </c>
      <c r="N438">
        <v>-42.56</v>
      </c>
      <c r="O438">
        <v>11.05</v>
      </c>
      <c r="P438" t="b">
        <v>1</v>
      </c>
      <c r="Q438">
        <v>1</v>
      </c>
      <c r="R438">
        <v>16360</v>
      </c>
      <c r="S438">
        <v>20964</v>
      </c>
      <c r="T438">
        <v>28.1</v>
      </c>
      <c r="U438" t="s">
        <v>2200</v>
      </c>
      <c r="V438" t="s">
        <v>3064</v>
      </c>
      <c r="W438">
        <v>-14.0299070550158</v>
      </c>
      <c r="X438">
        <v>-18.399999999999999</v>
      </c>
      <c r="Y438" t="s">
        <v>3877</v>
      </c>
      <c r="Z438">
        <v>-15.443390695386601</v>
      </c>
      <c r="AA438">
        <v>14300</v>
      </c>
      <c r="AB438">
        <v>98537</v>
      </c>
      <c r="AC438" t="s">
        <v>4719</v>
      </c>
      <c r="AD438">
        <v>39.869999999999997</v>
      </c>
      <c r="AE438" t="s">
        <v>5583</v>
      </c>
      <c r="AF438" t="s">
        <v>6415</v>
      </c>
      <c r="AG438">
        <v>20743</v>
      </c>
      <c r="AH438">
        <v>1138</v>
      </c>
      <c r="AI438">
        <v>323900</v>
      </c>
      <c r="AJ438">
        <v>2.13</v>
      </c>
    </row>
    <row r="439" spans="1:36">
      <c r="A439" s="1" t="s">
        <v>473</v>
      </c>
      <c r="B439" t="s">
        <v>1337</v>
      </c>
      <c r="C439" t="str">
        <f>HYPERLINK("https://finance.naver.com/item/coinfo.nhn?code=084010", "A084010")</f>
        <v>A084010</v>
      </c>
      <c r="D439" t="str">
        <f>HYPERLINK("http://comp.fnguide.com/SVO2/ASP/SVD_Consensus.asp?pGB=1&amp;gicode=A084010&amp;cID=&amp;MenuYn=Y&amp;ReportGB=&amp;NewMenuID=108&amp;stkGb=701", "대한제강")</f>
        <v>대한제강</v>
      </c>
      <c r="E439">
        <v>3</v>
      </c>
      <c r="F439">
        <v>10100</v>
      </c>
      <c r="G439">
        <v>0.11</v>
      </c>
      <c r="H439">
        <v>4.93</v>
      </c>
      <c r="I439">
        <v>12107</v>
      </c>
      <c r="J439">
        <v>17652</v>
      </c>
      <c r="K439">
        <v>19227</v>
      </c>
      <c r="L439">
        <v>-19.87</v>
      </c>
      <c r="M439">
        <v>-74.77</v>
      </c>
      <c r="N439">
        <v>-90.37</v>
      </c>
      <c r="O439">
        <v>4.51</v>
      </c>
      <c r="P439" t="b">
        <v>1</v>
      </c>
      <c r="Q439">
        <v>2</v>
      </c>
      <c r="R439">
        <v>1223</v>
      </c>
      <c r="S439">
        <v>3775</v>
      </c>
      <c r="T439">
        <v>208.7</v>
      </c>
      <c r="U439" t="s">
        <v>2201</v>
      </c>
      <c r="V439" t="s">
        <v>3065</v>
      </c>
      <c r="W439">
        <v>44.557744349178172</v>
      </c>
      <c r="X439">
        <v>174.7</v>
      </c>
      <c r="Y439" t="s">
        <v>3878</v>
      </c>
      <c r="Z439">
        <v>33.087132325431547</v>
      </c>
      <c r="AA439">
        <v>2489</v>
      </c>
      <c r="AB439">
        <v>135274</v>
      </c>
      <c r="AC439" t="s">
        <v>4720</v>
      </c>
      <c r="AD439">
        <v>46.35</v>
      </c>
      <c r="AE439" t="s">
        <v>5584</v>
      </c>
      <c r="AF439" t="s">
        <v>6416</v>
      </c>
      <c r="AG439">
        <v>10217</v>
      </c>
      <c r="AH439">
        <v>420</v>
      </c>
      <c r="AI439">
        <v>3073225</v>
      </c>
      <c r="AJ439">
        <v>3.32</v>
      </c>
    </row>
    <row r="440" spans="1:36">
      <c r="A440" s="1" t="s">
        <v>474</v>
      </c>
      <c r="B440" t="s">
        <v>1338</v>
      </c>
      <c r="C440" t="str">
        <f>HYPERLINK("https://finance.naver.com/item/coinfo.nhn?code=001790", "A001790")</f>
        <v>A001790</v>
      </c>
      <c r="D440" t="str">
        <f>HYPERLINK("http://comp.fnguide.com/SVO2/ASP/SVD_Consensus.asp?pGB=1&amp;gicode=A001790&amp;cID=&amp;MenuYn=Y&amp;ReportGB=&amp;NewMenuID=108&amp;stkGb=701", "대한제당")</f>
        <v>대한제당</v>
      </c>
      <c r="E440">
        <v>3</v>
      </c>
      <c r="F440">
        <v>23700</v>
      </c>
      <c r="G440">
        <v>0</v>
      </c>
      <c r="H440">
        <v>13.02</v>
      </c>
      <c r="I440">
        <v>19207</v>
      </c>
      <c r="J440">
        <v>41365</v>
      </c>
      <c r="K440">
        <v>47661</v>
      </c>
      <c r="L440">
        <v>18.96</v>
      </c>
      <c r="M440">
        <v>-74.53</v>
      </c>
      <c r="N440">
        <v>-101.1</v>
      </c>
      <c r="O440">
        <v>2.72</v>
      </c>
      <c r="P440" t="b">
        <v>1</v>
      </c>
      <c r="Q440">
        <v>0</v>
      </c>
      <c r="R440">
        <v>1533</v>
      </c>
      <c r="U440" t="s">
        <v>2202</v>
      </c>
      <c r="V440" t="s">
        <v>3066</v>
      </c>
      <c r="W440">
        <v>0</v>
      </c>
      <c r="X440">
        <v>94</v>
      </c>
      <c r="Y440" t="s">
        <v>3879</v>
      </c>
      <c r="Z440">
        <v>6.0890081453697897</v>
      </c>
      <c r="AA440">
        <v>2126</v>
      </c>
      <c r="AB440">
        <v>27087</v>
      </c>
      <c r="AC440" t="s">
        <v>4721</v>
      </c>
      <c r="AD440">
        <v>48.41</v>
      </c>
      <c r="AE440" t="s">
        <v>5585</v>
      </c>
      <c r="AF440" t="s">
        <v>6417</v>
      </c>
      <c r="AG440">
        <v>12044</v>
      </c>
      <c r="AH440">
        <v>295</v>
      </c>
      <c r="AI440">
        <v>685344</v>
      </c>
      <c r="AJ440">
        <v>3.38</v>
      </c>
    </row>
    <row r="441" spans="1:36">
      <c r="A441" s="1" t="s">
        <v>475</v>
      </c>
      <c r="B441" t="s">
        <v>1339</v>
      </c>
      <c r="C441" t="str">
        <f>HYPERLINK("https://finance.naver.com/item/coinfo.nhn?code=001130", "A001130")</f>
        <v>A001130</v>
      </c>
      <c r="D441" t="str">
        <f>HYPERLINK("http://comp.fnguide.com/SVO2/ASP/SVD_Consensus.asp?pGB=1&amp;gicode=A001130&amp;cID=&amp;MenuYn=Y&amp;ReportGB=&amp;NewMenuID=108&amp;stkGb=701", "대한제분")</f>
        <v>대한제분</v>
      </c>
      <c r="E441">
        <v>3</v>
      </c>
      <c r="F441">
        <v>154500</v>
      </c>
      <c r="G441">
        <v>0</v>
      </c>
      <c r="H441">
        <v>14.67</v>
      </c>
      <c r="I441">
        <v>274243</v>
      </c>
      <c r="J441">
        <v>387104</v>
      </c>
      <c r="K441">
        <v>419177</v>
      </c>
      <c r="L441">
        <v>-77.5</v>
      </c>
      <c r="M441">
        <v>-150.55000000000001</v>
      </c>
      <c r="N441">
        <v>-171.31</v>
      </c>
      <c r="O441">
        <v>4.71</v>
      </c>
      <c r="P441" t="b">
        <v>1</v>
      </c>
      <c r="Q441">
        <v>0</v>
      </c>
      <c r="R441">
        <v>10055</v>
      </c>
      <c r="U441" t="s">
        <v>2203</v>
      </c>
      <c r="V441" t="s">
        <v>3067</v>
      </c>
      <c r="W441">
        <v>0</v>
      </c>
      <c r="X441">
        <v>59.9</v>
      </c>
      <c r="Y441" t="s">
        <v>3880</v>
      </c>
      <c r="Z441">
        <v>-4.4847490861326111</v>
      </c>
      <c r="AA441">
        <v>2611</v>
      </c>
      <c r="AB441">
        <v>6348</v>
      </c>
      <c r="AC441" t="s">
        <v>4722</v>
      </c>
      <c r="AD441">
        <v>42.59</v>
      </c>
      <c r="AE441" t="s">
        <v>5586</v>
      </c>
      <c r="AF441" t="s">
        <v>6418</v>
      </c>
      <c r="AG441">
        <v>9339</v>
      </c>
      <c r="AH441">
        <v>235</v>
      </c>
      <c r="AI441">
        <v>44776</v>
      </c>
      <c r="AJ441">
        <v>1.36</v>
      </c>
    </row>
    <row r="442" spans="1:36">
      <c r="A442" s="1" t="s">
        <v>476</v>
      </c>
      <c r="B442" t="s">
        <v>1340</v>
      </c>
      <c r="C442" t="str">
        <f>HYPERLINK("https://finance.naver.com/item/coinfo.nhn?code=005880", "A005880")</f>
        <v>A005880</v>
      </c>
      <c r="D442" t="str">
        <f>HYPERLINK("http://comp.fnguide.com/SVO2/ASP/SVD_Consensus.asp?pGB=1&amp;gicode=A005880&amp;cID=&amp;MenuYn=Y&amp;ReportGB=&amp;NewMenuID=108&amp;stkGb=701", "대한해운")</f>
        <v>대한해운</v>
      </c>
      <c r="E442">
        <v>3</v>
      </c>
      <c r="F442">
        <v>2950</v>
      </c>
      <c r="G442">
        <v>-0.14000000000000001</v>
      </c>
      <c r="H442">
        <v>6.21</v>
      </c>
      <c r="I442">
        <v>5572</v>
      </c>
      <c r="J442">
        <v>4334</v>
      </c>
      <c r="K442">
        <v>3982</v>
      </c>
      <c r="L442">
        <v>-88.88</v>
      </c>
      <c r="M442">
        <v>-46.92</v>
      </c>
      <c r="N442">
        <v>-35</v>
      </c>
      <c r="O442">
        <v>12.59</v>
      </c>
      <c r="P442" t="b">
        <v>0</v>
      </c>
      <c r="Q442">
        <v>0</v>
      </c>
      <c r="R442">
        <v>371</v>
      </c>
      <c r="S442">
        <v>79</v>
      </c>
      <c r="T442">
        <v>-78.7</v>
      </c>
      <c r="U442" t="s">
        <v>2204</v>
      </c>
      <c r="V442" t="s">
        <v>3068</v>
      </c>
      <c r="W442">
        <v>-45.708846307476982</v>
      </c>
      <c r="X442">
        <v>-96.3</v>
      </c>
      <c r="Y442" t="s">
        <v>3881</v>
      </c>
      <c r="Z442">
        <v>-38.771752573049902</v>
      </c>
      <c r="AA442">
        <v>7206</v>
      </c>
      <c r="AB442">
        <v>6942949</v>
      </c>
      <c r="AC442" t="s">
        <v>4723</v>
      </c>
      <c r="AD442">
        <v>53.53</v>
      </c>
      <c r="AE442" t="s">
        <v>5587</v>
      </c>
      <c r="AF442" t="s">
        <v>6419</v>
      </c>
      <c r="AG442">
        <v>10057</v>
      </c>
      <c r="AH442">
        <v>1288</v>
      </c>
      <c r="AI442">
        <v>8386070</v>
      </c>
    </row>
    <row r="443" spans="1:36">
      <c r="A443" s="1" t="s">
        <v>477</v>
      </c>
      <c r="B443" t="s">
        <v>1341</v>
      </c>
      <c r="C443" t="str">
        <f>HYPERLINK("https://finance.naver.com/item/coinfo.nhn?code=092200", "A092200")</f>
        <v>A092200</v>
      </c>
      <c r="D443" t="str">
        <f>HYPERLINK("http://comp.fnguide.com/SVO2/ASP/SVD_Consensus.asp?pGB=1&amp;gicode=A092200&amp;cID=&amp;MenuYn=Y&amp;ReportGB=&amp;NewMenuID=108&amp;stkGb=701", "디아이씨")</f>
        <v>디아이씨</v>
      </c>
      <c r="E443">
        <v>3</v>
      </c>
      <c r="F443">
        <v>2710</v>
      </c>
      <c r="G443">
        <v>0</v>
      </c>
      <c r="I443">
        <v>0</v>
      </c>
      <c r="J443">
        <v>2396</v>
      </c>
      <c r="K443">
        <v>3077</v>
      </c>
      <c r="L443">
        <v>100</v>
      </c>
      <c r="M443">
        <v>11.58</v>
      </c>
      <c r="N443">
        <v>-13.54</v>
      </c>
      <c r="O443">
        <v>0</v>
      </c>
      <c r="P443" t="b">
        <v>0</v>
      </c>
      <c r="Q443">
        <v>0</v>
      </c>
      <c r="R443">
        <v>-1675</v>
      </c>
      <c r="U443" t="s">
        <v>2205</v>
      </c>
      <c r="V443" t="s">
        <v>3069</v>
      </c>
      <c r="W443">
        <v>0</v>
      </c>
      <c r="X443">
        <v>0</v>
      </c>
      <c r="Y443" t="s">
        <v>3882</v>
      </c>
      <c r="Z443">
        <v>-57.100000000000009</v>
      </c>
      <c r="AA443">
        <v>1054</v>
      </c>
      <c r="AB443">
        <v>6030146</v>
      </c>
      <c r="AC443" t="s">
        <v>4724</v>
      </c>
      <c r="AD443">
        <v>39.659999999999997</v>
      </c>
      <c r="AE443" t="s">
        <v>5588</v>
      </c>
      <c r="AF443" t="s">
        <v>6021</v>
      </c>
      <c r="AG443">
        <v>5378</v>
      </c>
      <c r="AH443">
        <v>-320</v>
      </c>
      <c r="AI443">
        <v>142694</v>
      </c>
    </row>
    <row r="444" spans="1:36">
      <c r="A444" s="1" t="s">
        <v>478</v>
      </c>
      <c r="B444" t="s">
        <v>1342</v>
      </c>
      <c r="C444" t="str">
        <f>HYPERLINK("https://finance.naver.com/item/coinfo.nhn?code=210540", "A210540")</f>
        <v>A210540</v>
      </c>
      <c r="D444" t="str">
        <f>HYPERLINK("http://comp.fnguide.com/SVO2/ASP/SVD_Consensus.asp?pGB=1&amp;gicode=A210540&amp;cID=&amp;MenuYn=Y&amp;ReportGB=&amp;NewMenuID=108&amp;stkGb=701", "디와이파워")</f>
        <v>디와이파워</v>
      </c>
      <c r="E444">
        <v>3</v>
      </c>
      <c r="F444">
        <v>11900</v>
      </c>
      <c r="G444">
        <v>0</v>
      </c>
      <c r="H444">
        <v>5.84</v>
      </c>
      <c r="I444">
        <v>31593</v>
      </c>
      <c r="J444">
        <v>21689</v>
      </c>
      <c r="K444">
        <v>18875</v>
      </c>
      <c r="L444">
        <v>-165.49</v>
      </c>
      <c r="M444">
        <v>-82.26</v>
      </c>
      <c r="N444">
        <v>-58.61</v>
      </c>
      <c r="O444">
        <v>16.579999999999998</v>
      </c>
      <c r="P444" t="b">
        <v>1</v>
      </c>
      <c r="Q444">
        <v>0</v>
      </c>
      <c r="R444">
        <v>1728</v>
      </c>
      <c r="U444" t="s">
        <v>2206</v>
      </c>
      <c r="V444" t="s">
        <v>3070</v>
      </c>
      <c r="W444">
        <v>0</v>
      </c>
      <c r="X444">
        <v>-7.8</v>
      </c>
      <c r="Y444" t="s">
        <v>3883</v>
      </c>
      <c r="Z444">
        <v>59.899098696867902</v>
      </c>
      <c r="AA444">
        <v>1314</v>
      </c>
      <c r="AB444">
        <v>185246</v>
      </c>
      <c r="AC444" t="s">
        <v>4725</v>
      </c>
      <c r="AD444">
        <v>38.46</v>
      </c>
      <c r="AE444" t="s">
        <v>5589</v>
      </c>
      <c r="AF444" t="s">
        <v>6420</v>
      </c>
      <c r="AG444">
        <v>3435</v>
      </c>
      <c r="AH444">
        <v>259</v>
      </c>
      <c r="AI444">
        <v>5857</v>
      </c>
      <c r="AJ444">
        <v>1.98</v>
      </c>
    </row>
    <row r="445" spans="1:36">
      <c r="A445" s="1" t="s">
        <v>479</v>
      </c>
      <c r="B445" t="s">
        <v>1343</v>
      </c>
      <c r="C445" t="str">
        <f>HYPERLINK("https://finance.naver.com/item/coinfo.nhn?code=002450", "A002450")</f>
        <v>A002450</v>
      </c>
      <c r="D445" t="str">
        <f>HYPERLINK("http://comp.fnguide.com/SVO2/ASP/SVD_Consensus.asp?pGB=1&amp;gicode=A002450&amp;cID=&amp;MenuYn=Y&amp;ReportGB=&amp;NewMenuID=108&amp;stkGb=701", "삼익악기")</f>
        <v>삼익악기</v>
      </c>
      <c r="E445">
        <v>3</v>
      </c>
      <c r="F445">
        <v>1470</v>
      </c>
      <c r="G445">
        <v>0</v>
      </c>
      <c r="H445">
        <v>12.3</v>
      </c>
      <c r="I445">
        <v>1792</v>
      </c>
      <c r="J445">
        <v>2329</v>
      </c>
      <c r="K445">
        <v>2482</v>
      </c>
      <c r="L445">
        <v>-21.89</v>
      </c>
      <c r="M445">
        <v>-58.46</v>
      </c>
      <c r="N445">
        <v>-68.849999999999994</v>
      </c>
      <c r="O445">
        <v>5.3</v>
      </c>
      <c r="P445" t="b">
        <v>1</v>
      </c>
      <c r="Q445">
        <v>0</v>
      </c>
      <c r="R445">
        <v>151</v>
      </c>
      <c r="U445" t="s">
        <v>2207</v>
      </c>
      <c r="V445" t="s">
        <v>3071</v>
      </c>
      <c r="W445">
        <v>0</v>
      </c>
      <c r="X445">
        <v>-72.3</v>
      </c>
      <c r="Y445" t="s">
        <v>3884</v>
      </c>
      <c r="Z445">
        <v>-40.692836524429573</v>
      </c>
      <c r="AA445">
        <v>1331</v>
      </c>
      <c r="AB445">
        <v>332325</v>
      </c>
      <c r="AC445" t="s">
        <v>4726</v>
      </c>
      <c r="AD445">
        <v>40.33</v>
      </c>
      <c r="AE445" t="s">
        <v>5590</v>
      </c>
      <c r="AF445" t="s">
        <v>6421</v>
      </c>
      <c r="AG445">
        <v>2654</v>
      </c>
      <c r="AH445">
        <v>277</v>
      </c>
      <c r="AI445">
        <v>7000000</v>
      </c>
      <c r="AJ445">
        <v>2.7</v>
      </c>
    </row>
    <row r="446" spans="1:36">
      <c r="A446" s="1" t="s">
        <v>480</v>
      </c>
      <c r="B446" t="s">
        <v>1344</v>
      </c>
      <c r="C446" t="str">
        <f>HYPERLINK("https://finance.naver.com/item/coinfo.nhn?code=014710", "A014710")</f>
        <v>A014710</v>
      </c>
      <c r="D446" t="str">
        <f>HYPERLINK("http://comp.fnguide.com/SVO2/ASP/SVD_Consensus.asp?pGB=1&amp;gicode=A014710&amp;cID=&amp;MenuYn=Y&amp;ReportGB=&amp;NewMenuID=108&amp;stkGb=701", "사조씨푸드")</f>
        <v>사조씨푸드</v>
      </c>
      <c r="E446">
        <v>3</v>
      </c>
      <c r="F446">
        <v>5890</v>
      </c>
      <c r="G446">
        <v>0</v>
      </c>
      <c r="I446">
        <v>5382</v>
      </c>
      <c r="J446">
        <v>9283</v>
      </c>
      <c r="K446">
        <v>10391</v>
      </c>
      <c r="L446">
        <v>8.6199999999999992</v>
      </c>
      <c r="M446">
        <v>-57.6</v>
      </c>
      <c r="N446">
        <v>-76.42</v>
      </c>
      <c r="O446">
        <v>3.6</v>
      </c>
      <c r="P446" t="b">
        <v>0</v>
      </c>
      <c r="Q446">
        <v>0</v>
      </c>
      <c r="R446">
        <v>-328</v>
      </c>
      <c r="U446" t="s">
        <v>2208</v>
      </c>
      <c r="V446" t="s">
        <v>3072</v>
      </c>
      <c r="W446">
        <v>0</v>
      </c>
      <c r="X446">
        <v>19.5</v>
      </c>
      <c r="Y446" t="s">
        <v>3885</v>
      </c>
      <c r="Z446">
        <v>25.708019439866359</v>
      </c>
      <c r="AA446">
        <v>1014</v>
      </c>
      <c r="AB446">
        <v>230197</v>
      </c>
      <c r="AC446" t="s">
        <v>4727</v>
      </c>
      <c r="AD446">
        <v>56.3</v>
      </c>
      <c r="AE446" t="s">
        <v>5591</v>
      </c>
      <c r="AF446" t="s">
        <v>6422</v>
      </c>
      <c r="AG446">
        <v>3489</v>
      </c>
      <c r="AH446">
        <v>97</v>
      </c>
    </row>
    <row r="447" spans="1:36">
      <c r="A447" s="1" t="s">
        <v>481</v>
      </c>
      <c r="B447" t="s">
        <v>1345</v>
      </c>
      <c r="C447" t="str">
        <f>HYPERLINK("https://finance.naver.com/item/coinfo.nhn?code=104700", "A104700")</f>
        <v>A104700</v>
      </c>
      <c r="D447" t="str">
        <f>HYPERLINK("http://comp.fnguide.com/SVO2/ASP/SVD_Consensus.asp?pGB=1&amp;gicode=A104700&amp;cID=&amp;MenuYn=Y&amp;ReportGB=&amp;NewMenuID=108&amp;stkGb=701", "한국철강")</f>
        <v>한국철강</v>
      </c>
      <c r="E447">
        <v>3</v>
      </c>
      <c r="F447">
        <v>6550</v>
      </c>
      <c r="G447">
        <v>0</v>
      </c>
      <c r="H447">
        <v>11.41</v>
      </c>
      <c r="I447">
        <v>3808</v>
      </c>
      <c r="J447">
        <v>11134</v>
      </c>
      <c r="K447">
        <v>13216</v>
      </c>
      <c r="L447">
        <v>41.86</v>
      </c>
      <c r="M447">
        <v>-69.98</v>
      </c>
      <c r="N447">
        <v>-101.76</v>
      </c>
      <c r="O447">
        <v>1.89</v>
      </c>
      <c r="P447" t="b">
        <v>1</v>
      </c>
      <c r="Q447">
        <v>0</v>
      </c>
      <c r="R447">
        <v>414</v>
      </c>
      <c r="U447" t="s">
        <v>2209</v>
      </c>
      <c r="V447" t="s">
        <v>3073</v>
      </c>
      <c r="W447">
        <v>0</v>
      </c>
      <c r="X447">
        <v>63</v>
      </c>
      <c r="Y447" t="s">
        <v>3886</v>
      </c>
      <c r="Z447">
        <v>30.42208214993196</v>
      </c>
      <c r="AA447">
        <v>3016</v>
      </c>
      <c r="AB447">
        <v>138824</v>
      </c>
      <c r="AC447" t="s">
        <v>4728</v>
      </c>
      <c r="AD447">
        <v>52.66</v>
      </c>
      <c r="AE447" t="s">
        <v>5592</v>
      </c>
      <c r="AF447" t="s">
        <v>6423</v>
      </c>
      <c r="AG447">
        <v>7191</v>
      </c>
      <c r="AH447">
        <v>122</v>
      </c>
      <c r="AI447">
        <v>697202</v>
      </c>
      <c r="AJ447">
        <v>4.2300000000000004</v>
      </c>
    </row>
    <row r="448" spans="1:36">
      <c r="A448" s="1" t="s">
        <v>482</v>
      </c>
      <c r="B448" t="s">
        <v>1346</v>
      </c>
      <c r="C448" t="str">
        <f>HYPERLINK("https://finance.naver.com/item/coinfo.nhn?code=007210", "A007210")</f>
        <v>A007210</v>
      </c>
      <c r="D448" t="str">
        <f>HYPERLINK("http://comp.fnguide.com/SVO2/ASP/SVD_Consensus.asp?pGB=1&amp;gicode=A007210&amp;cID=&amp;MenuYn=Y&amp;ReportGB=&amp;NewMenuID=108&amp;stkGb=701", "벽산")</f>
        <v>벽산</v>
      </c>
      <c r="E448">
        <v>3</v>
      </c>
      <c r="F448">
        <v>2270</v>
      </c>
      <c r="G448">
        <v>0</v>
      </c>
      <c r="I448">
        <v>988</v>
      </c>
      <c r="J448">
        <v>2861</v>
      </c>
      <c r="K448">
        <v>3393</v>
      </c>
      <c r="L448">
        <v>56.47</v>
      </c>
      <c r="M448">
        <v>-26.04</v>
      </c>
      <c r="N448">
        <v>-49.49</v>
      </c>
      <c r="O448">
        <v>1.91</v>
      </c>
      <c r="P448" t="b">
        <v>0</v>
      </c>
      <c r="Q448">
        <v>0</v>
      </c>
      <c r="R448">
        <v>-40</v>
      </c>
      <c r="U448" t="s">
        <v>2210</v>
      </c>
      <c r="V448" t="s">
        <v>3074</v>
      </c>
      <c r="W448">
        <v>0</v>
      </c>
      <c r="X448">
        <v>0</v>
      </c>
      <c r="Y448" t="s">
        <v>3887</v>
      </c>
      <c r="Z448">
        <v>-34.339517658914922</v>
      </c>
      <c r="AA448">
        <v>1556</v>
      </c>
      <c r="AB448">
        <v>690662</v>
      </c>
      <c r="AC448" t="s">
        <v>4729</v>
      </c>
      <c r="AD448">
        <v>30.27</v>
      </c>
      <c r="AE448" t="s">
        <v>5593</v>
      </c>
      <c r="AF448" t="s">
        <v>6424</v>
      </c>
      <c r="AG448">
        <v>4335</v>
      </c>
      <c r="AH448">
        <v>-38</v>
      </c>
      <c r="AI448">
        <v>11890597</v>
      </c>
    </row>
    <row r="449" spans="1:36">
      <c r="A449" s="1" t="s">
        <v>483</v>
      </c>
      <c r="B449" t="s">
        <v>1347</v>
      </c>
      <c r="C449" t="str">
        <f>HYPERLINK("https://finance.naver.com/item/coinfo.nhn?code=001270", "A001270")</f>
        <v>A001270</v>
      </c>
      <c r="D449" t="str">
        <f>HYPERLINK("http://comp.fnguide.com/SVO2/ASP/SVD_Consensus.asp?pGB=1&amp;gicode=A001270&amp;cID=&amp;MenuYn=Y&amp;ReportGB=&amp;NewMenuID=108&amp;stkGb=701", "부국증권")</f>
        <v>부국증권</v>
      </c>
      <c r="E449">
        <v>3</v>
      </c>
      <c r="F449">
        <v>22900</v>
      </c>
      <c r="G449">
        <v>0</v>
      </c>
      <c r="H449">
        <v>10.14</v>
      </c>
      <c r="I449">
        <v>64766</v>
      </c>
      <c r="J449">
        <v>74962</v>
      </c>
      <c r="K449">
        <v>77860</v>
      </c>
      <c r="L449">
        <v>-182.82</v>
      </c>
      <c r="M449">
        <v>-227.35</v>
      </c>
      <c r="N449">
        <v>-240</v>
      </c>
      <c r="O449">
        <v>6.29</v>
      </c>
      <c r="P449" t="b">
        <v>0</v>
      </c>
      <c r="Q449">
        <v>0</v>
      </c>
      <c r="R449">
        <v>2055</v>
      </c>
      <c r="U449" t="s">
        <v>2211</v>
      </c>
      <c r="V449" t="s">
        <v>3075</v>
      </c>
      <c r="W449">
        <v>0</v>
      </c>
      <c r="X449">
        <v>12</v>
      </c>
      <c r="Y449" t="s">
        <v>3888</v>
      </c>
      <c r="Z449">
        <v>7.6358749419326744</v>
      </c>
      <c r="AA449">
        <v>2375</v>
      </c>
      <c r="AB449">
        <v>7958</v>
      </c>
      <c r="AC449" t="s">
        <v>4730</v>
      </c>
      <c r="AD449">
        <v>31.9</v>
      </c>
      <c r="AE449" t="s">
        <v>5594</v>
      </c>
      <c r="AF449" t="s">
        <v>6425</v>
      </c>
      <c r="AG449">
        <v>1167</v>
      </c>
      <c r="AH449">
        <v>360</v>
      </c>
      <c r="AI449">
        <v>4430764</v>
      </c>
      <c r="AJ449">
        <v>5.76</v>
      </c>
    </row>
    <row r="450" spans="1:36">
      <c r="A450" s="1" t="s">
        <v>484</v>
      </c>
      <c r="B450" t="s">
        <v>1348</v>
      </c>
      <c r="C450" t="str">
        <f>HYPERLINK("https://finance.naver.com/item/coinfo.nhn?code=026940", "A026940")</f>
        <v>A026940</v>
      </c>
      <c r="D450" t="str">
        <f>HYPERLINK("http://comp.fnguide.com/SVO2/ASP/SVD_Consensus.asp?pGB=1&amp;gicode=A026940&amp;cID=&amp;MenuYn=Y&amp;ReportGB=&amp;NewMenuID=108&amp;stkGb=701", "부국철강")</f>
        <v>부국철강</v>
      </c>
      <c r="E450">
        <v>3</v>
      </c>
      <c r="F450">
        <v>4225</v>
      </c>
      <c r="G450">
        <v>0</v>
      </c>
      <c r="H450">
        <v>56.89</v>
      </c>
      <c r="I450">
        <v>1263</v>
      </c>
      <c r="J450">
        <v>3888</v>
      </c>
      <c r="K450">
        <v>4633</v>
      </c>
      <c r="L450">
        <v>70.099999999999994</v>
      </c>
      <c r="M450">
        <v>7.98</v>
      </c>
      <c r="N450">
        <v>-9.67</v>
      </c>
      <c r="O450">
        <v>1.78</v>
      </c>
      <c r="P450" t="b">
        <v>0</v>
      </c>
      <c r="Q450">
        <v>0</v>
      </c>
      <c r="R450">
        <v>92</v>
      </c>
      <c r="U450" t="s">
        <v>2212</v>
      </c>
      <c r="V450" t="s">
        <v>3076</v>
      </c>
      <c r="W450">
        <v>0</v>
      </c>
      <c r="X450">
        <v>-65.5</v>
      </c>
      <c r="Y450" t="s">
        <v>3889</v>
      </c>
      <c r="Z450">
        <v>43.238581860822038</v>
      </c>
      <c r="AA450">
        <v>845</v>
      </c>
      <c r="AB450">
        <v>53066</v>
      </c>
      <c r="AC450" t="s">
        <v>4731</v>
      </c>
      <c r="AD450">
        <v>53.44</v>
      </c>
      <c r="AE450" t="s">
        <v>5595</v>
      </c>
      <c r="AF450" t="s">
        <v>6426</v>
      </c>
      <c r="AG450">
        <v>1323</v>
      </c>
      <c r="AH450">
        <v>3</v>
      </c>
      <c r="AJ450">
        <v>1.43</v>
      </c>
    </row>
    <row r="451" spans="1:36">
      <c r="A451" s="1" t="s">
        <v>485</v>
      </c>
      <c r="B451" t="s">
        <v>1349</v>
      </c>
      <c r="C451" t="str">
        <f>HYPERLINK("https://finance.naver.com/item/coinfo.nhn?code=015350", "A015350")</f>
        <v>A015350</v>
      </c>
      <c r="D451" t="str">
        <f>HYPERLINK("http://comp.fnguide.com/SVO2/ASP/SVD_Consensus.asp?pGB=1&amp;gicode=A015350&amp;cID=&amp;MenuYn=Y&amp;ReportGB=&amp;NewMenuID=108&amp;stkGb=701", "부산가스")</f>
        <v>부산가스</v>
      </c>
      <c r="E451">
        <v>3</v>
      </c>
      <c r="F451">
        <v>51000</v>
      </c>
      <c r="G451">
        <v>0</v>
      </c>
      <c r="H451">
        <v>8.0299999999999994</v>
      </c>
      <c r="I451">
        <v>66134</v>
      </c>
      <c r="J451">
        <v>66633</v>
      </c>
      <c r="K451">
        <v>66775</v>
      </c>
      <c r="L451">
        <v>-29.67</v>
      </c>
      <c r="M451">
        <v>-30.65</v>
      </c>
      <c r="N451">
        <v>-30.93</v>
      </c>
      <c r="O451">
        <v>7.84</v>
      </c>
      <c r="P451" t="b">
        <v>0</v>
      </c>
      <c r="Q451">
        <v>0</v>
      </c>
      <c r="R451">
        <v>4448</v>
      </c>
      <c r="U451" t="s">
        <v>2213</v>
      </c>
      <c r="V451" t="s">
        <v>3077</v>
      </c>
      <c r="W451">
        <v>0</v>
      </c>
      <c r="X451">
        <v>388.3</v>
      </c>
      <c r="Y451" t="s">
        <v>3890</v>
      </c>
      <c r="Z451">
        <v>41.902472159444983</v>
      </c>
      <c r="AA451">
        <v>5610</v>
      </c>
      <c r="AB451">
        <v>19746</v>
      </c>
      <c r="AC451" t="s">
        <v>4732</v>
      </c>
      <c r="AD451">
        <v>67.319999999999993</v>
      </c>
      <c r="AE451" t="s">
        <v>5596</v>
      </c>
      <c r="AF451" t="s">
        <v>6427</v>
      </c>
      <c r="AG451">
        <v>9728</v>
      </c>
      <c r="AH451">
        <v>435</v>
      </c>
      <c r="AI451">
        <v>999000</v>
      </c>
      <c r="AJ451">
        <v>2.8</v>
      </c>
    </row>
    <row r="452" spans="1:36">
      <c r="A452" s="1" t="s">
        <v>486</v>
      </c>
      <c r="B452" t="s">
        <v>1350</v>
      </c>
      <c r="C452" t="str">
        <f>HYPERLINK("https://finance.naver.com/item/coinfo.nhn?code=100220", "A100220")</f>
        <v>A100220</v>
      </c>
      <c r="D452" t="str">
        <f>HYPERLINK("http://comp.fnguide.com/SVO2/ASP/SVD_Consensus.asp?pGB=1&amp;gicode=A100220&amp;cID=&amp;MenuYn=Y&amp;ReportGB=&amp;NewMenuID=108&amp;stkGb=701", "비상교육")</f>
        <v>비상교육</v>
      </c>
      <c r="E452">
        <v>3</v>
      </c>
      <c r="F452">
        <v>6630</v>
      </c>
      <c r="G452">
        <v>0</v>
      </c>
      <c r="H452">
        <v>8.9499999999999993</v>
      </c>
      <c r="I452">
        <v>10054</v>
      </c>
      <c r="J452">
        <v>14534</v>
      </c>
      <c r="K452">
        <v>15807</v>
      </c>
      <c r="L452">
        <v>-51.64</v>
      </c>
      <c r="M452">
        <v>-119.22</v>
      </c>
      <c r="N452">
        <v>-138.41999999999999</v>
      </c>
      <c r="O452">
        <v>4.5599999999999996</v>
      </c>
      <c r="P452" t="b">
        <v>1</v>
      </c>
      <c r="Q452">
        <v>0</v>
      </c>
      <c r="R452">
        <v>868</v>
      </c>
      <c r="U452" t="s">
        <v>2214</v>
      </c>
      <c r="V452" t="s">
        <v>3078</v>
      </c>
      <c r="W452">
        <v>0</v>
      </c>
      <c r="X452">
        <v>0</v>
      </c>
      <c r="Y452" t="s">
        <v>3891</v>
      </c>
      <c r="Z452">
        <v>-9.5207953333153572</v>
      </c>
      <c r="AA452">
        <v>862</v>
      </c>
      <c r="AB452">
        <v>11994</v>
      </c>
      <c r="AC452" t="s">
        <v>4733</v>
      </c>
      <c r="AD452">
        <v>54.53</v>
      </c>
      <c r="AE452" t="s">
        <v>5597</v>
      </c>
      <c r="AF452" t="s">
        <v>6428</v>
      </c>
      <c r="AG452">
        <v>1994</v>
      </c>
      <c r="AH452">
        <v>219</v>
      </c>
      <c r="AI452">
        <v>745226</v>
      </c>
      <c r="AJ452">
        <v>3.22</v>
      </c>
    </row>
    <row r="453" spans="1:36">
      <c r="A453" s="1" t="s">
        <v>487</v>
      </c>
      <c r="B453" t="s">
        <v>1351</v>
      </c>
      <c r="C453" t="str">
        <f>HYPERLINK("https://finance.naver.com/item/coinfo.nhn?code=005180", "A005180")</f>
        <v>A005180</v>
      </c>
      <c r="D453" t="str">
        <f>HYPERLINK("http://comp.fnguide.com/SVO2/ASP/SVD_Consensus.asp?pGB=1&amp;gicode=A005180&amp;cID=&amp;MenuYn=Y&amp;ReportGB=&amp;NewMenuID=108&amp;stkGb=701", "빙그레")</f>
        <v>빙그레</v>
      </c>
      <c r="E453">
        <v>3</v>
      </c>
      <c r="F453">
        <v>56000</v>
      </c>
      <c r="G453">
        <v>0.7</v>
      </c>
      <c r="H453">
        <v>13.44</v>
      </c>
      <c r="I453">
        <v>54856</v>
      </c>
      <c r="J453">
        <v>60713</v>
      </c>
      <c r="K453">
        <v>62378</v>
      </c>
      <c r="L453">
        <v>2.04</v>
      </c>
      <c r="M453">
        <v>-8.42</v>
      </c>
      <c r="N453">
        <v>-11.39</v>
      </c>
      <c r="O453">
        <v>6.74</v>
      </c>
      <c r="P453" t="b">
        <v>1</v>
      </c>
      <c r="Q453">
        <v>3</v>
      </c>
      <c r="R453">
        <v>4168</v>
      </c>
      <c r="S453">
        <v>5109</v>
      </c>
      <c r="T453">
        <v>22.6</v>
      </c>
      <c r="U453" t="s">
        <v>2215</v>
      </c>
      <c r="V453" t="s">
        <v>3079</v>
      </c>
      <c r="W453">
        <v>19.330437667495801</v>
      </c>
      <c r="X453">
        <v>22.2</v>
      </c>
      <c r="Y453" t="s">
        <v>3892</v>
      </c>
      <c r="Z453">
        <v>15.20130969788398</v>
      </c>
      <c r="AA453">
        <v>5517</v>
      </c>
      <c r="AB453">
        <v>24399</v>
      </c>
      <c r="AC453" t="s">
        <v>4734</v>
      </c>
      <c r="AD453">
        <v>40.89</v>
      </c>
      <c r="AE453" t="s">
        <v>5598</v>
      </c>
      <c r="AF453" t="s">
        <v>6429</v>
      </c>
      <c r="AG453">
        <v>8783</v>
      </c>
      <c r="AH453">
        <v>458</v>
      </c>
      <c r="AI453">
        <v>1009440</v>
      </c>
      <c r="AJ453">
        <v>2.59</v>
      </c>
    </row>
    <row r="454" spans="1:36">
      <c r="A454" s="1" t="s">
        <v>488</v>
      </c>
      <c r="B454" t="s">
        <v>1352</v>
      </c>
      <c r="C454" t="str">
        <f>HYPERLINK("https://finance.naver.com/item/coinfo.nhn?code=003960", "A003960")</f>
        <v>A003960</v>
      </c>
      <c r="D454" t="str">
        <f>HYPERLINK("http://comp.fnguide.com/SVO2/ASP/SVD_Consensus.asp?pGB=1&amp;gicode=A003960&amp;cID=&amp;MenuYn=Y&amp;ReportGB=&amp;NewMenuID=108&amp;stkGb=701", "사조대림")</f>
        <v>사조대림</v>
      </c>
      <c r="E454">
        <v>3</v>
      </c>
      <c r="F454">
        <v>16200</v>
      </c>
      <c r="G454">
        <v>0</v>
      </c>
      <c r="H454">
        <v>1.52</v>
      </c>
      <c r="I454">
        <v>104631</v>
      </c>
      <c r="J454">
        <v>67675</v>
      </c>
      <c r="K454">
        <v>57173</v>
      </c>
      <c r="L454">
        <v>-545.87</v>
      </c>
      <c r="M454">
        <v>-317.75</v>
      </c>
      <c r="N454">
        <v>-252.92</v>
      </c>
      <c r="O454">
        <v>19.23</v>
      </c>
      <c r="P454" t="b">
        <v>1</v>
      </c>
      <c r="Q454">
        <v>0</v>
      </c>
      <c r="R454">
        <v>10553</v>
      </c>
      <c r="U454" t="s">
        <v>2216</v>
      </c>
      <c r="V454" t="s">
        <v>3080</v>
      </c>
      <c r="W454">
        <v>0</v>
      </c>
      <c r="X454">
        <v>-73.099999999999994</v>
      </c>
      <c r="Y454" t="s">
        <v>3893</v>
      </c>
      <c r="Z454">
        <v>6.6752688449583264</v>
      </c>
      <c r="AA454">
        <v>1485</v>
      </c>
      <c r="AB454">
        <v>39047</v>
      </c>
      <c r="AC454" t="s">
        <v>4735</v>
      </c>
      <c r="AD454">
        <v>47.43</v>
      </c>
      <c r="AE454" t="s">
        <v>5599</v>
      </c>
      <c r="AF454" t="s">
        <v>6430</v>
      </c>
      <c r="AG454">
        <v>13297</v>
      </c>
      <c r="AH454">
        <v>496</v>
      </c>
      <c r="AI454">
        <v>1814170</v>
      </c>
      <c r="AJ454">
        <v>0.94</v>
      </c>
    </row>
    <row r="455" spans="1:36">
      <c r="A455" s="1" t="s">
        <v>489</v>
      </c>
      <c r="B455" t="s">
        <v>1353</v>
      </c>
      <c r="C455" t="str">
        <f>HYPERLINK("https://finance.naver.com/item/coinfo.nhn?code=008040", "A008040")</f>
        <v>A008040</v>
      </c>
      <c r="D455" t="str">
        <f>HYPERLINK("http://comp.fnguide.com/SVO2/ASP/SVD_Consensus.asp?pGB=1&amp;gicode=A008040&amp;cID=&amp;MenuYn=Y&amp;ReportGB=&amp;NewMenuID=108&amp;stkGb=701", "사조동아원")</f>
        <v>사조동아원</v>
      </c>
      <c r="E455">
        <v>3</v>
      </c>
      <c r="F455">
        <v>942</v>
      </c>
      <c r="G455">
        <v>0</v>
      </c>
      <c r="H455">
        <v>155.66</v>
      </c>
      <c r="I455">
        <v>1466</v>
      </c>
      <c r="J455">
        <v>1488</v>
      </c>
      <c r="K455">
        <v>1494</v>
      </c>
      <c r="L455">
        <v>-55.66</v>
      </c>
      <c r="M455">
        <v>-57.91</v>
      </c>
      <c r="N455">
        <v>-58.55</v>
      </c>
      <c r="O455">
        <v>7.75</v>
      </c>
      <c r="P455" t="b">
        <v>0</v>
      </c>
      <c r="Q455">
        <v>0</v>
      </c>
      <c r="R455">
        <v>6</v>
      </c>
      <c r="U455" t="s">
        <v>2217</v>
      </c>
      <c r="V455" t="s">
        <v>3081</v>
      </c>
      <c r="W455">
        <v>0</v>
      </c>
      <c r="X455">
        <v>0</v>
      </c>
      <c r="Y455" t="s">
        <v>3894</v>
      </c>
      <c r="Z455">
        <v>-54.172626852533753</v>
      </c>
      <c r="AA455">
        <v>1330</v>
      </c>
      <c r="AB455">
        <v>330551</v>
      </c>
      <c r="AC455" t="s">
        <v>4736</v>
      </c>
      <c r="AD455">
        <v>52.19</v>
      </c>
      <c r="AE455" t="s">
        <v>5600</v>
      </c>
      <c r="AF455" t="s">
        <v>6431</v>
      </c>
      <c r="AG455">
        <v>4122</v>
      </c>
      <c r="AH455">
        <v>125</v>
      </c>
      <c r="AI455">
        <v>10150982</v>
      </c>
    </row>
    <row r="456" spans="1:36">
      <c r="A456" s="1" t="s">
        <v>490</v>
      </c>
      <c r="B456" t="s">
        <v>1354</v>
      </c>
      <c r="C456" t="str">
        <f>HYPERLINK("https://finance.naver.com/item/coinfo.nhn?code=007160", "A007160")</f>
        <v>A007160</v>
      </c>
      <c r="D456" t="str">
        <f>HYPERLINK("http://comp.fnguide.com/SVO2/ASP/SVD_Consensus.asp?pGB=1&amp;gicode=A007160&amp;cID=&amp;MenuYn=Y&amp;ReportGB=&amp;NewMenuID=108&amp;stkGb=701", "사조산업")</f>
        <v>사조산업</v>
      </c>
      <c r="E456">
        <v>3</v>
      </c>
      <c r="F456">
        <v>31050</v>
      </c>
      <c r="G456">
        <v>0</v>
      </c>
      <c r="I456">
        <v>50853</v>
      </c>
      <c r="J456">
        <v>68877</v>
      </c>
      <c r="K456">
        <v>73999</v>
      </c>
      <c r="L456">
        <v>-63.78</v>
      </c>
      <c r="M456">
        <v>-121.83</v>
      </c>
      <c r="N456">
        <v>-138.32</v>
      </c>
      <c r="O456">
        <v>5</v>
      </c>
      <c r="P456" t="b">
        <v>0</v>
      </c>
      <c r="Q456">
        <v>0</v>
      </c>
      <c r="R456">
        <v>-2557</v>
      </c>
      <c r="U456" t="s">
        <v>2218</v>
      </c>
      <c r="V456" t="s">
        <v>3082</v>
      </c>
      <c r="W456">
        <v>0</v>
      </c>
      <c r="X456">
        <v>28.8</v>
      </c>
      <c r="Y456" t="s">
        <v>3895</v>
      </c>
      <c r="Z456">
        <v>24.481752864400111</v>
      </c>
      <c r="AA456">
        <v>1553</v>
      </c>
      <c r="AB456">
        <v>10172</v>
      </c>
      <c r="AC456" t="s">
        <v>4737</v>
      </c>
      <c r="AD456">
        <v>56.17</v>
      </c>
      <c r="AE456" t="s">
        <v>5601</v>
      </c>
      <c r="AF456" t="s">
        <v>6432</v>
      </c>
      <c r="AG456">
        <v>7354</v>
      </c>
      <c r="AH456">
        <v>182</v>
      </c>
      <c r="AI456">
        <v>55000</v>
      </c>
      <c r="AJ456">
        <v>0.4</v>
      </c>
    </row>
    <row r="457" spans="1:36">
      <c r="A457" s="1" t="s">
        <v>491</v>
      </c>
      <c r="B457" t="s">
        <v>1355</v>
      </c>
      <c r="C457" t="str">
        <f>HYPERLINK("https://finance.naver.com/item/coinfo.nhn?code=006090", "A006090")</f>
        <v>A006090</v>
      </c>
      <c r="D457" t="str">
        <f>HYPERLINK("http://comp.fnguide.com/SVO2/ASP/SVD_Consensus.asp?pGB=1&amp;gicode=A006090&amp;cID=&amp;MenuYn=Y&amp;ReportGB=&amp;NewMenuID=108&amp;stkGb=701", "사조오양")</f>
        <v>사조오양</v>
      </c>
      <c r="E457">
        <v>3</v>
      </c>
      <c r="F457">
        <v>9600</v>
      </c>
      <c r="G457">
        <v>0</v>
      </c>
      <c r="H457">
        <v>5.4</v>
      </c>
      <c r="I457">
        <v>19534</v>
      </c>
      <c r="J457">
        <v>18483</v>
      </c>
      <c r="K457">
        <v>18184</v>
      </c>
      <c r="L457">
        <v>-103.48</v>
      </c>
      <c r="M457">
        <v>-92.53</v>
      </c>
      <c r="N457">
        <v>-89.42</v>
      </c>
      <c r="O457">
        <v>8.7200000000000006</v>
      </c>
      <c r="P457" t="b">
        <v>1</v>
      </c>
      <c r="Q457">
        <v>0</v>
      </c>
      <c r="R457">
        <v>1402</v>
      </c>
      <c r="U457" t="s">
        <v>2219</v>
      </c>
      <c r="V457" t="s">
        <v>3083</v>
      </c>
      <c r="W457">
        <v>0</v>
      </c>
      <c r="X457">
        <v>80.599999999999994</v>
      </c>
      <c r="Y457" t="s">
        <v>3896</v>
      </c>
      <c r="Z457">
        <v>13.55978918744829</v>
      </c>
      <c r="AA457">
        <v>905</v>
      </c>
      <c r="AB457">
        <v>43501</v>
      </c>
      <c r="AC457" t="s">
        <v>4738</v>
      </c>
      <c r="AD457">
        <v>60.53</v>
      </c>
      <c r="AE457" t="s">
        <v>5602</v>
      </c>
      <c r="AF457" t="s">
        <v>6433</v>
      </c>
      <c r="AG457">
        <v>3136</v>
      </c>
      <c r="AH457">
        <v>226</v>
      </c>
      <c r="AI457">
        <v>3</v>
      </c>
      <c r="AJ457">
        <v>1.32</v>
      </c>
    </row>
    <row r="458" spans="1:36">
      <c r="A458" s="1" t="s">
        <v>492</v>
      </c>
      <c r="B458" t="s">
        <v>1356</v>
      </c>
      <c r="C458" t="str">
        <f>HYPERLINK("https://finance.naver.com/item/coinfo.nhn?code=001340", "A001340")</f>
        <v>A001340</v>
      </c>
      <c r="D458" t="str">
        <f>HYPERLINK("http://comp.fnguide.com/SVO2/ASP/SVD_Consensus.asp?pGB=1&amp;gicode=A001340&amp;cID=&amp;MenuYn=Y&amp;ReportGB=&amp;NewMenuID=108&amp;stkGb=701", "백광산업")</f>
        <v>백광산업</v>
      </c>
      <c r="E458">
        <v>3</v>
      </c>
      <c r="F458">
        <v>3250</v>
      </c>
      <c r="G458">
        <v>0</v>
      </c>
      <c r="H458">
        <v>6.89</v>
      </c>
      <c r="I458">
        <v>5283</v>
      </c>
      <c r="J458">
        <v>4384</v>
      </c>
      <c r="K458">
        <v>4129</v>
      </c>
      <c r="L458">
        <v>-62.56</v>
      </c>
      <c r="M458">
        <v>-34.909999999999997</v>
      </c>
      <c r="N458">
        <v>-27.05</v>
      </c>
      <c r="O458">
        <v>11.07</v>
      </c>
      <c r="P458" t="b">
        <v>1</v>
      </c>
      <c r="Q458">
        <v>0</v>
      </c>
      <c r="R458">
        <v>357</v>
      </c>
      <c r="U458" t="s">
        <v>2220</v>
      </c>
      <c r="V458" t="s">
        <v>3084</v>
      </c>
      <c r="W458">
        <v>0</v>
      </c>
      <c r="X458">
        <v>-46.5</v>
      </c>
      <c r="Y458" t="s">
        <v>3897</v>
      </c>
      <c r="Z458">
        <v>37.949218546647813</v>
      </c>
      <c r="AA458">
        <v>1460</v>
      </c>
      <c r="AB458">
        <v>374559</v>
      </c>
      <c r="AC458" t="s">
        <v>4739</v>
      </c>
      <c r="AD458">
        <v>43.98</v>
      </c>
      <c r="AE458" t="s">
        <v>5603</v>
      </c>
      <c r="AF458" t="s">
        <v>6434</v>
      </c>
      <c r="AG458">
        <v>1684</v>
      </c>
      <c r="AH458">
        <v>212</v>
      </c>
      <c r="AI458">
        <v>769300</v>
      </c>
      <c r="AJ458">
        <v>3.05</v>
      </c>
    </row>
    <row r="459" spans="1:36">
      <c r="A459" s="1" t="s">
        <v>493</v>
      </c>
      <c r="B459" t="s">
        <v>1357</v>
      </c>
      <c r="C459" t="str">
        <f>HYPERLINK("https://finance.naver.com/item/coinfo.nhn?code=006660", "A006660")</f>
        <v>A006660</v>
      </c>
      <c r="D459" t="str">
        <f>HYPERLINK("http://comp.fnguide.com/SVO2/ASP/SVD_Consensus.asp?pGB=1&amp;gicode=A006660&amp;cID=&amp;MenuYn=Y&amp;ReportGB=&amp;NewMenuID=108&amp;stkGb=701", "삼성공조")</f>
        <v>삼성공조</v>
      </c>
      <c r="E459">
        <v>3</v>
      </c>
      <c r="F459">
        <v>7100</v>
      </c>
      <c r="G459">
        <v>0</v>
      </c>
      <c r="H459">
        <v>13.65</v>
      </c>
      <c r="I459">
        <v>10320</v>
      </c>
      <c r="J459">
        <v>20400</v>
      </c>
      <c r="K459">
        <v>23264</v>
      </c>
      <c r="L459">
        <v>-45.35</v>
      </c>
      <c r="M459">
        <v>-187.32</v>
      </c>
      <c r="N459">
        <v>-227.67</v>
      </c>
      <c r="O459">
        <v>3.03</v>
      </c>
      <c r="P459" t="b">
        <v>1</v>
      </c>
      <c r="Q459">
        <v>0</v>
      </c>
      <c r="R459">
        <v>585</v>
      </c>
      <c r="U459" t="s">
        <v>2221</v>
      </c>
      <c r="V459" t="s">
        <v>3085</v>
      </c>
      <c r="W459">
        <v>0</v>
      </c>
      <c r="X459">
        <v>-64.7</v>
      </c>
      <c r="Y459" t="s">
        <v>3898</v>
      </c>
      <c r="Z459">
        <v>-27.917714501647911</v>
      </c>
      <c r="AA459">
        <v>577</v>
      </c>
      <c r="AB459">
        <v>17161</v>
      </c>
      <c r="AC459" t="s">
        <v>4740</v>
      </c>
      <c r="AD459">
        <v>51.23</v>
      </c>
      <c r="AE459" t="s">
        <v>5604</v>
      </c>
      <c r="AF459" t="s">
        <v>6435</v>
      </c>
      <c r="AG459">
        <v>752</v>
      </c>
      <c r="AH459">
        <v>-41</v>
      </c>
      <c r="AI459">
        <v>107310</v>
      </c>
      <c r="AJ459">
        <v>0.75</v>
      </c>
    </row>
    <row r="460" spans="1:36">
      <c r="A460" s="1" t="s">
        <v>494</v>
      </c>
      <c r="B460" t="s">
        <v>1358</v>
      </c>
      <c r="C460" t="str">
        <f>HYPERLINK("https://finance.naver.com/item/coinfo.nhn?code=032830", "A032830")</f>
        <v>A032830</v>
      </c>
      <c r="D460" t="str">
        <f>HYPERLINK("http://comp.fnguide.com/SVO2/ASP/SVD_Consensus.asp?pGB=1&amp;gicode=A032830&amp;cID=&amp;MenuYn=Y&amp;ReportGB=&amp;NewMenuID=108&amp;stkGb=701", "삼성생명")</f>
        <v>삼성생명</v>
      </c>
      <c r="E460">
        <v>3</v>
      </c>
      <c r="F460">
        <v>82100</v>
      </c>
      <c r="G460">
        <v>-17.559999999999999</v>
      </c>
      <c r="H460">
        <v>15.24</v>
      </c>
      <c r="I460">
        <v>102853</v>
      </c>
      <c r="J460">
        <v>160473</v>
      </c>
      <c r="K460">
        <v>176847</v>
      </c>
      <c r="L460">
        <v>-25.28</v>
      </c>
      <c r="M460">
        <v>-95.46</v>
      </c>
      <c r="N460">
        <v>-115.4</v>
      </c>
      <c r="O460">
        <v>4.1100000000000003</v>
      </c>
      <c r="P460" t="b">
        <v>0</v>
      </c>
      <c r="Q460">
        <v>1</v>
      </c>
      <c r="R460">
        <v>4887</v>
      </c>
      <c r="S460">
        <v>5685</v>
      </c>
      <c r="T460">
        <v>16.3</v>
      </c>
      <c r="U460" t="s">
        <v>2222</v>
      </c>
      <c r="V460" t="s">
        <v>3086</v>
      </c>
      <c r="W460">
        <v>-0.86798596501090897</v>
      </c>
      <c r="X460">
        <v>3.6</v>
      </c>
      <c r="Y460" t="s">
        <v>3899</v>
      </c>
      <c r="Z460">
        <v>4.92364984563467</v>
      </c>
      <c r="AA460">
        <v>164200</v>
      </c>
      <c r="AB460">
        <v>762642</v>
      </c>
      <c r="AC460" t="s">
        <v>4741</v>
      </c>
      <c r="AD460">
        <v>47.03</v>
      </c>
      <c r="AE460" t="s">
        <v>5605</v>
      </c>
      <c r="AF460" t="s">
        <v>6436</v>
      </c>
      <c r="AG460">
        <v>162011</v>
      </c>
      <c r="AH460">
        <v>12526</v>
      </c>
      <c r="AI460">
        <v>20425221</v>
      </c>
      <c r="AJ460">
        <v>3.56</v>
      </c>
    </row>
    <row r="461" spans="1:36">
      <c r="A461" s="1" t="s">
        <v>495</v>
      </c>
      <c r="B461" t="s">
        <v>1359</v>
      </c>
      <c r="C461" t="str">
        <f>HYPERLINK("https://finance.naver.com/item/coinfo.nhn?code=016360", "A016360")</f>
        <v>A016360</v>
      </c>
      <c r="D461" t="str">
        <f>HYPERLINK("http://comp.fnguide.com/SVO2/ASP/SVD_Consensus.asp?pGB=1&amp;gicode=A016360&amp;cID=&amp;MenuYn=Y&amp;ReportGB=&amp;NewMenuID=108&amp;stkGb=701", "삼성증권")</f>
        <v>삼성증권</v>
      </c>
      <c r="E461">
        <v>3</v>
      </c>
      <c r="F461">
        <v>42950</v>
      </c>
      <c r="G461">
        <v>0.4</v>
      </c>
      <c r="H461">
        <v>8.8000000000000007</v>
      </c>
      <c r="I461">
        <v>53271</v>
      </c>
      <c r="J461">
        <v>54566</v>
      </c>
      <c r="K461">
        <v>54934</v>
      </c>
      <c r="L461">
        <v>-24.03</v>
      </c>
      <c r="M461">
        <v>-27.05</v>
      </c>
      <c r="N461">
        <v>-27.9</v>
      </c>
      <c r="O461">
        <v>7.63</v>
      </c>
      <c r="P461" t="b">
        <v>0</v>
      </c>
      <c r="Q461">
        <v>3</v>
      </c>
      <c r="R461">
        <v>4388</v>
      </c>
      <c r="S461">
        <v>5655</v>
      </c>
      <c r="T461">
        <v>28.9</v>
      </c>
      <c r="U461" t="s">
        <v>2223</v>
      </c>
      <c r="V461" t="s">
        <v>3087</v>
      </c>
      <c r="W461">
        <v>22.001352600788099</v>
      </c>
      <c r="X461">
        <v>10</v>
      </c>
      <c r="Y461" t="s">
        <v>3900</v>
      </c>
      <c r="Z461">
        <v>7.3657155212307091</v>
      </c>
      <c r="AA461">
        <v>38354</v>
      </c>
      <c r="AB461">
        <v>546107</v>
      </c>
      <c r="AC461" t="s">
        <v>4742</v>
      </c>
      <c r="AD461">
        <v>29.79</v>
      </c>
      <c r="AE461" t="s">
        <v>5606</v>
      </c>
      <c r="AF461" t="s">
        <v>6437</v>
      </c>
      <c r="AG461">
        <v>12218</v>
      </c>
      <c r="AH461">
        <v>5176</v>
      </c>
      <c r="AJ461">
        <v>4.4000000000000004</v>
      </c>
    </row>
    <row r="462" spans="1:36">
      <c r="A462" s="1" t="s">
        <v>496</v>
      </c>
      <c r="B462" t="s">
        <v>1360</v>
      </c>
      <c r="C462" t="str">
        <f>HYPERLINK("https://finance.naver.com/item/coinfo.nhn?code=029780", "A029780")</f>
        <v>A029780</v>
      </c>
      <c r="D462" t="str">
        <f>HYPERLINK("http://comp.fnguide.com/SVO2/ASP/SVD_Consensus.asp?pGB=1&amp;gicode=A029780&amp;cID=&amp;MenuYn=Y&amp;ReportGB=&amp;NewMenuID=108&amp;stkGb=701", "삼성카드")</f>
        <v>삼성카드</v>
      </c>
      <c r="E462">
        <v>3</v>
      </c>
      <c r="F462">
        <v>35250</v>
      </c>
      <c r="G462">
        <v>12.03</v>
      </c>
      <c r="H462">
        <v>13</v>
      </c>
      <c r="I462">
        <v>41932</v>
      </c>
      <c r="J462">
        <v>55587</v>
      </c>
      <c r="K462">
        <v>59467</v>
      </c>
      <c r="L462">
        <v>-18.95</v>
      </c>
      <c r="M462">
        <v>-57.69</v>
      </c>
      <c r="N462">
        <v>-68.7</v>
      </c>
      <c r="O462">
        <v>5.15</v>
      </c>
      <c r="P462" t="b">
        <v>0</v>
      </c>
      <c r="Q462">
        <v>1</v>
      </c>
      <c r="R462">
        <v>2970</v>
      </c>
      <c r="S462">
        <v>3446</v>
      </c>
      <c r="T462">
        <v>16</v>
      </c>
      <c r="U462" t="s">
        <v>2224</v>
      </c>
      <c r="V462" t="s">
        <v>3088</v>
      </c>
      <c r="W462">
        <v>1.0806909986056821</v>
      </c>
      <c r="Y462" t="s">
        <v>3605</v>
      </c>
      <c r="Z462">
        <v>-1.3272385285063579</v>
      </c>
      <c r="AA462">
        <v>40840</v>
      </c>
      <c r="AB462">
        <v>133895</v>
      </c>
      <c r="AC462" t="s">
        <v>4743</v>
      </c>
      <c r="AD462">
        <v>71.900000000000006</v>
      </c>
      <c r="AE462" t="s">
        <v>5607</v>
      </c>
      <c r="AF462" t="s">
        <v>6438</v>
      </c>
      <c r="AG462">
        <v>24557</v>
      </c>
      <c r="AH462">
        <v>4497</v>
      </c>
      <c r="AI462">
        <v>9148196</v>
      </c>
      <c r="AJ462">
        <v>4.1500000000000004</v>
      </c>
    </row>
    <row r="463" spans="1:36">
      <c r="A463" s="1" t="s">
        <v>497</v>
      </c>
      <c r="B463" t="s">
        <v>1361</v>
      </c>
      <c r="C463" t="str">
        <f>HYPERLINK("https://finance.naver.com/item/coinfo.nhn?code=000810", "A000810")</f>
        <v>A000810</v>
      </c>
      <c r="D463" t="str">
        <f>HYPERLINK("http://comp.fnguide.com/SVO2/ASP/SVD_Consensus.asp?pGB=1&amp;gicode=A000810&amp;cID=&amp;MenuYn=Y&amp;ReportGB=&amp;NewMenuID=108&amp;stkGb=701", "삼성화재")</f>
        <v>삼성화재</v>
      </c>
      <c r="E463">
        <v>3</v>
      </c>
      <c r="F463">
        <v>195500</v>
      </c>
      <c r="G463">
        <v>-1.98</v>
      </c>
      <c r="H463">
        <v>19.149999999999999</v>
      </c>
      <c r="I463">
        <v>310579</v>
      </c>
      <c r="J463">
        <v>339736</v>
      </c>
      <c r="K463">
        <v>348022</v>
      </c>
      <c r="L463">
        <v>-58.86</v>
      </c>
      <c r="M463">
        <v>-73.78</v>
      </c>
      <c r="N463">
        <v>-78.02</v>
      </c>
      <c r="O463">
        <v>6.87</v>
      </c>
      <c r="P463" t="b">
        <v>0</v>
      </c>
      <c r="Q463">
        <v>1</v>
      </c>
      <c r="R463">
        <v>12716</v>
      </c>
      <c r="S463">
        <v>15346</v>
      </c>
      <c r="T463">
        <v>20.7</v>
      </c>
      <c r="U463" t="s">
        <v>2225</v>
      </c>
      <c r="V463" t="s">
        <v>3089</v>
      </c>
      <c r="W463">
        <v>-9.680698109149521</v>
      </c>
      <c r="X463">
        <v>5.9</v>
      </c>
      <c r="Y463" t="s">
        <v>3901</v>
      </c>
      <c r="Z463">
        <v>7.3661072941060954</v>
      </c>
      <c r="AA463">
        <v>92618</v>
      </c>
      <c r="AB463">
        <v>113385</v>
      </c>
      <c r="AC463" t="s">
        <v>4744</v>
      </c>
      <c r="AD463">
        <v>18.5</v>
      </c>
      <c r="AE463" t="s">
        <v>5608</v>
      </c>
      <c r="AF463" t="s">
        <v>6439</v>
      </c>
      <c r="AG463">
        <v>194560</v>
      </c>
      <c r="AH463">
        <v>8626</v>
      </c>
      <c r="AI463">
        <v>7546541</v>
      </c>
      <c r="AJ463">
        <v>3.49</v>
      </c>
    </row>
    <row r="464" spans="1:36">
      <c r="A464" s="1" t="s">
        <v>498</v>
      </c>
      <c r="B464" t="s">
        <v>1362</v>
      </c>
      <c r="C464" t="str">
        <f>HYPERLINK("https://finance.naver.com/item/coinfo.nhn?code=145990", "A145990")</f>
        <v>A145990</v>
      </c>
      <c r="D464" t="str">
        <f>HYPERLINK("http://comp.fnguide.com/SVO2/ASP/SVD_Consensus.asp?pGB=1&amp;gicode=A145990&amp;cID=&amp;MenuYn=Y&amp;ReportGB=&amp;NewMenuID=108&amp;stkGb=701", "삼양사")</f>
        <v>삼양사</v>
      </c>
      <c r="E464">
        <v>3</v>
      </c>
      <c r="F464">
        <v>61000</v>
      </c>
      <c r="G464">
        <v>0</v>
      </c>
      <c r="H464">
        <v>15.95</v>
      </c>
      <c r="I464">
        <v>49939</v>
      </c>
      <c r="J464">
        <v>88777</v>
      </c>
      <c r="K464">
        <v>99814</v>
      </c>
      <c r="L464">
        <v>18.13</v>
      </c>
      <c r="M464">
        <v>-45.54</v>
      </c>
      <c r="N464">
        <v>-63.63</v>
      </c>
      <c r="O464">
        <v>3.46</v>
      </c>
      <c r="P464" t="b">
        <v>1</v>
      </c>
      <c r="Q464">
        <v>0</v>
      </c>
      <c r="R464">
        <v>3173</v>
      </c>
      <c r="U464" t="s">
        <v>2226</v>
      </c>
      <c r="V464" t="s">
        <v>3090</v>
      </c>
      <c r="W464">
        <v>0</v>
      </c>
      <c r="X464">
        <v>75.599999999999994</v>
      </c>
      <c r="Y464" t="s">
        <v>3902</v>
      </c>
      <c r="Z464">
        <v>-5.8708449434169747</v>
      </c>
      <c r="AA464">
        <v>6291</v>
      </c>
      <c r="AB464">
        <v>76430</v>
      </c>
      <c r="AC464" t="s">
        <v>4745</v>
      </c>
      <c r="AD464">
        <v>64.14</v>
      </c>
      <c r="AE464" t="s">
        <v>5609</v>
      </c>
      <c r="AF464" t="s">
        <v>6440</v>
      </c>
      <c r="AG464">
        <v>20964</v>
      </c>
      <c r="AH464">
        <v>816</v>
      </c>
      <c r="AI464">
        <v>623479</v>
      </c>
      <c r="AJ464">
        <v>1.98</v>
      </c>
    </row>
    <row r="465" spans="1:36">
      <c r="A465" s="1" t="s">
        <v>499</v>
      </c>
      <c r="B465" t="s">
        <v>1363</v>
      </c>
      <c r="C465" t="str">
        <f>HYPERLINK("https://finance.naver.com/item/coinfo.nhn?code=002170", "A002170")</f>
        <v>A002170</v>
      </c>
      <c r="D465" t="str">
        <f>HYPERLINK("http://comp.fnguide.com/SVO2/ASP/SVD_Consensus.asp?pGB=1&amp;gicode=A002170&amp;cID=&amp;MenuYn=Y&amp;ReportGB=&amp;NewMenuID=108&amp;stkGb=701", "삼양통상")</f>
        <v>삼양통상</v>
      </c>
      <c r="E465">
        <v>3</v>
      </c>
      <c r="F465">
        <v>62700</v>
      </c>
      <c r="G465">
        <v>0</v>
      </c>
      <c r="H465">
        <v>4.07</v>
      </c>
      <c r="I465">
        <v>169839</v>
      </c>
      <c r="J465">
        <v>137058</v>
      </c>
      <c r="K465">
        <v>127743</v>
      </c>
      <c r="L465">
        <v>-170.88</v>
      </c>
      <c r="M465">
        <v>-118.59</v>
      </c>
      <c r="N465">
        <v>-103.74</v>
      </c>
      <c r="O465">
        <v>11.69</v>
      </c>
      <c r="P465" t="b">
        <v>1</v>
      </c>
      <c r="Q465">
        <v>0</v>
      </c>
      <c r="R465">
        <v>14733</v>
      </c>
      <c r="U465" t="s">
        <v>2227</v>
      </c>
      <c r="V465" t="s">
        <v>3091</v>
      </c>
      <c r="W465">
        <v>0</v>
      </c>
      <c r="X465">
        <v>4.0999999999999996</v>
      </c>
      <c r="Y465" t="s">
        <v>3903</v>
      </c>
      <c r="Z465">
        <v>34.319433093417828</v>
      </c>
      <c r="AA465">
        <v>1881</v>
      </c>
      <c r="AB465">
        <v>4661</v>
      </c>
      <c r="AC465" t="s">
        <v>4746</v>
      </c>
      <c r="AD465">
        <v>54.39</v>
      </c>
      <c r="AE465" t="s">
        <v>5610</v>
      </c>
      <c r="AF465" t="s">
        <v>6441</v>
      </c>
      <c r="AG465">
        <v>1921</v>
      </c>
      <c r="AH465">
        <v>494</v>
      </c>
      <c r="AI465">
        <v>150575</v>
      </c>
      <c r="AJ465">
        <v>1.67</v>
      </c>
    </row>
    <row r="466" spans="1:36">
      <c r="A466" s="1" t="s">
        <v>500</v>
      </c>
      <c r="B466" t="s">
        <v>1364</v>
      </c>
      <c r="C466" t="str">
        <f>HYPERLINK("https://finance.naver.com/item/coinfo.nhn?code=000070", "A000070")</f>
        <v>A000070</v>
      </c>
      <c r="D466" t="str">
        <f>HYPERLINK("http://comp.fnguide.com/SVO2/ASP/SVD_Consensus.asp?pGB=1&amp;gicode=A000070&amp;cID=&amp;MenuYn=Y&amp;ReportGB=&amp;NewMenuID=108&amp;stkGb=701", "삼양홀딩스")</f>
        <v>삼양홀딩스</v>
      </c>
      <c r="E466">
        <v>3</v>
      </c>
      <c r="F466">
        <v>74900</v>
      </c>
      <c r="G466">
        <v>0</v>
      </c>
      <c r="H466">
        <v>19.25</v>
      </c>
      <c r="I466">
        <v>77506</v>
      </c>
      <c r="J466">
        <v>145745</v>
      </c>
      <c r="K466">
        <v>165137</v>
      </c>
      <c r="L466">
        <v>-3.48</v>
      </c>
      <c r="M466">
        <v>-94.59</v>
      </c>
      <c r="N466">
        <v>-120.48</v>
      </c>
      <c r="O466">
        <v>3.22</v>
      </c>
      <c r="P466" t="b">
        <v>0</v>
      </c>
      <c r="Q466">
        <v>0</v>
      </c>
      <c r="R466">
        <v>3481</v>
      </c>
      <c r="U466" t="s">
        <v>2228</v>
      </c>
      <c r="V466" t="s">
        <v>3092</v>
      </c>
      <c r="W466">
        <v>0</v>
      </c>
      <c r="X466">
        <v>22.3</v>
      </c>
      <c r="Y466" t="s">
        <v>3904</v>
      </c>
      <c r="Z466">
        <v>-4.1046290829888203</v>
      </c>
      <c r="AA466">
        <v>6415</v>
      </c>
      <c r="AB466">
        <v>16454</v>
      </c>
      <c r="AC466" t="s">
        <v>4747</v>
      </c>
      <c r="AD466">
        <v>41.73</v>
      </c>
      <c r="AE466" t="s">
        <v>5611</v>
      </c>
      <c r="AF466" t="s">
        <v>6442</v>
      </c>
      <c r="AG466">
        <v>24886</v>
      </c>
      <c r="AH466">
        <v>794</v>
      </c>
      <c r="AI466">
        <v>1128726</v>
      </c>
      <c r="AJ466">
        <v>2.99</v>
      </c>
    </row>
    <row r="467" spans="1:36">
      <c r="A467" s="1" t="s">
        <v>501</v>
      </c>
      <c r="B467" t="s">
        <v>1365</v>
      </c>
      <c r="C467" t="str">
        <f>HYPERLINK("https://finance.naver.com/item/coinfo.nhn?code=002810", "A002810")</f>
        <v>A002810</v>
      </c>
      <c r="D467" t="str">
        <f>HYPERLINK("http://comp.fnguide.com/SVO2/ASP/SVD_Consensus.asp?pGB=1&amp;gicode=A002810&amp;cID=&amp;MenuYn=Y&amp;ReportGB=&amp;NewMenuID=108&amp;stkGb=701", "삼영무역")</f>
        <v>삼영무역</v>
      </c>
      <c r="E467">
        <v>3</v>
      </c>
      <c r="F467">
        <v>14400</v>
      </c>
      <c r="G467">
        <v>0</v>
      </c>
      <c r="H467">
        <v>8.19</v>
      </c>
      <c r="I467">
        <v>25135</v>
      </c>
      <c r="J467">
        <v>22323</v>
      </c>
      <c r="K467">
        <v>21524</v>
      </c>
      <c r="L467">
        <v>-74.55</v>
      </c>
      <c r="M467">
        <v>-55.02</v>
      </c>
      <c r="N467">
        <v>-49.47</v>
      </c>
      <c r="O467">
        <v>9.75</v>
      </c>
      <c r="P467" t="b">
        <v>1</v>
      </c>
      <c r="Q467">
        <v>0</v>
      </c>
      <c r="R467">
        <v>1941</v>
      </c>
      <c r="U467" t="s">
        <v>2229</v>
      </c>
      <c r="V467" t="s">
        <v>3093</v>
      </c>
      <c r="W467">
        <v>0</v>
      </c>
      <c r="X467">
        <v>-13.2</v>
      </c>
      <c r="Y467" t="s">
        <v>3905</v>
      </c>
      <c r="Z467">
        <v>10.396685600340531</v>
      </c>
      <c r="AA467">
        <v>2659</v>
      </c>
      <c r="AB467">
        <v>22720</v>
      </c>
      <c r="AC467" t="s">
        <v>4748</v>
      </c>
      <c r="AD467">
        <v>44.55</v>
      </c>
      <c r="AE467" t="s">
        <v>5612</v>
      </c>
      <c r="AF467" t="s">
        <v>6443</v>
      </c>
      <c r="AG467">
        <v>2742</v>
      </c>
      <c r="AH467">
        <v>92</v>
      </c>
      <c r="AI467">
        <v>838844</v>
      </c>
      <c r="AJ467">
        <v>2.1</v>
      </c>
    </row>
    <row r="468" spans="1:36">
      <c r="A468" s="1" t="s">
        <v>502</v>
      </c>
      <c r="B468" t="s">
        <v>1366</v>
      </c>
      <c r="C468" t="str">
        <f>HYPERLINK("https://finance.naver.com/item/coinfo.nhn?code=005680", "A005680")</f>
        <v>A005680</v>
      </c>
      <c r="D468" t="str">
        <f>HYPERLINK("http://comp.fnguide.com/SVO2/ASP/SVD_Consensus.asp?pGB=1&amp;gicode=A005680&amp;cID=&amp;MenuYn=Y&amp;ReportGB=&amp;NewMenuID=108&amp;stkGb=701", "삼영전자")</f>
        <v>삼영전자</v>
      </c>
      <c r="E468">
        <v>3</v>
      </c>
      <c r="F468">
        <v>9380</v>
      </c>
      <c r="G468">
        <v>6.83</v>
      </c>
      <c r="H468">
        <v>21.09</v>
      </c>
      <c r="I468">
        <v>7077</v>
      </c>
      <c r="J468">
        <v>17391</v>
      </c>
      <c r="K468">
        <v>20323</v>
      </c>
      <c r="L468">
        <v>24.55</v>
      </c>
      <c r="M468">
        <v>-85.41</v>
      </c>
      <c r="N468">
        <v>-116.66</v>
      </c>
      <c r="O468">
        <v>2.3199999999999998</v>
      </c>
      <c r="P468" t="b">
        <v>1</v>
      </c>
      <c r="Q468">
        <v>1</v>
      </c>
      <c r="R468">
        <v>428</v>
      </c>
      <c r="S468">
        <v>580</v>
      </c>
      <c r="T468">
        <v>35.5</v>
      </c>
      <c r="U468" t="s">
        <v>2230</v>
      </c>
      <c r="V468" t="s">
        <v>3094</v>
      </c>
      <c r="W468">
        <v>3.0882401212920301</v>
      </c>
      <c r="X468">
        <v>29.5</v>
      </c>
      <c r="Y468" t="s">
        <v>3906</v>
      </c>
      <c r="Z468">
        <v>-4.3559344836249121</v>
      </c>
      <c r="AA468">
        <v>1876</v>
      </c>
      <c r="AB468">
        <v>110331</v>
      </c>
      <c r="AC468" t="s">
        <v>4749</v>
      </c>
      <c r="AD468">
        <v>53.59</v>
      </c>
      <c r="AE468" t="s">
        <v>5613</v>
      </c>
      <c r="AF468" t="s">
        <v>6444</v>
      </c>
      <c r="AG468">
        <v>2010</v>
      </c>
      <c r="AH468">
        <v>46</v>
      </c>
      <c r="AJ468">
        <v>2.77</v>
      </c>
    </row>
    <row r="469" spans="1:36">
      <c r="A469" s="1" t="s">
        <v>503</v>
      </c>
      <c r="B469" t="s">
        <v>1367</v>
      </c>
      <c r="C469" t="str">
        <f>HYPERLINK("https://finance.naver.com/item/coinfo.nhn?code=035150", "A035150")</f>
        <v>A035150</v>
      </c>
      <c r="D469" t="str">
        <f>HYPERLINK("http://comp.fnguide.com/SVO2/ASP/SVD_Consensus.asp?pGB=1&amp;gicode=A035150&amp;cID=&amp;MenuYn=Y&amp;ReportGB=&amp;NewMenuID=108&amp;stkGb=701", "백산")</f>
        <v>백산</v>
      </c>
      <c r="E469">
        <v>3</v>
      </c>
      <c r="F469">
        <v>5180</v>
      </c>
      <c r="G469">
        <v>0</v>
      </c>
      <c r="H469">
        <v>31.9</v>
      </c>
      <c r="I469">
        <v>5691</v>
      </c>
      <c r="J469">
        <v>5868</v>
      </c>
      <c r="K469">
        <v>5919</v>
      </c>
      <c r="L469">
        <v>-9.86</v>
      </c>
      <c r="M469">
        <v>-13.29</v>
      </c>
      <c r="N469">
        <v>-14.26</v>
      </c>
      <c r="O469">
        <v>7.55</v>
      </c>
      <c r="P469" t="b">
        <v>1</v>
      </c>
      <c r="Q469">
        <v>0</v>
      </c>
      <c r="R469">
        <v>282</v>
      </c>
      <c r="U469" t="s">
        <v>2231</v>
      </c>
      <c r="V469" t="s">
        <v>3095</v>
      </c>
      <c r="W469">
        <v>0</v>
      </c>
      <c r="X469">
        <v>0</v>
      </c>
      <c r="Y469" t="s">
        <v>3907</v>
      </c>
      <c r="Z469">
        <v>-18.49725915270318</v>
      </c>
      <c r="AA469">
        <v>1254</v>
      </c>
      <c r="AB469">
        <v>101396</v>
      </c>
      <c r="AC469" t="s">
        <v>4750</v>
      </c>
      <c r="AD469">
        <v>52.18</v>
      </c>
      <c r="AE469" t="s">
        <v>5614</v>
      </c>
      <c r="AF469" t="s">
        <v>6445</v>
      </c>
      <c r="AG469">
        <v>4689</v>
      </c>
      <c r="AH469">
        <v>320</v>
      </c>
      <c r="AI469">
        <v>544439</v>
      </c>
      <c r="AJ469">
        <v>1.1100000000000001</v>
      </c>
    </row>
    <row r="470" spans="1:36">
      <c r="A470" s="1" t="s">
        <v>504</v>
      </c>
      <c r="B470" t="s">
        <v>1368</v>
      </c>
      <c r="C470" t="str">
        <f>HYPERLINK("https://finance.naver.com/item/coinfo.nhn?code=003610", "A003610")</f>
        <v>A003610</v>
      </c>
      <c r="D470" t="str">
        <f>HYPERLINK("http://comp.fnguide.com/SVO2/ASP/SVD_Consensus.asp?pGB=1&amp;gicode=A003610&amp;cID=&amp;MenuYn=Y&amp;ReportGB=&amp;NewMenuID=108&amp;stkGb=701", "방림")</f>
        <v>방림</v>
      </c>
      <c r="E470">
        <v>3</v>
      </c>
      <c r="F470">
        <v>1905</v>
      </c>
      <c r="G470">
        <v>0</v>
      </c>
      <c r="H470">
        <v>16.329999999999998</v>
      </c>
      <c r="I470">
        <v>1607</v>
      </c>
      <c r="J470">
        <v>3614</v>
      </c>
      <c r="K470">
        <v>4185</v>
      </c>
      <c r="L470">
        <v>15.63</v>
      </c>
      <c r="M470">
        <v>-89.72</v>
      </c>
      <c r="N470">
        <v>-119.66</v>
      </c>
      <c r="O470">
        <v>2.58</v>
      </c>
      <c r="P470" t="b">
        <v>1</v>
      </c>
      <c r="Q470">
        <v>0</v>
      </c>
      <c r="R470">
        <v>118</v>
      </c>
      <c r="U470" t="s">
        <v>2232</v>
      </c>
      <c r="V470" t="s">
        <v>3096</v>
      </c>
      <c r="W470">
        <v>0</v>
      </c>
      <c r="X470">
        <v>-11.6</v>
      </c>
      <c r="Y470" t="s">
        <v>3908</v>
      </c>
      <c r="Z470">
        <v>-5.6635288431390212</v>
      </c>
      <c r="AA470">
        <v>806</v>
      </c>
      <c r="AB470">
        <v>70926</v>
      </c>
      <c r="AC470" t="s">
        <v>4751</v>
      </c>
      <c r="AD470">
        <v>38.69</v>
      </c>
      <c r="AE470" t="s">
        <v>5615</v>
      </c>
      <c r="AF470" t="s">
        <v>6446</v>
      </c>
      <c r="AG470">
        <v>1165</v>
      </c>
      <c r="AH470">
        <v>-13</v>
      </c>
      <c r="AI470">
        <v>3633031</v>
      </c>
      <c r="AJ470">
        <v>1.82</v>
      </c>
    </row>
    <row r="471" spans="1:36">
      <c r="A471" s="1" t="s">
        <v>505</v>
      </c>
      <c r="B471" t="s">
        <v>1369</v>
      </c>
      <c r="C471" t="str">
        <f>HYPERLINK("https://finance.naver.com/item/coinfo.nhn?code=007340", "A007340")</f>
        <v>A007340</v>
      </c>
      <c r="D471" t="str">
        <f>HYPERLINK("http://comp.fnguide.com/SVO2/ASP/SVD_Consensus.asp?pGB=1&amp;gicode=A007340&amp;cID=&amp;MenuYn=Y&amp;ReportGB=&amp;NewMenuID=108&amp;stkGb=701", "디티알오토모티브")</f>
        <v>디티알오토모티브</v>
      </c>
      <c r="E471">
        <v>3</v>
      </c>
      <c r="F471">
        <v>26200</v>
      </c>
      <c r="G471">
        <v>0</v>
      </c>
      <c r="H471">
        <v>4.46</v>
      </c>
      <c r="I471">
        <v>93533</v>
      </c>
      <c r="J471">
        <v>79285</v>
      </c>
      <c r="K471">
        <v>75236</v>
      </c>
      <c r="L471">
        <v>-257</v>
      </c>
      <c r="M471">
        <v>-202.62</v>
      </c>
      <c r="N471">
        <v>-187.16</v>
      </c>
      <c r="O471">
        <v>10.63</v>
      </c>
      <c r="P471" t="b">
        <v>1</v>
      </c>
      <c r="Q471">
        <v>0</v>
      </c>
      <c r="R471">
        <v>6584</v>
      </c>
      <c r="U471" t="s">
        <v>2233</v>
      </c>
      <c r="V471" t="s">
        <v>3097</v>
      </c>
      <c r="W471">
        <v>0</v>
      </c>
      <c r="X471">
        <v>-27.4</v>
      </c>
      <c r="Y471" t="s">
        <v>3909</v>
      </c>
      <c r="Z471">
        <v>9.2982209112366654</v>
      </c>
      <c r="AA471">
        <v>2618</v>
      </c>
      <c r="AB471">
        <v>36707</v>
      </c>
      <c r="AC471" t="s">
        <v>4752</v>
      </c>
      <c r="AD471">
        <v>51.25</v>
      </c>
      <c r="AE471" t="s">
        <v>5616</v>
      </c>
      <c r="AF471" t="s">
        <v>6447</v>
      </c>
      <c r="AG471">
        <v>9298</v>
      </c>
      <c r="AH471">
        <v>802</v>
      </c>
      <c r="AI471">
        <v>1375880</v>
      </c>
      <c r="AJ471">
        <v>5.1100000000000003</v>
      </c>
    </row>
    <row r="472" spans="1:36">
      <c r="A472" s="1" t="s">
        <v>506</v>
      </c>
      <c r="B472" t="s">
        <v>1370</v>
      </c>
      <c r="C472" t="str">
        <f>HYPERLINK("https://finance.naver.com/item/coinfo.nhn?code=001080", "A001080")</f>
        <v>A001080</v>
      </c>
      <c r="D472" t="str">
        <f>HYPERLINK("http://comp.fnguide.com/SVO2/ASP/SVD_Consensus.asp?pGB=1&amp;gicode=A001080&amp;cID=&amp;MenuYn=Y&amp;ReportGB=&amp;NewMenuID=108&amp;stkGb=701", "만호제강")</f>
        <v>만호제강</v>
      </c>
      <c r="E472">
        <v>3</v>
      </c>
      <c r="F472">
        <v>17500</v>
      </c>
      <c r="G472">
        <v>0</v>
      </c>
      <c r="H472">
        <v>44.4</v>
      </c>
      <c r="I472">
        <v>5997</v>
      </c>
      <c r="J472">
        <v>48347</v>
      </c>
      <c r="K472">
        <v>60382</v>
      </c>
      <c r="L472">
        <v>65.73</v>
      </c>
      <c r="M472">
        <v>-176.27</v>
      </c>
      <c r="N472">
        <v>-245.04</v>
      </c>
      <c r="O472">
        <v>0.62</v>
      </c>
      <c r="P472" t="b">
        <v>0</v>
      </c>
      <c r="Q472">
        <v>0</v>
      </c>
      <c r="R472">
        <v>306</v>
      </c>
      <c r="U472" t="s">
        <v>2234</v>
      </c>
      <c r="V472" t="s">
        <v>3098</v>
      </c>
      <c r="W472">
        <v>0</v>
      </c>
      <c r="X472">
        <v>-79.7</v>
      </c>
      <c r="Y472" t="s">
        <v>3910</v>
      </c>
      <c r="Z472">
        <v>-42.233616582383142</v>
      </c>
      <c r="AA472">
        <v>726</v>
      </c>
      <c r="AB472">
        <v>57946</v>
      </c>
      <c r="AC472" t="s">
        <v>4753</v>
      </c>
      <c r="AD472">
        <v>22.66</v>
      </c>
      <c r="AE472" t="s">
        <v>5617</v>
      </c>
      <c r="AF472" t="s">
        <v>6448</v>
      </c>
      <c r="AG472">
        <v>1964</v>
      </c>
      <c r="AH472">
        <v>-4</v>
      </c>
      <c r="AI472">
        <v>1108798</v>
      </c>
      <c r="AJ472">
        <v>1.47</v>
      </c>
    </row>
    <row r="473" spans="1:36">
      <c r="A473" s="1" t="s">
        <v>507</v>
      </c>
      <c r="B473" t="s">
        <v>1371</v>
      </c>
      <c r="C473" t="str">
        <f>HYPERLINK("https://finance.naver.com/item/coinfo.nhn?code=115390", "A115390")</f>
        <v>A115390</v>
      </c>
      <c r="D473" t="str">
        <f>HYPERLINK("http://comp.fnguide.com/SVO2/ASP/SVD_Consensus.asp?pGB=1&amp;gicode=A115390&amp;cID=&amp;MenuYn=Y&amp;ReportGB=&amp;NewMenuID=108&amp;stkGb=701", "락앤락")</f>
        <v>락앤락</v>
      </c>
      <c r="E473">
        <v>3</v>
      </c>
      <c r="F473">
        <v>10100</v>
      </c>
      <c r="G473">
        <v>0</v>
      </c>
      <c r="H473">
        <v>47.33</v>
      </c>
      <c r="I473">
        <v>5961</v>
      </c>
      <c r="J473">
        <v>10137</v>
      </c>
      <c r="K473">
        <v>11324</v>
      </c>
      <c r="L473">
        <v>40.98</v>
      </c>
      <c r="M473">
        <v>-0.37</v>
      </c>
      <c r="N473">
        <v>-12.12</v>
      </c>
      <c r="O473">
        <v>3.67</v>
      </c>
      <c r="P473" t="b">
        <v>0</v>
      </c>
      <c r="Q473">
        <v>0</v>
      </c>
      <c r="R473">
        <v>302</v>
      </c>
      <c r="U473" t="s">
        <v>2235</v>
      </c>
      <c r="V473" t="s">
        <v>3099</v>
      </c>
      <c r="W473">
        <v>0</v>
      </c>
      <c r="X473">
        <v>-25.8</v>
      </c>
      <c r="Y473" t="s">
        <v>3911</v>
      </c>
      <c r="Z473">
        <v>-0.31041635486175329</v>
      </c>
      <c r="AA473">
        <v>5354</v>
      </c>
      <c r="AB473">
        <v>140196</v>
      </c>
      <c r="AC473" t="s">
        <v>4754</v>
      </c>
      <c r="AD473">
        <v>67.010000000000005</v>
      </c>
      <c r="AE473" t="s">
        <v>5618</v>
      </c>
      <c r="AF473" t="s">
        <v>6449</v>
      </c>
      <c r="AG473">
        <v>4860</v>
      </c>
      <c r="AH473">
        <v>243</v>
      </c>
    </row>
    <row r="474" spans="1:36">
      <c r="A474" s="1" t="s">
        <v>508</v>
      </c>
      <c r="B474" t="s">
        <v>1372</v>
      </c>
      <c r="C474" t="str">
        <f>HYPERLINK("https://finance.naver.com/item/coinfo.nhn?code=000400", "A000400")</f>
        <v>A000400</v>
      </c>
      <c r="D474" t="str">
        <f>HYPERLINK("http://comp.fnguide.com/SVO2/ASP/SVD_Consensus.asp?pGB=1&amp;gicode=A000400&amp;cID=&amp;MenuYn=Y&amp;ReportGB=&amp;NewMenuID=108&amp;stkGb=701", "롯데손해보험")</f>
        <v>롯데손해보험</v>
      </c>
      <c r="E474">
        <v>3</v>
      </c>
      <c r="F474">
        <v>1770</v>
      </c>
      <c r="G474">
        <v>0</v>
      </c>
      <c r="I474">
        <v>3090</v>
      </c>
      <c r="J474">
        <v>3111</v>
      </c>
      <c r="K474">
        <v>3117</v>
      </c>
      <c r="L474">
        <v>-74.599999999999994</v>
      </c>
      <c r="M474">
        <v>-75.760000000000005</v>
      </c>
      <c r="N474">
        <v>-76.08</v>
      </c>
      <c r="O474">
        <v>7.85</v>
      </c>
      <c r="P474" t="b">
        <v>0</v>
      </c>
      <c r="Q474">
        <v>0</v>
      </c>
      <c r="R474">
        <v>-301</v>
      </c>
      <c r="U474" t="s">
        <v>2236</v>
      </c>
      <c r="V474" t="s">
        <v>3100</v>
      </c>
      <c r="W474">
        <v>0</v>
      </c>
      <c r="X474">
        <v>9.3000000000000007</v>
      </c>
      <c r="Y474" t="s">
        <v>3912</v>
      </c>
      <c r="Z474">
        <v>7.5595759425147291</v>
      </c>
      <c r="AA474">
        <v>5493</v>
      </c>
      <c r="AB474">
        <v>463498</v>
      </c>
      <c r="AC474" t="s">
        <v>4755</v>
      </c>
      <c r="AD474">
        <v>77.040000000000006</v>
      </c>
      <c r="AE474" t="s">
        <v>5619</v>
      </c>
      <c r="AF474" t="s">
        <v>6450</v>
      </c>
      <c r="AG474">
        <v>24291</v>
      </c>
      <c r="AH474">
        <v>-709</v>
      </c>
      <c r="AI474">
        <v>1226290</v>
      </c>
    </row>
    <row r="475" spans="1:36">
      <c r="A475" s="1" t="s">
        <v>509</v>
      </c>
      <c r="B475" t="s">
        <v>1373</v>
      </c>
      <c r="C475" t="str">
        <f>HYPERLINK("https://finance.naver.com/item/coinfo.nhn?code=023530", "A023530")</f>
        <v>A023530</v>
      </c>
      <c r="D475" t="str">
        <f>HYPERLINK("http://comp.fnguide.com/SVO2/ASP/SVD_Consensus.asp?pGB=1&amp;gicode=A023530&amp;cID=&amp;MenuYn=Y&amp;ReportGB=&amp;NewMenuID=108&amp;stkGb=701", "롯데쇼핑")</f>
        <v>롯데쇼핑</v>
      </c>
      <c r="E475">
        <v>3</v>
      </c>
      <c r="F475">
        <v>100000</v>
      </c>
      <c r="I475">
        <v>0</v>
      </c>
      <c r="J475">
        <v>225885</v>
      </c>
      <c r="K475">
        <v>290077</v>
      </c>
      <c r="L475">
        <v>100</v>
      </c>
      <c r="M475">
        <v>-125.88</v>
      </c>
      <c r="N475">
        <v>-190.08</v>
      </c>
      <c r="O475">
        <v>0</v>
      </c>
      <c r="P475" t="b">
        <v>0</v>
      </c>
      <c r="Q475">
        <v>1</v>
      </c>
      <c r="R475">
        <v>-31685</v>
      </c>
      <c r="S475">
        <v>-9536</v>
      </c>
      <c r="T475">
        <v>-69.900000000000006</v>
      </c>
      <c r="U475" t="s">
        <v>2237</v>
      </c>
      <c r="V475" t="s">
        <v>3101</v>
      </c>
      <c r="W475">
        <v>29.045968113810218</v>
      </c>
      <c r="X475">
        <v>0</v>
      </c>
      <c r="Y475" t="s">
        <v>3499</v>
      </c>
      <c r="Z475">
        <v>0</v>
      </c>
      <c r="AA475">
        <v>28289</v>
      </c>
      <c r="AB475">
        <v>95734</v>
      </c>
      <c r="AC475" t="s">
        <v>4756</v>
      </c>
      <c r="AD475">
        <v>61.89</v>
      </c>
      <c r="AE475" t="s">
        <v>5620</v>
      </c>
      <c r="AF475" t="s">
        <v>6021</v>
      </c>
      <c r="AG475">
        <v>176220</v>
      </c>
      <c r="AH475">
        <v>4279</v>
      </c>
      <c r="AI475">
        <v>18115</v>
      </c>
      <c r="AJ475">
        <v>2.8</v>
      </c>
    </row>
    <row r="476" spans="1:36">
      <c r="A476" s="1" t="s">
        <v>510</v>
      </c>
      <c r="B476" t="s">
        <v>1374</v>
      </c>
      <c r="C476" t="str">
        <f>HYPERLINK("https://finance.naver.com/item/coinfo.nhn?code=004000", "A004000")</f>
        <v>A004000</v>
      </c>
      <c r="D476" t="str">
        <f>HYPERLINK("http://comp.fnguide.com/SVO2/ASP/SVD_Consensus.asp?pGB=1&amp;gicode=A004000&amp;cID=&amp;MenuYn=Y&amp;ReportGB=&amp;NewMenuID=108&amp;stkGb=701", "롯데정밀화학")</f>
        <v>롯데정밀화학</v>
      </c>
      <c r="E476">
        <v>3</v>
      </c>
      <c r="F476">
        <v>54800</v>
      </c>
      <c r="G476">
        <v>0.31</v>
      </c>
      <c r="H476">
        <v>6.92</v>
      </c>
      <c r="I476">
        <v>93975</v>
      </c>
      <c r="J476">
        <v>72704</v>
      </c>
      <c r="K476">
        <v>66659</v>
      </c>
      <c r="L476">
        <v>-71.489999999999995</v>
      </c>
      <c r="M476">
        <v>-32.67</v>
      </c>
      <c r="N476">
        <v>-21.64</v>
      </c>
      <c r="O476">
        <v>12.73</v>
      </c>
      <c r="P476" t="b">
        <v>1</v>
      </c>
      <c r="Q476">
        <v>0</v>
      </c>
      <c r="R476">
        <v>6526</v>
      </c>
      <c r="S476">
        <v>6381</v>
      </c>
      <c r="T476">
        <v>-2.2000000000000002</v>
      </c>
      <c r="U476" t="s">
        <v>2238</v>
      </c>
      <c r="V476" t="s">
        <v>3102</v>
      </c>
      <c r="W476">
        <v>22.626885979466291</v>
      </c>
      <c r="X476">
        <v>2.1</v>
      </c>
      <c r="Y476" t="s">
        <v>3913</v>
      </c>
      <c r="Z476">
        <v>24.415579872530181</v>
      </c>
      <c r="AA476">
        <v>14138</v>
      </c>
      <c r="AB476">
        <v>112635</v>
      </c>
      <c r="AC476" t="s">
        <v>4757</v>
      </c>
      <c r="AD476">
        <v>31.13</v>
      </c>
      <c r="AE476" t="s">
        <v>5621</v>
      </c>
      <c r="AF476" t="s">
        <v>6451</v>
      </c>
      <c r="AG476">
        <v>13113</v>
      </c>
      <c r="AH476">
        <v>1897</v>
      </c>
      <c r="AI476">
        <v>330000</v>
      </c>
      <c r="AJ476">
        <v>3.77</v>
      </c>
    </row>
    <row r="477" spans="1:36">
      <c r="A477" s="1" t="s">
        <v>511</v>
      </c>
      <c r="B477" t="s">
        <v>1375</v>
      </c>
      <c r="C477" t="str">
        <f>HYPERLINK("https://finance.naver.com/item/coinfo.nhn?code=280360", "A280360")</f>
        <v>A280360</v>
      </c>
      <c r="D477" t="str">
        <f>HYPERLINK("http://comp.fnguide.com/SVO2/ASP/SVD_Consensus.asp?pGB=1&amp;gicode=A280360&amp;cID=&amp;MenuYn=Y&amp;ReportGB=&amp;NewMenuID=108&amp;stkGb=701", "롯데제과")</f>
        <v>롯데제과</v>
      </c>
      <c r="E477">
        <v>3</v>
      </c>
      <c r="F477">
        <v>102500</v>
      </c>
      <c r="G477">
        <v>0</v>
      </c>
      <c r="H477">
        <v>25.2</v>
      </c>
      <c r="I477">
        <v>45339</v>
      </c>
      <c r="J477">
        <v>131561</v>
      </c>
      <c r="K477">
        <v>156063</v>
      </c>
      <c r="L477">
        <v>55.77</v>
      </c>
      <c r="M477">
        <v>-28.35</v>
      </c>
      <c r="N477">
        <v>-52.26</v>
      </c>
      <c r="O477">
        <v>1.91</v>
      </c>
      <c r="P477" t="b">
        <v>1</v>
      </c>
      <c r="Q477">
        <v>0</v>
      </c>
      <c r="R477">
        <v>5932</v>
      </c>
      <c r="U477" t="s">
        <v>2239</v>
      </c>
      <c r="V477" t="s">
        <v>3103</v>
      </c>
      <c r="W477">
        <v>0</v>
      </c>
      <c r="X477">
        <v>-8.6999999999999993</v>
      </c>
      <c r="Y477" t="s">
        <v>3914</v>
      </c>
      <c r="Z477">
        <v>0</v>
      </c>
      <c r="AA477">
        <v>6577</v>
      </c>
      <c r="AB477">
        <v>10124</v>
      </c>
      <c r="AC477" t="s">
        <v>4758</v>
      </c>
      <c r="AD477">
        <v>77.69</v>
      </c>
      <c r="AE477" t="s">
        <v>5622</v>
      </c>
      <c r="AF477" t="s">
        <v>6452</v>
      </c>
      <c r="AG477">
        <v>20930</v>
      </c>
      <c r="AH477">
        <v>973</v>
      </c>
      <c r="AI477">
        <v>4578</v>
      </c>
      <c r="AJ477">
        <v>0.87</v>
      </c>
    </row>
    <row r="478" spans="1:36">
      <c r="A478" s="1" t="s">
        <v>512</v>
      </c>
      <c r="B478" t="s">
        <v>1376</v>
      </c>
      <c r="C478" t="str">
        <f>HYPERLINK("https://finance.naver.com/item/coinfo.nhn?code=004990", "A004990")</f>
        <v>A004990</v>
      </c>
      <c r="D478" t="str">
        <f>HYPERLINK("http://comp.fnguide.com/SVO2/ASP/SVD_Consensus.asp?pGB=1&amp;gicode=A004990&amp;cID=&amp;MenuYn=Y&amp;ReportGB=&amp;NewMenuID=108&amp;stkGb=701", "롯데지주")</f>
        <v>롯데지주</v>
      </c>
      <c r="E478">
        <v>3</v>
      </c>
      <c r="F478">
        <v>34700</v>
      </c>
      <c r="G478">
        <v>0</v>
      </c>
      <c r="I478">
        <v>32892</v>
      </c>
      <c r="J478">
        <v>70034</v>
      </c>
      <c r="K478">
        <v>80589</v>
      </c>
      <c r="L478">
        <v>5.21</v>
      </c>
      <c r="M478">
        <v>-101.83</v>
      </c>
      <c r="N478">
        <v>-132.24</v>
      </c>
      <c r="O478">
        <v>2.76</v>
      </c>
      <c r="P478" t="b">
        <v>0</v>
      </c>
      <c r="Q478">
        <v>1</v>
      </c>
      <c r="R478">
        <v>-3395</v>
      </c>
      <c r="S478">
        <v>-534</v>
      </c>
      <c r="T478">
        <v>-84.3</v>
      </c>
      <c r="U478" t="s">
        <v>2240</v>
      </c>
      <c r="V478" t="s">
        <v>3104</v>
      </c>
      <c r="W478">
        <v>0</v>
      </c>
      <c r="X478">
        <v>-91.1</v>
      </c>
      <c r="Y478" t="s">
        <v>3915</v>
      </c>
      <c r="Z478">
        <v>-47.923284380741457</v>
      </c>
      <c r="AA478">
        <v>36404</v>
      </c>
      <c r="AB478">
        <v>147765</v>
      </c>
      <c r="AC478" t="s">
        <v>4759</v>
      </c>
      <c r="AD478">
        <v>42.63</v>
      </c>
      <c r="AE478" t="s">
        <v>5623</v>
      </c>
      <c r="AF478" t="s">
        <v>6453</v>
      </c>
      <c r="AG478">
        <v>88562</v>
      </c>
      <c r="AH478">
        <v>1749</v>
      </c>
      <c r="AI478">
        <v>34103937</v>
      </c>
      <c r="AJ478">
        <v>2.82</v>
      </c>
    </row>
    <row r="479" spans="1:36">
      <c r="A479" s="1" t="s">
        <v>513</v>
      </c>
      <c r="B479" t="s">
        <v>1377</v>
      </c>
      <c r="C479" t="str">
        <f>HYPERLINK("https://finance.naver.com/item/coinfo.nhn?code=005300", "A005300")</f>
        <v>A005300</v>
      </c>
      <c r="D479" t="str">
        <f>HYPERLINK("http://comp.fnguide.com/SVO2/ASP/SVD_Consensus.asp?pGB=1&amp;gicode=A005300&amp;cID=&amp;MenuYn=Y&amp;ReportGB=&amp;NewMenuID=108&amp;stkGb=701", "롯데칠성")</f>
        <v>롯데칠성</v>
      </c>
      <c r="E479">
        <v>3</v>
      </c>
      <c r="F479">
        <v>111500</v>
      </c>
      <c r="I479">
        <v>21889</v>
      </c>
      <c r="J479">
        <v>93966</v>
      </c>
      <c r="K479">
        <v>114449</v>
      </c>
      <c r="L479">
        <v>80.37</v>
      </c>
      <c r="M479">
        <v>15.73</v>
      </c>
      <c r="N479">
        <v>-2.64</v>
      </c>
      <c r="O479">
        <v>1.23</v>
      </c>
      <c r="P479" t="b">
        <v>0</v>
      </c>
      <c r="Q479">
        <v>1</v>
      </c>
      <c r="R479">
        <v>-16243</v>
      </c>
      <c r="S479">
        <v>3588</v>
      </c>
      <c r="T479">
        <v>-122.1</v>
      </c>
      <c r="U479" t="s">
        <v>2241</v>
      </c>
      <c r="V479" t="s">
        <v>3105</v>
      </c>
      <c r="W479">
        <v>-30.658044475065331</v>
      </c>
      <c r="X479">
        <v>0</v>
      </c>
      <c r="Y479" t="s">
        <v>3916</v>
      </c>
      <c r="Z479">
        <v>21.126710514237939</v>
      </c>
      <c r="AA479">
        <v>10007</v>
      </c>
      <c r="AB479">
        <v>28607</v>
      </c>
      <c r="AC479" t="s">
        <v>4760</v>
      </c>
      <c r="AD479">
        <v>62.8</v>
      </c>
      <c r="AE479" t="s">
        <v>5624</v>
      </c>
      <c r="AF479" t="s">
        <v>6454</v>
      </c>
      <c r="AG479">
        <v>24295</v>
      </c>
      <c r="AH479">
        <v>1077</v>
      </c>
      <c r="AI479">
        <v>420110</v>
      </c>
      <c r="AJ479">
        <v>1.93</v>
      </c>
    </row>
    <row r="480" spans="1:36">
      <c r="A480" s="1" t="s">
        <v>514</v>
      </c>
      <c r="B480" t="s">
        <v>1378</v>
      </c>
      <c r="C480" t="str">
        <f>HYPERLINK("https://finance.naver.com/item/coinfo.nhn?code=011170", "A011170")</f>
        <v>A011170</v>
      </c>
      <c r="D480" t="str">
        <f>HYPERLINK("http://comp.fnguide.com/SVO2/ASP/SVD_Consensus.asp?pGB=1&amp;gicode=A011170&amp;cID=&amp;MenuYn=Y&amp;ReportGB=&amp;NewMenuID=108&amp;stkGb=701", "롯데케미칼")</f>
        <v>롯데케미칼</v>
      </c>
      <c r="E480">
        <v>3</v>
      </c>
      <c r="F480">
        <v>265000</v>
      </c>
      <c r="G480">
        <v>-0.21</v>
      </c>
      <c r="H480">
        <v>10.74</v>
      </c>
      <c r="I480">
        <v>518591</v>
      </c>
      <c r="J480">
        <v>438360</v>
      </c>
      <c r="K480">
        <v>415560</v>
      </c>
      <c r="L480">
        <v>-95.69</v>
      </c>
      <c r="M480">
        <v>-65.42</v>
      </c>
      <c r="N480">
        <v>-56.82</v>
      </c>
      <c r="O480">
        <v>10.69</v>
      </c>
      <c r="P480" t="b">
        <v>1</v>
      </c>
      <c r="Q480">
        <v>0</v>
      </c>
      <c r="R480">
        <v>20860</v>
      </c>
      <c r="S480">
        <v>7444</v>
      </c>
      <c r="T480">
        <v>-64.3</v>
      </c>
      <c r="U480" t="s">
        <v>2242</v>
      </c>
      <c r="V480" t="s">
        <v>3106</v>
      </c>
      <c r="W480">
        <v>-51.532975403341432</v>
      </c>
      <c r="X480">
        <v>-87.8</v>
      </c>
      <c r="Y480" t="s">
        <v>3917</v>
      </c>
      <c r="Z480">
        <v>-38.502887416924402</v>
      </c>
      <c r="AA480">
        <v>90830</v>
      </c>
      <c r="AB480">
        <v>293956</v>
      </c>
      <c r="AC480" t="s">
        <v>4761</v>
      </c>
      <c r="AD480">
        <v>54.92</v>
      </c>
      <c r="AE480" t="s">
        <v>5625</v>
      </c>
      <c r="AF480" t="s">
        <v>6455</v>
      </c>
      <c r="AG480">
        <v>151235</v>
      </c>
      <c r="AH480">
        <v>11073</v>
      </c>
      <c r="AJ480">
        <v>2.99</v>
      </c>
    </row>
    <row r="481" spans="1:36">
      <c r="A481" s="1" t="s">
        <v>515</v>
      </c>
      <c r="B481" t="s">
        <v>1379</v>
      </c>
      <c r="C481" t="str">
        <f>HYPERLINK("https://finance.naver.com/item/coinfo.nhn?code=002270", "A002270")</f>
        <v>A002270</v>
      </c>
      <c r="D481" t="str">
        <f>HYPERLINK("http://comp.fnguide.com/SVO2/ASP/SVD_Consensus.asp?pGB=1&amp;gicode=A002270&amp;cID=&amp;MenuYn=Y&amp;ReportGB=&amp;NewMenuID=108&amp;stkGb=701", "롯데푸드")</f>
        <v>롯데푸드</v>
      </c>
      <c r="E481">
        <v>3</v>
      </c>
      <c r="F481">
        <v>342500</v>
      </c>
      <c r="G481">
        <v>-4.29</v>
      </c>
      <c r="H481">
        <v>12.46</v>
      </c>
      <c r="I481">
        <v>663373</v>
      </c>
      <c r="J481">
        <v>732121</v>
      </c>
      <c r="K481">
        <v>751658</v>
      </c>
      <c r="L481">
        <v>-93.69</v>
      </c>
      <c r="M481">
        <v>-113.76</v>
      </c>
      <c r="N481">
        <v>-119.46</v>
      </c>
      <c r="O481">
        <v>6.77</v>
      </c>
      <c r="P481" t="b">
        <v>1</v>
      </c>
      <c r="Q481">
        <v>1</v>
      </c>
      <c r="R481">
        <v>33151</v>
      </c>
      <c r="S481">
        <v>66026</v>
      </c>
      <c r="T481">
        <v>99.2</v>
      </c>
      <c r="U481" t="s">
        <v>2243</v>
      </c>
      <c r="V481" t="s">
        <v>3107</v>
      </c>
      <c r="W481">
        <v>-2.9046240821982821</v>
      </c>
      <c r="X481">
        <v>99.1</v>
      </c>
      <c r="Y481" t="s">
        <v>3918</v>
      </c>
      <c r="Z481">
        <v>12.425568886112989</v>
      </c>
      <c r="AA481">
        <v>3877</v>
      </c>
      <c r="AB481">
        <v>5771</v>
      </c>
      <c r="AC481" t="s">
        <v>4762</v>
      </c>
      <c r="AD481">
        <v>48.22</v>
      </c>
      <c r="AE481" t="s">
        <v>5626</v>
      </c>
      <c r="AF481" t="s">
        <v>6456</v>
      </c>
      <c r="AG481">
        <v>17880</v>
      </c>
      <c r="AH481">
        <v>495</v>
      </c>
      <c r="AI481">
        <v>222060</v>
      </c>
      <c r="AJ481">
        <v>2.91</v>
      </c>
    </row>
    <row r="482" spans="1:36">
      <c r="A482" s="1" t="s">
        <v>516</v>
      </c>
      <c r="B482" t="s">
        <v>1380</v>
      </c>
      <c r="C482" t="str">
        <f>HYPERLINK("https://finance.naver.com/item/coinfo.nhn?code=071840", "A071840")</f>
        <v>A071840</v>
      </c>
      <c r="D482" t="str">
        <f>HYPERLINK("http://comp.fnguide.com/SVO2/ASP/SVD_Consensus.asp?pGB=1&amp;gicode=A071840&amp;cID=&amp;MenuYn=Y&amp;ReportGB=&amp;NewMenuID=108&amp;stkGb=701", "롯데하이마트")</f>
        <v>롯데하이마트</v>
      </c>
      <c r="E482">
        <v>3</v>
      </c>
      <c r="F482">
        <v>31500</v>
      </c>
      <c r="G482">
        <v>0</v>
      </c>
      <c r="I482">
        <v>27222</v>
      </c>
      <c r="J482">
        <v>59825</v>
      </c>
      <c r="K482">
        <v>69091</v>
      </c>
      <c r="L482">
        <v>13.58</v>
      </c>
      <c r="M482">
        <v>-89.92</v>
      </c>
      <c r="N482">
        <v>-119.34</v>
      </c>
      <c r="O482">
        <v>2.65</v>
      </c>
      <c r="P482" t="b">
        <v>0</v>
      </c>
      <c r="Q482">
        <v>0</v>
      </c>
      <c r="R482">
        <v>-4232</v>
      </c>
      <c r="U482" t="s">
        <v>2244</v>
      </c>
      <c r="V482" t="s">
        <v>3108</v>
      </c>
      <c r="W482">
        <v>0</v>
      </c>
      <c r="X482">
        <v>38.299999999999997</v>
      </c>
      <c r="Y482" t="s">
        <v>3919</v>
      </c>
      <c r="Z482">
        <v>2.6147752743941539</v>
      </c>
      <c r="AA482">
        <v>7436</v>
      </c>
      <c r="AB482">
        <v>67928</v>
      </c>
      <c r="AC482" t="s">
        <v>4763</v>
      </c>
      <c r="AD482">
        <v>61.02</v>
      </c>
      <c r="AE482" t="s">
        <v>5627</v>
      </c>
      <c r="AF482" t="s">
        <v>6457</v>
      </c>
      <c r="AG482">
        <v>40265</v>
      </c>
      <c r="AH482">
        <v>1099</v>
      </c>
      <c r="AJ482">
        <v>3.24</v>
      </c>
    </row>
    <row r="483" spans="1:36">
      <c r="A483" s="1" t="s">
        <v>517</v>
      </c>
      <c r="B483" t="s">
        <v>1381</v>
      </c>
      <c r="C483" t="str">
        <f>HYPERLINK("https://finance.naver.com/item/coinfo.nhn?code=138040", "A138040")</f>
        <v>A138040</v>
      </c>
      <c r="D483" t="str">
        <f>HYPERLINK("http://comp.fnguide.com/SVO2/ASP/SVD_Consensus.asp?pGB=1&amp;gicode=A138040&amp;cID=&amp;MenuYn=Y&amp;ReportGB=&amp;NewMenuID=108&amp;stkGb=701", "메리츠금융지주")</f>
        <v>메리츠금융지주</v>
      </c>
      <c r="E483">
        <v>3</v>
      </c>
      <c r="F483">
        <v>10500</v>
      </c>
      <c r="G483">
        <v>0</v>
      </c>
      <c r="H483">
        <v>4.1500000000000004</v>
      </c>
      <c r="I483">
        <v>40728</v>
      </c>
      <c r="J483">
        <v>28787</v>
      </c>
      <c r="K483">
        <v>25393</v>
      </c>
      <c r="L483">
        <v>-287.89</v>
      </c>
      <c r="M483">
        <v>-174.16</v>
      </c>
      <c r="N483">
        <v>-141.84</v>
      </c>
      <c r="O483">
        <v>15.49</v>
      </c>
      <c r="P483" t="b">
        <v>1</v>
      </c>
      <c r="Q483">
        <v>0</v>
      </c>
      <c r="R483">
        <v>2841</v>
      </c>
      <c r="U483" t="s">
        <v>2245</v>
      </c>
      <c r="V483" t="s">
        <v>3109</v>
      </c>
      <c r="W483">
        <v>0</v>
      </c>
      <c r="X483">
        <v>4.8</v>
      </c>
      <c r="Y483" t="s">
        <v>3920</v>
      </c>
      <c r="Z483">
        <v>4.5394133651112778</v>
      </c>
      <c r="AA483">
        <v>14071</v>
      </c>
      <c r="AB483">
        <v>247697</v>
      </c>
      <c r="AC483" t="s">
        <v>4764</v>
      </c>
      <c r="AD483">
        <v>72.25</v>
      </c>
      <c r="AE483" t="s">
        <v>5628</v>
      </c>
      <c r="AF483" t="s">
        <v>6458</v>
      </c>
      <c r="AG483">
        <v>18316</v>
      </c>
      <c r="AH483">
        <v>9623</v>
      </c>
      <c r="AI483">
        <v>2385670</v>
      </c>
      <c r="AJ483">
        <v>4.66</v>
      </c>
    </row>
    <row r="484" spans="1:36">
      <c r="A484" s="1" t="s">
        <v>518</v>
      </c>
      <c r="B484" t="s">
        <v>1382</v>
      </c>
      <c r="C484" t="str">
        <f>HYPERLINK("https://finance.naver.com/item/coinfo.nhn?code=003650", "A003650")</f>
        <v>A003650</v>
      </c>
      <c r="D484" t="str">
        <f>HYPERLINK("http://comp.fnguide.com/SVO2/ASP/SVD_Consensus.asp?pGB=1&amp;gicode=A003650&amp;cID=&amp;MenuYn=Y&amp;ReportGB=&amp;NewMenuID=108&amp;stkGb=701", "미창석유")</f>
        <v>미창석유</v>
      </c>
      <c r="E484">
        <v>3</v>
      </c>
      <c r="F484">
        <v>65600</v>
      </c>
      <c r="G484">
        <v>0</v>
      </c>
      <c r="H484">
        <v>7.79</v>
      </c>
      <c r="I484">
        <v>123908</v>
      </c>
      <c r="J484">
        <v>151916</v>
      </c>
      <c r="K484">
        <v>159875</v>
      </c>
      <c r="L484">
        <v>-88.88</v>
      </c>
      <c r="M484">
        <v>-131.58000000000001</v>
      </c>
      <c r="N484">
        <v>-143.71</v>
      </c>
      <c r="O484">
        <v>5.77</v>
      </c>
      <c r="P484" t="b">
        <v>1</v>
      </c>
      <c r="Q484">
        <v>0</v>
      </c>
      <c r="R484">
        <v>10189</v>
      </c>
      <c r="U484" t="s">
        <v>2246</v>
      </c>
      <c r="V484" t="s">
        <v>3110</v>
      </c>
      <c r="W484">
        <v>0</v>
      </c>
      <c r="X484">
        <v>11.9</v>
      </c>
      <c r="Y484" t="s">
        <v>3921</v>
      </c>
      <c r="Z484">
        <v>-4.614862285258603</v>
      </c>
      <c r="AA484">
        <v>1141</v>
      </c>
      <c r="AB484">
        <v>985</v>
      </c>
      <c r="AC484" t="s">
        <v>4765</v>
      </c>
      <c r="AD484">
        <v>40.24</v>
      </c>
      <c r="AE484" t="s">
        <v>5629</v>
      </c>
      <c r="AF484" t="s">
        <v>6459</v>
      </c>
      <c r="AG484">
        <v>3237</v>
      </c>
      <c r="AH484">
        <v>175</v>
      </c>
      <c r="AI484">
        <v>226693</v>
      </c>
      <c r="AJ484">
        <v>2.52</v>
      </c>
    </row>
    <row r="485" spans="1:36">
      <c r="A485" s="1" t="s">
        <v>519</v>
      </c>
      <c r="B485" t="s">
        <v>1383</v>
      </c>
      <c r="C485" t="str">
        <f>HYPERLINK("https://finance.naver.com/item/coinfo.nhn?code=008560", "A008560")</f>
        <v>A008560</v>
      </c>
      <c r="D485" t="str">
        <f>HYPERLINK("http://comp.fnguide.com/SVO2/ASP/SVD_Consensus.asp?pGB=1&amp;gicode=A008560&amp;cID=&amp;MenuYn=Y&amp;ReportGB=&amp;NewMenuID=108&amp;stkGb=701", "메리츠증권")</f>
        <v>메리츠증권</v>
      </c>
      <c r="E485">
        <v>3</v>
      </c>
      <c r="F485">
        <v>3885</v>
      </c>
      <c r="G485">
        <v>0.54</v>
      </c>
      <c r="H485">
        <v>4.8</v>
      </c>
      <c r="I485">
        <v>11047</v>
      </c>
      <c r="J485">
        <v>8127</v>
      </c>
      <c r="K485">
        <v>7297</v>
      </c>
      <c r="L485">
        <v>-184.35</v>
      </c>
      <c r="M485">
        <v>-109.19</v>
      </c>
      <c r="N485">
        <v>-87.83</v>
      </c>
      <c r="O485">
        <v>14.16</v>
      </c>
      <c r="P485" t="b">
        <v>1</v>
      </c>
      <c r="Q485">
        <v>0</v>
      </c>
      <c r="R485">
        <v>789</v>
      </c>
      <c r="S485">
        <v>721</v>
      </c>
      <c r="T485">
        <v>-8.6</v>
      </c>
      <c r="U485" t="s">
        <v>2247</v>
      </c>
      <c r="V485" t="s">
        <v>3111</v>
      </c>
      <c r="W485">
        <v>8.8733359626475448</v>
      </c>
      <c r="X485">
        <v>13.2</v>
      </c>
      <c r="Y485" t="s">
        <v>3922</v>
      </c>
      <c r="Z485">
        <v>13.83757090484359</v>
      </c>
      <c r="AA485">
        <v>26261</v>
      </c>
      <c r="AB485">
        <v>3416567</v>
      </c>
      <c r="AC485" t="s">
        <v>4766</v>
      </c>
      <c r="AD485">
        <v>49.59</v>
      </c>
      <c r="AE485" t="s">
        <v>5630</v>
      </c>
      <c r="AF485" t="s">
        <v>6460</v>
      </c>
      <c r="AG485">
        <v>11587</v>
      </c>
      <c r="AH485">
        <v>6799</v>
      </c>
      <c r="AI485">
        <v>43138182</v>
      </c>
      <c r="AJ485">
        <v>5.28</v>
      </c>
    </row>
    <row r="486" spans="1:36">
      <c r="A486" s="1" t="s">
        <v>520</v>
      </c>
      <c r="B486" t="s">
        <v>1384</v>
      </c>
      <c r="C486" t="str">
        <f>HYPERLINK("https://finance.naver.com/item/coinfo.nhn?code=000060", "A000060")</f>
        <v>A000060</v>
      </c>
      <c r="D486" t="str">
        <f>HYPERLINK("http://comp.fnguide.com/SVO2/ASP/SVD_Consensus.asp?pGB=1&amp;gicode=A000060&amp;cID=&amp;MenuYn=Y&amp;ReportGB=&amp;NewMenuID=108&amp;stkGb=701", "메리츠화재")</f>
        <v>메리츠화재</v>
      </c>
      <c r="E486">
        <v>3</v>
      </c>
      <c r="F486">
        <v>16450</v>
      </c>
      <c r="G486">
        <v>-6.06</v>
      </c>
      <c r="H486">
        <v>6.75</v>
      </c>
      <c r="I486">
        <v>36304</v>
      </c>
      <c r="J486">
        <v>26861</v>
      </c>
      <c r="K486">
        <v>24177</v>
      </c>
      <c r="L486">
        <v>-120.69</v>
      </c>
      <c r="M486">
        <v>-63.29</v>
      </c>
      <c r="N486">
        <v>-46.98</v>
      </c>
      <c r="O486">
        <v>13.99</v>
      </c>
      <c r="P486" t="b">
        <v>1</v>
      </c>
      <c r="Q486">
        <v>2</v>
      </c>
      <c r="R486">
        <v>2643</v>
      </c>
      <c r="S486">
        <v>3364</v>
      </c>
      <c r="T486">
        <v>27.3</v>
      </c>
      <c r="U486" t="s">
        <v>2248</v>
      </c>
      <c r="V486" t="s">
        <v>3112</v>
      </c>
      <c r="W486">
        <v>-1.113322198250122</v>
      </c>
      <c r="X486">
        <v>16.5</v>
      </c>
      <c r="Y486" t="s">
        <v>3923</v>
      </c>
      <c r="Z486">
        <v>15.65850051513527</v>
      </c>
      <c r="AA486">
        <v>19843</v>
      </c>
      <c r="AB486">
        <v>625185</v>
      </c>
      <c r="AC486" t="s">
        <v>4767</v>
      </c>
      <c r="AD486">
        <v>56.32</v>
      </c>
      <c r="AE486" t="s">
        <v>5631</v>
      </c>
      <c r="AF486" t="s">
        <v>6461</v>
      </c>
      <c r="AG486">
        <v>80830</v>
      </c>
      <c r="AH486">
        <v>3528</v>
      </c>
      <c r="AI486">
        <v>2600822</v>
      </c>
      <c r="AJ486">
        <v>4.76</v>
      </c>
    </row>
    <row r="487" spans="1:36">
      <c r="A487" s="1" t="s">
        <v>521</v>
      </c>
      <c r="B487" t="s">
        <v>1385</v>
      </c>
      <c r="C487" t="str">
        <f>HYPERLINK("https://finance.naver.com/item/coinfo.nhn?code=009680", "A009680")</f>
        <v>A009680</v>
      </c>
      <c r="D487" t="str">
        <f>HYPERLINK("http://comp.fnguide.com/SVO2/ASP/SVD_Consensus.asp?pGB=1&amp;gicode=A009680&amp;cID=&amp;MenuYn=Y&amp;ReportGB=&amp;NewMenuID=108&amp;stkGb=701", "모토닉")</f>
        <v>모토닉</v>
      </c>
      <c r="E487">
        <v>3</v>
      </c>
      <c r="F487">
        <v>11650</v>
      </c>
      <c r="G487">
        <v>0</v>
      </c>
      <c r="H487">
        <v>25.72</v>
      </c>
      <c r="I487">
        <v>6254</v>
      </c>
      <c r="J487">
        <v>13724</v>
      </c>
      <c r="K487">
        <v>15847</v>
      </c>
      <c r="L487">
        <v>46.31</v>
      </c>
      <c r="M487">
        <v>-17.8</v>
      </c>
      <c r="N487">
        <v>-36.03</v>
      </c>
      <c r="O487">
        <v>2.66</v>
      </c>
      <c r="P487" t="b">
        <v>0</v>
      </c>
      <c r="Q487">
        <v>0</v>
      </c>
      <c r="R487">
        <v>344</v>
      </c>
      <c r="U487" t="s">
        <v>2249</v>
      </c>
      <c r="V487" t="s">
        <v>3113</v>
      </c>
      <c r="W487">
        <v>0</v>
      </c>
      <c r="X487">
        <v>-21</v>
      </c>
      <c r="Y487" t="s">
        <v>3924</v>
      </c>
      <c r="Z487">
        <v>-0.53132221518938927</v>
      </c>
      <c r="AA487">
        <v>3845</v>
      </c>
      <c r="AB487">
        <v>820093</v>
      </c>
      <c r="AC487" t="s">
        <v>4768</v>
      </c>
      <c r="AD487">
        <v>38.83</v>
      </c>
      <c r="AE487" t="s">
        <v>5632</v>
      </c>
      <c r="AF487" t="s">
        <v>6462</v>
      </c>
      <c r="AG487">
        <v>2076</v>
      </c>
      <c r="AH487">
        <v>97</v>
      </c>
      <c r="AI487">
        <v>11151419</v>
      </c>
      <c r="AJ487">
        <v>3.39</v>
      </c>
    </row>
    <row r="488" spans="1:36">
      <c r="A488" s="1" t="s">
        <v>522</v>
      </c>
      <c r="B488" t="s">
        <v>1386</v>
      </c>
      <c r="C488" t="str">
        <f>HYPERLINK("https://finance.naver.com/item/coinfo.nhn?code=009580", "A009580")</f>
        <v>A009580</v>
      </c>
      <c r="D488" t="str">
        <f>HYPERLINK("http://comp.fnguide.com/SVO2/ASP/SVD_Consensus.asp?pGB=1&amp;gicode=A009580&amp;cID=&amp;MenuYn=Y&amp;ReportGB=&amp;NewMenuID=108&amp;stkGb=701", "무림P&amp;P")</f>
        <v>무림P&amp;P</v>
      </c>
      <c r="E488">
        <v>3</v>
      </c>
      <c r="F488">
        <v>3545</v>
      </c>
      <c r="G488">
        <v>0</v>
      </c>
      <c r="H488">
        <v>26.08</v>
      </c>
      <c r="I488">
        <v>7278</v>
      </c>
      <c r="J488">
        <v>8821</v>
      </c>
      <c r="K488">
        <v>9259</v>
      </c>
      <c r="L488">
        <v>-105.31</v>
      </c>
      <c r="M488">
        <v>-148.83000000000001</v>
      </c>
      <c r="N488">
        <v>-161.19999999999999</v>
      </c>
      <c r="O488">
        <v>5.87</v>
      </c>
      <c r="P488" t="b">
        <v>0</v>
      </c>
      <c r="Q488">
        <v>0</v>
      </c>
      <c r="R488">
        <v>162</v>
      </c>
      <c r="S488">
        <v>-128</v>
      </c>
      <c r="T488">
        <v>-179</v>
      </c>
      <c r="U488" t="s">
        <v>2250</v>
      </c>
      <c r="V488" t="s">
        <v>3114</v>
      </c>
      <c r="W488">
        <v>0</v>
      </c>
      <c r="X488">
        <v>-98.3</v>
      </c>
      <c r="Y488" t="s">
        <v>3925</v>
      </c>
      <c r="Z488">
        <v>-83.230866151320157</v>
      </c>
      <c r="AA488">
        <v>2211</v>
      </c>
      <c r="AB488">
        <v>325898</v>
      </c>
      <c r="AC488" t="s">
        <v>4769</v>
      </c>
      <c r="AD488">
        <v>66.97</v>
      </c>
      <c r="AE488" t="s">
        <v>5633</v>
      </c>
      <c r="AF488" t="s">
        <v>6463</v>
      </c>
      <c r="AG488">
        <v>6313</v>
      </c>
      <c r="AH488">
        <v>494</v>
      </c>
      <c r="AI488">
        <v>4546</v>
      </c>
      <c r="AJ488">
        <v>4.1399999999999997</v>
      </c>
    </row>
    <row r="489" spans="1:36">
      <c r="A489" s="1" t="s">
        <v>523</v>
      </c>
      <c r="B489" t="s">
        <v>1387</v>
      </c>
      <c r="C489" t="str">
        <f>HYPERLINK("https://finance.naver.com/item/coinfo.nhn?code=009200", "A009200")</f>
        <v>A009200</v>
      </c>
      <c r="D489" t="str">
        <f>HYPERLINK("http://comp.fnguide.com/SVO2/ASP/SVD_Consensus.asp?pGB=1&amp;gicode=A009200&amp;cID=&amp;MenuYn=Y&amp;ReportGB=&amp;NewMenuID=108&amp;stkGb=701", "무림페이퍼")</f>
        <v>무림페이퍼</v>
      </c>
      <c r="E489">
        <v>3</v>
      </c>
      <c r="F489">
        <v>2680</v>
      </c>
      <c r="G489">
        <v>0</v>
      </c>
      <c r="I489">
        <v>5043</v>
      </c>
      <c r="J489">
        <v>8344</v>
      </c>
      <c r="K489">
        <v>9282</v>
      </c>
      <c r="L489">
        <v>-88.19</v>
      </c>
      <c r="M489">
        <v>-211.34</v>
      </c>
      <c r="N489">
        <v>-246.34</v>
      </c>
      <c r="O489">
        <v>3.8</v>
      </c>
      <c r="P489" t="b">
        <v>0</v>
      </c>
      <c r="Q489">
        <v>0</v>
      </c>
      <c r="R489">
        <v>-231</v>
      </c>
      <c r="U489" t="s">
        <v>2251</v>
      </c>
      <c r="V489" t="s">
        <v>3115</v>
      </c>
      <c r="W489">
        <v>0</v>
      </c>
      <c r="X489">
        <v>-80.8</v>
      </c>
      <c r="Y489" t="s">
        <v>3926</v>
      </c>
      <c r="Z489">
        <v>208.23334203658331</v>
      </c>
      <c r="AA489">
        <v>1115</v>
      </c>
      <c r="AB489">
        <v>632531</v>
      </c>
      <c r="AC489" t="s">
        <v>4770</v>
      </c>
      <c r="AD489">
        <v>54.07</v>
      </c>
      <c r="AE489" t="s">
        <v>5634</v>
      </c>
      <c r="AF489" t="s">
        <v>6464</v>
      </c>
      <c r="AG489">
        <v>11237</v>
      </c>
      <c r="AH489">
        <v>688</v>
      </c>
      <c r="AJ489">
        <v>2.0099999999999998</v>
      </c>
    </row>
    <row r="490" spans="1:36">
      <c r="A490" s="1" t="s">
        <v>524</v>
      </c>
      <c r="B490" t="s">
        <v>1388</v>
      </c>
      <c r="C490" t="str">
        <f>HYPERLINK("https://finance.naver.com/item/coinfo.nhn?code=033920", "A033920")</f>
        <v>A033920</v>
      </c>
      <c r="D490" t="str">
        <f>HYPERLINK("http://comp.fnguide.com/SVO2/ASP/SVD_Consensus.asp?pGB=1&amp;gicode=A033920&amp;cID=&amp;MenuYn=Y&amp;ReportGB=&amp;NewMenuID=108&amp;stkGb=701", "무학")</f>
        <v>무학</v>
      </c>
      <c r="E490">
        <v>3</v>
      </c>
      <c r="F490">
        <v>7000</v>
      </c>
      <c r="G490">
        <v>0</v>
      </c>
      <c r="H490">
        <v>10.210000000000001</v>
      </c>
      <c r="I490">
        <v>9521</v>
      </c>
      <c r="J490">
        <v>15188</v>
      </c>
      <c r="K490">
        <v>16798</v>
      </c>
      <c r="L490">
        <v>-36.020000000000003</v>
      </c>
      <c r="M490">
        <v>-116.97</v>
      </c>
      <c r="N490">
        <v>-139.97</v>
      </c>
      <c r="O490">
        <v>3.99</v>
      </c>
      <c r="P490" t="b">
        <v>1</v>
      </c>
      <c r="Q490">
        <v>0</v>
      </c>
      <c r="R490">
        <v>832</v>
      </c>
      <c r="U490" t="s">
        <v>2252</v>
      </c>
      <c r="V490" t="s">
        <v>3116</v>
      </c>
      <c r="W490">
        <v>0</v>
      </c>
      <c r="X490">
        <v>0</v>
      </c>
      <c r="Y490" t="s">
        <v>3927</v>
      </c>
      <c r="Z490">
        <v>33.727035411692277</v>
      </c>
      <c r="AA490">
        <v>1995</v>
      </c>
      <c r="AB490">
        <v>37160</v>
      </c>
      <c r="AC490" t="s">
        <v>4771</v>
      </c>
      <c r="AD490">
        <v>61.14</v>
      </c>
      <c r="AE490" t="s">
        <v>5635</v>
      </c>
      <c r="AF490" t="s">
        <v>6465</v>
      </c>
      <c r="AG490">
        <v>1664</v>
      </c>
      <c r="AH490">
        <v>-134</v>
      </c>
      <c r="AI490">
        <v>1313132</v>
      </c>
    </row>
    <row r="491" spans="1:36">
      <c r="A491" s="1" t="s">
        <v>525</v>
      </c>
      <c r="B491" t="s">
        <v>1389</v>
      </c>
      <c r="C491" t="str">
        <f>HYPERLINK("https://finance.naver.com/item/coinfo.nhn?code=008420", "A008420")</f>
        <v>A008420</v>
      </c>
      <c r="D491" t="str">
        <f>HYPERLINK("http://comp.fnguide.com/SVO2/ASP/SVD_Consensus.asp?pGB=1&amp;gicode=A008420&amp;cID=&amp;MenuYn=Y&amp;ReportGB=&amp;NewMenuID=108&amp;stkGb=701", "문배철강")</f>
        <v>문배철강</v>
      </c>
      <c r="E491">
        <v>3</v>
      </c>
      <c r="F491">
        <v>3380</v>
      </c>
      <c r="G491">
        <v>0</v>
      </c>
      <c r="H491">
        <v>22.13</v>
      </c>
      <c r="I491">
        <v>3136</v>
      </c>
      <c r="J491">
        <v>4667</v>
      </c>
      <c r="K491">
        <v>5102</v>
      </c>
      <c r="L491">
        <v>7.23</v>
      </c>
      <c r="M491">
        <v>-38.07</v>
      </c>
      <c r="N491">
        <v>-50.94</v>
      </c>
      <c r="O491">
        <v>4.38</v>
      </c>
      <c r="P491" t="b">
        <v>0</v>
      </c>
      <c r="Q491">
        <v>0</v>
      </c>
      <c r="R491">
        <v>116</v>
      </c>
      <c r="U491" t="s">
        <v>2253</v>
      </c>
      <c r="V491" t="s">
        <v>3117</v>
      </c>
      <c r="W491">
        <v>0</v>
      </c>
      <c r="X491">
        <v>84.5</v>
      </c>
      <c r="Y491" t="s">
        <v>3928</v>
      </c>
      <c r="Z491">
        <v>-5.3006914689812774</v>
      </c>
      <c r="AA491">
        <v>693</v>
      </c>
      <c r="AB491">
        <v>508404</v>
      </c>
      <c r="AC491" t="s">
        <v>4772</v>
      </c>
      <c r="AD491">
        <v>36.99</v>
      </c>
      <c r="AE491" t="s">
        <v>5636</v>
      </c>
      <c r="AF491" t="s">
        <v>6466</v>
      </c>
      <c r="AG491">
        <v>1626</v>
      </c>
      <c r="AH491">
        <v>26</v>
      </c>
      <c r="AI491">
        <v>909119</v>
      </c>
      <c r="AJ491">
        <v>1.95</v>
      </c>
    </row>
    <row r="492" spans="1:36">
      <c r="A492" s="1" t="s">
        <v>526</v>
      </c>
      <c r="B492" t="s">
        <v>1390</v>
      </c>
      <c r="C492" t="str">
        <f>HYPERLINK("https://finance.naver.com/item/coinfo.nhn?code=007120", "A007120")</f>
        <v>A007120</v>
      </c>
      <c r="D492" t="str">
        <f>HYPERLINK("http://comp.fnguide.com/SVO2/ASP/SVD_Consensus.asp?pGB=1&amp;gicode=A007120&amp;cID=&amp;MenuYn=Y&amp;ReportGB=&amp;NewMenuID=108&amp;stkGb=701", "미래아이앤지")</f>
        <v>미래아이앤지</v>
      </c>
      <c r="E492">
        <v>3</v>
      </c>
      <c r="F492">
        <v>362</v>
      </c>
      <c r="G492">
        <v>0</v>
      </c>
      <c r="H492">
        <v>3</v>
      </c>
      <c r="I492">
        <v>766</v>
      </c>
      <c r="J492">
        <v>630</v>
      </c>
      <c r="K492">
        <v>591</v>
      </c>
      <c r="L492">
        <v>-111.48</v>
      </c>
      <c r="M492">
        <v>-74.010000000000005</v>
      </c>
      <c r="N492">
        <v>-63.35</v>
      </c>
      <c r="O492">
        <v>11.26</v>
      </c>
      <c r="P492" t="b">
        <v>1</v>
      </c>
      <c r="Q492">
        <v>0</v>
      </c>
      <c r="R492">
        <v>108</v>
      </c>
      <c r="U492" t="s">
        <v>2254</v>
      </c>
      <c r="V492" t="s">
        <v>3118</v>
      </c>
      <c r="W492">
        <v>0</v>
      </c>
      <c r="X492">
        <v>836</v>
      </c>
      <c r="Y492" t="s">
        <v>3929</v>
      </c>
      <c r="Z492">
        <v>836</v>
      </c>
      <c r="AA492">
        <v>469</v>
      </c>
      <c r="AB492">
        <v>5094457</v>
      </c>
      <c r="AC492" t="s">
        <v>4773</v>
      </c>
      <c r="AD492">
        <v>24.76</v>
      </c>
      <c r="AE492" t="s">
        <v>5637</v>
      </c>
      <c r="AF492" t="s">
        <v>6467</v>
      </c>
      <c r="AG492">
        <v>75</v>
      </c>
      <c r="AH492">
        <v>1</v>
      </c>
      <c r="AI492">
        <v>799813</v>
      </c>
    </row>
    <row r="493" spans="1:36">
      <c r="A493" s="1" t="s">
        <v>527</v>
      </c>
      <c r="B493" t="s">
        <v>1391</v>
      </c>
      <c r="C493" t="str">
        <f>HYPERLINK("https://finance.naver.com/item/coinfo.nhn?code=006800", "A006800")</f>
        <v>A006800</v>
      </c>
      <c r="D493" t="str">
        <f>HYPERLINK("http://comp.fnguide.com/SVO2/ASP/SVD_Consensus.asp?pGB=1&amp;gicode=A006800&amp;cID=&amp;MenuYn=Y&amp;ReportGB=&amp;NewMenuID=108&amp;stkGb=701", "미래에셋대우")</f>
        <v>미래에셋대우</v>
      </c>
      <c r="E493">
        <v>3</v>
      </c>
      <c r="F493">
        <v>9630</v>
      </c>
      <c r="G493">
        <v>0.92</v>
      </c>
      <c r="H493">
        <v>9.31</v>
      </c>
      <c r="I493">
        <v>15923</v>
      </c>
      <c r="J493">
        <v>17332</v>
      </c>
      <c r="K493">
        <v>17733</v>
      </c>
      <c r="L493">
        <v>-65.34</v>
      </c>
      <c r="M493">
        <v>-79.98</v>
      </c>
      <c r="N493">
        <v>-84.14</v>
      </c>
      <c r="O493">
        <v>6.92</v>
      </c>
      <c r="P493" t="b">
        <v>0</v>
      </c>
      <c r="Q493">
        <v>2</v>
      </c>
      <c r="R493">
        <v>811</v>
      </c>
      <c r="S493">
        <v>988</v>
      </c>
      <c r="T493">
        <v>21.8</v>
      </c>
      <c r="U493" t="s">
        <v>2255</v>
      </c>
      <c r="V493" t="s">
        <v>3119</v>
      </c>
      <c r="W493">
        <v>10.088810701847599</v>
      </c>
      <c r="X493">
        <v>9.1</v>
      </c>
      <c r="Y493" t="s">
        <v>3930</v>
      </c>
      <c r="Z493">
        <v>6.060971635382395</v>
      </c>
      <c r="AA493">
        <v>62144</v>
      </c>
      <c r="AB493">
        <v>1778559</v>
      </c>
      <c r="AC493" t="s">
        <v>4774</v>
      </c>
      <c r="AD493">
        <v>24.27</v>
      </c>
      <c r="AE493" t="s">
        <v>5638</v>
      </c>
      <c r="AF493" t="s">
        <v>6468</v>
      </c>
      <c r="AG493">
        <v>19787</v>
      </c>
      <c r="AH493">
        <v>7280</v>
      </c>
      <c r="AI493">
        <v>145577905</v>
      </c>
      <c r="AJ493">
        <v>3.44</v>
      </c>
    </row>
    <row r="494" spans="1:36">
      <c r="A494" s="1" t="s">
        <v>528</v>
      </c>
      <c r="B494" t="s">
        <v>1392</v>
      </c>
      <c r="C494" t="str">
        <f>HYPERLINK("https://finance.naver.com/item/coinfo.nhn?code=085620", "A085620")</f>
        <v>A085620</v>
      </c>
      <c r="D494" t="str">
        <f>HYPERLINK("http://comp.fnguide.com/SVO2/ASP/SVD_Consensus.asp?pGB=1&amp;gicode=A085620&amp;cID=&amp;MenuYn=Y&amp;ReportGB=&amp;NewMenuID=108&amp;stkGb=701", "미래에셋생명")</f>
        <v>미래에셋생명</v>
      </c>
      <c r="E494">
        <v>3</v>
      </c>
      <c r="F494">
        <v>4020</v>
      </c>
      <c r="G494">
        <v>0</v>
      </c>
      <c r="H494">
        <v>7.48</v>
      </c>
      <c r="I494">
        <v>13430</v>
      </c>
      <c r="J494">
        <v>15882</v>
      </c>
      <c r="K494">
        <v>16579</v>
      </c>
      <c r="L494">
        <v>-234.08</v>
      </c>
      <c r="M494">
        <v>-295.07</v>
      </c>
      <c r="N494">
        <v>-312.39999999999998</v>
      </c>
      <c r="O494">
        <v>6.09</v>
      </c>
      <c r="P494" t="b">
        <v>1</v>
      </c>
      <c r="Q494">
        <v>0</v>
      </c>
      <c r="R494">
        <v>553</v>
      </c>
      <c r="U494" t="s">
        <v>2256</v>
      </c>
      <c r="V494" t="s">
        <v>3120</v>
      </c>
      <c r="W494">
        <v>0</v>
      </c>
      <c r="X494">
        <v>5.7</v>
      </c>
      <c r="Y494" t="s">
        <v>3931</v>
      </c>
      <c r="Z494">
        <v>6.2499127032393798</v>
      </c>
      <c r="AA494">
        <v>7116</v>
      </c>
      <c r="AB494">
        <v>112259</v>
      </c>
      <c r="AC494" t="s">
        <v>4775</v>
      </c>
      <c r="AD494">
        <v>46.21</v>
      </c>
      <c r="AE494" t="s">
        <v>5639</v>
      </c>
      <c r="AF494" t="s">
        <v>6469</v>
      </c>
      <c r="AG494">
        <v>18589</v>
      </c>
      <c r="AH494">
        <v>1407</v>
      </c>
      <c r="AI494">
        <v>43540183</v>
      </c>
      <c r="AJ494">
        <v>4.1100000000000003</v>
      </c>
    </row>
    <row r="495" spans="1:36">
      <c r="A495" s="1" t="s">
        <v>529</v>
      </c>
      <c r="B495" t="s">
        <v>1393</v>
      </c>
      <c r="C495" t="str">
        <f>HYPERLINK("https://finance.naver.com/item/coinfo.nhn?code=000490", "A000490")</f>
        <v>A000490</v>
      </c>
      <c r="D495" t="str">
        <f>HYPERLINK("http://comp.fnguide.com/SVO2/ASP/SVD_Consensus.asp?pGB=1&amp;gicode=A000490&amp;cID=&amp;MenuYn=Y&amp;ReportGB=&amp;NewMenuID=108&amp;stkGb=701", "대동공업")</f>
        <v>대동공업</v>
      </c>
      <c r="E495">
        <v>3</v>
      </c>
      <c r="F495">
        <v>6640</v>
      </c>
      <c r="G495">
        <v>0</v>
      </c>
      <c r="H495">
        <v>43.33</v>
      </c>
      <c r="I495">
        <v>2184</v>
      </c>
      <c r="J495">
        <v>7082</v>
      </c>
      <c r="K495">
        <v>8474</v>
      </c>
      <c r="L495">
        <v>67.099999999999994</v>
      </c>
      <c r="M495">
        <v>-6.65</v>
      </c>
      <c r="N495">
        <v>-27.61</v>
      </c>
      <c r="O495">
        <v>1.68</v>
      </c>
      <c r="P495" t="b">
        <v>1</v>
      </c>
      <c r="Q495">
        <v>0</v>
      </c>
      <c r="R495">
        <v>131</v>
      </c>
      <c r="U495" t="s">
        <v>2257</v>
      </c>
      <c r="V495" t="s">
        <v>3121</v>
      </c>
      <c r="W495">
        <v>0</v>
      </c>
      <c r="X495">
        <v>13.9</v>
      </c>
      <c r="Y495" t="s">
        <v>3932</v>
      </c>
      <c r="Z495">
        <v>-28.30257013998559</v>
      </c>
      <c r="AA495">
        <v>1576</v>
      </c>
      <c r="AB495">
        <v>131239</v>
      </c>
      <c r="AC495" t="s">
        <v>4776</v>
      </c>
      <c r="AD495">
        <v>27.72</v>
      </c>
      <c r="AE495" t="s">
        <v>5640</v>
      </c>
      <c r="AF495" t="s">
        <v>6470</v>
      </c>
      <c r="AG495">
        <v>8329</v>
      </c>
      <c r="AH495">
        <v>245</v>
      </c>
      <c r="AI495">
        <v>3000000</v>
      </c>
      <c r="AJ495">
        <v>1.06</v>
      </c>
    </row>
    <row r="496" spans="1:36">
      <c r="A496" s="1" t="s">
        <v>530</v>
      </c>
      <c r="B496" t="s">
        <v>1394</v>
      </c>
      <c r="C496" t="str">
        <f>HYPERLINK("https://finance.naver.com/item/coinfo.nhn?code=008060", "A008060")</f>
        <v>A008060</v>
      </c>
      <c r="D496" t="str">
        <f>HYPERLINK("http://comp.fnguide.com/SVO2/ASP/SVD_Consensus.asp?pGB=1&amp;gicode=A008060&amp;cID=&amp;MenuYn=Y&amp;ReportGB=&amp;NewMenuID=108&amp;stkGb=701", "대덕")</f>
        <v>대덕</v>
      </c>
      <c r="E496">
        <v>3</v>
      </c>
      <c r="F496">
        <v>6870</v>
      </c>
      <c r="G496">
        <v>0</v>
      </c>
      <c r="H496">
        <v>13.23</v>
      </c>
      <c r="I496">
        <v>62310</v>
      </c>
      <c r="J496">
        <v>43278</v>
      </c>
      <c r="K496">
        <v>37870</v>
      </c>
      <c r="L496">
        <v>-806.99</v>
      </c>
      <c r="M496">
        <v>-529.96</v>
      </c>
      <c r="N496">
        <v>-451.23</v>
      </c>
      <c r="O496">
        <v>16.13</v>
      </c>
      <c r="P496" t="b">
        <v>0</v>
      </c>
      <c r="Q496">
        <v>0</v>
      </c>
      <c r="R496">
        <v>794</v>
      </c>
      <c r="U496" t="s">
        <v>2258</v>
      </c>
      <c r="V496" t="s">
        <v>3122</v>
      </c>
      <c r="W496">
        <v>0</v>
      </c>
      <c r="X496">
        <v>354.2</v>
      </c>
      <c r="Y496" t="s">
        <v>3933</v>
      </c>
      <c r="Z496">
        <v>41.882938832935238</v>
      </c>
      <c r="AA496">
        <v>2328</v>
      </c>
      <c r="AB496">
        <v>329781</v>
      </c>
      <c r="AC496" t="s">
        <v>4777</v>
      </c>
      <c r="AD496">
        <v>43.32</v>
      </c>
      <c r="AE496" t="s">
        <v>5641</v>
      </c>
      <c r="AF496" t="s">
        <v>6471</v>
      </c>
      <c r="AG496">
        <v>10722</v>
      </c>
      <c r="AH496">
        <v>464</v>
      </c>
      <c r="AJ496">
        <v>2.86</v>
      </c>
    </row>
    <row r="497" spans="1:36">
      <c r="A497" s="1" t="s">
        <v>531</v>
      </c>
      <c r="B497" t="s">
        <v>1395</v>
      </c>
      <c r="C497" t="str">
        <f>HYPERLINK("https://finance.naver.com/item/coinfo.nhn?code=006370", "A006370")</f>
        <v>A006370</v>
      </c>
      <c r="D497" t="str">
        <f>HYPERLINK("http://comp.fnguide.com/SVO2/ASP/SVD_Consensus.asp?pGB=1&amp;gicode=A006370&amp;cID=&amp;MenuYn=Y&amp;ReportGB=&amp;NewMenuID=108&amp;stkGb=701", "대구백화점")</f>
        <v>대구백화점</v>
      </c>
      <c r="E497">
        <v>3</v>
      </c>
      <c r="F497">
        <v>9540</v>
      </c>
      <c r="G497">
        <v>0</v>
      </c>
      <c r="I497">
        <v>0</v>
      </c>
      <c r="J497">
        <v>19861</v>
      </c>
      <c r="K497">
        <v>25506</v>
      </c>
      <c r="L497">
        <v>100</v>
      </c>
      <c r="M497">
        <v>-108.19</v>
      </c>
      <c r="N497">
        <v>-167.36</v>
      </c>
      <c r="O497">
        <v>0</v>
      </c>
      <c r="P497" t="b">
        <v>0</v>
      </c>
      <c r="Q497">
        <v>0</v>
      </c>
      <c r="R497">
        <v>-1837</v>
      </c>
      <c r="U497" t="s">
        <v>2259</v>
      </c>
      <c r="V497" t="s">
        <v>3123</v>
      </c>
      <c r="W497">
        <v>0</v>
      </c>
      <c r="X497">
        <v>0</v>
      </c>
      <c r="Y497" t="s">
        <v>3499</v>
      </c>
      <c r="Z497">
        <v>0</v>
      </c>
      <c r="AA497">
        <v>1032</v>
      </c>
      <c r="AB497">
        <v>90638</v>
      </c>
      <c r="AC497" t="s">
        <v>4778</v>
      </c>
      <c r="AD497">
        <v>27.85</v>
      </c>
      <c r="AE497" t="s">
        <v>5642</v>
      </c>
      <c r="AF497" t="s">
        <v>6021</v>
      </c>
      <c r="AG497">
        <v>1015</v>
      </c>
      <c r="AH497">
        <v>-142</v>
      </c>
      <c r="AI497">
        <v>2500000</v>
      </c>
      <c r="AJ497">
        <v>1.67</v>
      </c>
    </row>
    <row r="498" spans="1:36">
      <c r="A498" s="1" t="s">
        <v>532</v>
      </c>
      <c r="B498" t="s">
        <v>1396</v>
      </c>
      <c r="C498" t="str">
        <f>HYPERLINK("https://finance.naver.com/item/coinfo.nhn?code=003550", "A003550")</f>
        <v>A003550</v>
      </c>
      <c r="D498" t="str">
        <f>HYPERLINK("http://comp.fnguide.com/SVO2/ASP/SVD_Consensus.asp?pGB=1&amp;gicode=A003550&amp;cID=&amp;MenuYn=Y&amp;ReportGB=&amp;NewMenuID=108&amp;stkGb=701", "LG")</f>
        <v>LG</v>
      </c>
      <c r="E498">
        <v>3</v>
      </c>
      <c r="F498">
        <v>85000</v>
      </c>
      <c r="G498">
        <v>-1.02</v>
      </c>
      <c r="H498">
        <v>12.02</v>
      </c>
      <c r="I498">
        <v>127337</v>
      </c>
      <c r="J498">
        <v>116403</v>
      </c>
      <c r="K498">
        <v>113296</v>
      </c>
      <c r="L498">
        <v>-49.81</v>
      </c>
      <c r="M498">
        <v>-36.950000000000003</v>
      </c>
      <c r="N498">
        <v>-33.29</v>
      </c>
      <c r="O498">
        <v>9.26</v>
      </c>
      <c r="P498" t="b">
        <v>0</v>
      </c>
      <c r="Q498">
        <v>1</v>
      </c>
      <c r="R498">
        <v>6141</v>
      </c>
      <c r="S498">
        <v>9369</v>
      </c>
      <c r="T498">
        <v>52.6</v>
      </c>
      <c r="U498" t="s">
        <v>2260</v>
      </c>
      <c r="V498" t="s">
        <v>3124</v>
      </c>
      <c r="W498">
        <v>-11.74535654015639</v>
      </c>
      <c r="X498">
        <v>12.8</v>
      </c>
      <c r="Y498" t="s">
        <v>3934</v>
      </c>
      <c r="Z498">
        <v>5.2068259213151844</v>
      </c>
      <c r="AA498">
        <v>146674</v>
      </c>
      <c r="AB498">
        <v>1473751</v>
      </c>
      <c r="AC498" t="s">
        <v>4779</v>
      </c>
      <c r="AD498">
        <v>46.07</v>
      </c>
      <c r="AE498" t="s">
        <v>5643</v>
      </c>
      <c r="AF498" t="s">
        <v>6472</v>
      </c>
      <c r="AG498">
        <v>65753</v>
      </c>
      <c r="AH498">
        <v>10241</v>
      </c>
      <c r="AI498">
        <v>93789</v>
      </c>
      <c r="AJ498">
        <v>2.98</v>
      </c>
    </row>
    <row r="499" spans="1:36">
      <c r="A499" s="1" t="s">
        <v>533</v>
      </c>
      <c r="B499" t="s">
        <v>1397</v>
      </c>
      <c r="C499" t="str">
        <f>HYPERLINK("https://finance.naver.com/item/coinfo.nhn?code=001390", "A001390")</f>
        <v>A001390</v>
      </c>
      <c r="D499" t="str">
        <f>HYPERLINK("http://comp.fnguide.com/SVO2/ASP/SVD_Consensus.asp?pGB=1&amp;gicode=A001390&amp;cID=&amp;MenuYn=Y&amp;ReportGB=&amp;NewMenuID=108&amp;stkGb=701", "KG케미칼")</f>
        <v>KG케미칼</v>
      </c>
      <c r="E499">
        <v>3</v>
      </c>
      <c r="F499">
        <v>23550</v>
      </c>
      <c r="G499">
        <v>0</v>
      </c>
      <c r="H499">
        <v>1.59</v>
      </c>
      <c r="I499">
        <v>57387</v>
      </c>
      <c r="J499">
        <v>38877</v>
      </c>
      <c r="K499">
        <v>33617</v>
      </c>
      <c r="L499">
        <v>-143.68</v>
      </c>
      <c r="M499">
        <v>-65.08</v>
      </c>
      <c r="N499">
        <v>-42.75</v>
      </c>
      <c r="O499">
        <v>17.11</v>
      </c>
      <c r="P499" t="b">
        <v>1</v>
      </c>
      <c r="Q499">
        <v>0</v>
      </c>
      <c r="R499">
        <v>7569</v>
      </c>
      <c r="U499" t="s">
        <v>2261</v>
      </c>
      <c r="V499" t="s">
        <v>3125</v>
      </c>
      <c r="W499">
        <v>0</v>
      </c>
      <c r="X499">
        <v>-75.400000000000006</v>
      </c>
      <c r="Y499" t="s">
        <v>3935</v>
      </c>
      <c r="Z499">
        <v>4.5748614748228889</v>
      </c>
      <c r="AA499">
        <v>3065</v>
      </c>
      <c r="AB499">
        <v>160380</v>
      </c>
      <c r="AC499" t="s">
        <v>4780</v>
      </c>
      <c r="AD499">
        <v>46.62</v>
      </c>
      <c r="AE499" t="s">
        <v>5644</v>
      </c>
      <c r="AF499" t="s">
        <v>6473</v>
      </c>
      <c r="AG499">
        <v>20684</v>
      </c>
      <c r="AH499">
        <v>1180</v>
      </c>
      <c r="AI499">
        <v>200910</v>
      </c>
      <c r="AJ499">
        <v>2.92</v>
      </c>
    </row>
    <row r="500" spans="1:36">
      <c r="A500" s="1" t="s">
        <v>534</v>
      </c>
      <c r="B500" t="s">
        <v>1398</v>
      </c>
      <c r="C500" t="str">
        <f>HYPERLINK("https://finance.naver.com/item/coinfo.nhn?code=001940", "A001940")</f>
        <v>A001940</v>
      </c>
      <c r="D500" t="str">
        <f>HYPERLINK("http://comp.fnguide.com/SVO2/ASP/SVD_Consensus.asp?pGB=1&amp;gicode=A001940&amp;cID=&amp;MenuYn=Y&amp;ReportGB=&amp;NewMenuID=108&amp;stkGb=701", "KISCO홀딩스")</f>
        <v>KISCO홀딩스</v>
      </c>
      <c r="E500">
        <v>3</v>
      </c>
      <c r="F500">
        <v>14350</v>
      </c>
      <c r="G500">
        <v>0</v>
      </c>
      <c r="H500">
        <v>5.31</v>
      </c>
      <c r="I500">
        <v>28635</v>
      </c>
      <c r="J500">
        <v>44198</v>
      </c>
      <c r="K500">
        <v>48621</v>
      </c>
      <c r="L500">
        <v>-99.55</v>
      </c>
      <c r="M500">
        <v>-208</v>
      </c>
      <c r="N500">
        <v>-238.82</v>
      </c>
      <c r="O500">
        <v>4.17</v>
      </c>
      <c r="P500" t="b">
        <v>1</v>
      </c>
      <c r="Q500">
        <v>0</v>
      </c>
      <c r="R500">
        <v>2409</v>
      </c>
      <c r="U500" t="s">
        <v>2262</v>
      </c>
      <c r="V500" t="s">
        <v>3126</v>
      </c>
      <c r="W500">
        <v>0</v>
      </c>
      <c r="X500">
        <v>16.399999999999999</v>
      </c>
      <c r="Y500" t="s">
        <v>3936</v>
      </c>
      <c r="Z500">
        <v>3.4947665494834408</v>
      </c>
      <c r="AA500">
        <v>2651</v>
      </c>
      <c r="AB500">
        <v>33718</v>
      </c>
      <c r="AC500" t="s">
        <v>4781</v>
      </c>
      <c r="AD500">
        <v>45.45</v>
      </c>
      <c r="AE500" t="s">
        <v>5645</v>
      </c>
      <c r="AF500" t="s">
        <v>6474</v>
      </c>
      <c r="AG500">
        <v>11830</v>
      </c>
      <c r="AH500">
        <v>576</v>
      </c>
      <c r="AI500">
        <v>3476882</v>
      </c>
      <c r="AJ500">
        <v>2.19</v>
      </c>
    </row>
    <row r="501" spans="1:36">
      <c r="A501" s="1" t="s">
        <v>535</v>
      </c>
      <c r="B501" t="s">
        <v>1399</v>
      </c>
      <c r="C501" t="str">
        <f>HYPERLINK("https://finance.naver.com/item/coinfo.nhn?code=025000", "A025000")</f>
        <v>A025000</v>
      </c>
      <c r="D501" t="str">
        <f>HYPERLINK("http://comp.fnguide.com/SVO2/ASP/SVD_Consensus.asp?pGB=1&amp;gicode=A025000&amp;cID=&amp;MenuYn=Y&amp;ReportGB=&amp;NewMenuID=108&amp;stkGb=701", "KPX케미칼")</f>
        <v>KPX케미칼</v>
      </c>
      <c r="E501">
        <v>3</v>
      </c>
      <c r="F501">
        <v>56800</v>
      </c>
      <c r="G501">
        <v>0.26</v>
      </c>
      <c r="H501">
        <v>6.6</v>
      </c>
      <c r="I501">
        <v>79038</v>
      </c>
      <c r="J501">
        <v>90496</v>
      </c>
      <c r="K501">
        <v>93752</v>
      </c>
      <c r="L501">
        <v>-39.15</v>
      </c>
      <c r="M501">
        <v>-59.32</v>
      </c>
      <c r="N501">
        <v>-65.06</v>
      </c>
      <c r="O501">
        <v>6.4</v>
      </c>
      <c r="P501" t="b">
        <v>1</v>
      </c>
      <c r="Q501">
        <v>2</v>
      </c>
      <c r="R501">
        <v>8420</v>
      </c>
      <c r="S501">
        <v>10816</v>
      </c>
      <c r="T501">
        <v>28.5</v>
      </c>
      <c r="U501" t="s">
        <v>2263</v>
      </c>
      <c r="V501" t="s">
        <v>3127</v>
      </c>
      <c r="W501">
        <v>25.47892039198614</v>
      </c>
      <c r="X501">
        <v>46</v>
      </c>
      <c r="Y501" t="s">
        <v>3937</v>
      </c>
      <c r="Z501">
        <v>11.996931325842869</v>
      </c>
      <c r="AA501">
        <v>2749</v>
      </c>
      <c r="AB501">
        <v>6511</v>
      </c>
      <c r="AC501" t="s">
        <v>4782</v>
      </c>
      <c r="AD501">
        <v>64.400000000000006</v>
      </c>
      <c r="AE501" t="s">
        <v>5646</v>
      </c>
      <c r="AF501" t="s">
        <v>6475</v>
      </c>
      <c r="AG501">
        <v>7657</v>
      </c>
      <c r="AH501">
        <v>484</v>
      </c>
      <c r="AI501">
        <v>84779</v>
      </c>
      <c r="AJ501">
        <v>4.5</v>
      </c>
    </row>
    <row r="502" spans="1:36">
      <c r="A502" s="1" t="s">
        <v>536</v>
      </c>
      <c r="B502" t="s">
        <v>1400</v>
      </c>
      <c r="C502" t="str">
        <f>HYPERLINK("https://finance.naver.com/item/coinfo.nhn?code=092230", "A092230")</f>
        <v>A092230</v>
      </c>
      <c r="D502" t="str">
        <f>HYPERLINK("http://comp.fnguide.com/SVO2/ASP/SVD_Consensus.asp?pGB=1&amp;gicode=A092230&amp;cID=&amp;MenuYn=Y&amp;ReportGB=&amp;NewMenuID=108&amp;stkGb=701", "KPX홀딩스")</f>
        <v>KPX홀딩스</v>
      </c>
      <c r="E502">
        <v>3</v>
      </c>
      <c r="F502">
        <v>63400</v>
      </c>
      <c r="G502">
        <v>0</v>
      </c>
      <c r="H502">
        <v>6.69</v>
      </c>
      <c r="I502">
        <v>79906</v>
      </c>
      <c r="J502">
        <v>124821</v>
      </c>
      <c r="K502">
        <v>137585</v>
      </c>
      <c r="L502">
        <v>-26.03</v>
      </c>
      <c r="M502">
        <v>-96.88</v>
      </c>
      <c r="N502">
        <v>-117.01</v>
      </c>
      <c r="O502">
        <v>4.0999999999999996</v>
      </c>
      <c r="P502" t="b">
        <v>1</v>
      </c>
      <c r="Q502">
        <v>0</v>
      </c>
      <c r="R502">
        <v>8130</v>
      </c>
      <c r="U502" t="s">
        <v>2264</v>
      </c>
      <c r="V502" t="s">
        <v>3128</v>
      </c>
      <c r="W502">
        <v>0</v>
      </c>
      <c r="X502">
        <v>94.9</v>
      </c>
      <c r="Y502" t="s">
        <v>3938</v>
      </c>
      <c r="Z502">
        <v>14.44944727546844</v>
      </c>
      <c r="AA502">
        <v>2678</v>
      </c>
      <c r="AB502">
        <v>18427</v>
      </c>
      <c r="AC502" t="s">
        <v>4783</v>
      </c>
      <c r="AD502">
        <v>77.17</v>
      </c>
      <c r="AE502" t="s">
        <v>5647</v>
      </c>
      <c r="AF502" t="s">
        <v>6476</v>
      </c>
      <c r="AG502">
        <v>10103</v>
      </c>
      <c r="AH502">
        <v>643</v>
      </c>
      <c r="AI502">
        <v>138750</v>
      </c>
      <c r="AJ502">
        <v>4.78</v>
      </c>
    </row>
    <row r="503" spans="1:36">
      <c r="A503" s="1" t="s">
        <v>537</v>
      </c>
      <c r="B503" t="s">
        <v>1401</v>
      </c>
      <c r="C503" t="str">
        <f>HYPERLINK("https://finance.naver.com/item/coinfo.nhn?code=044450", "A044450")</f>
        <v>A044450</v>
      </c>
      <c r="D503" t="str">
        <f>HYPERLINK("http://comp.fnguide.com/SVO2/ASP/SVD_Consensus.asp?pGB=1&amp;gicode=A044450&amp;cID=&amp;MenuYn=Y&amp;ReportGB=&amp;NewMenuID=108&amp;stkGb=701", "KSS해운")</f>
        <v>KSS해운</v>
      </c>
      <c r="E503">
        <v>3</v>
      </c>
      <c r="F503">
        <v>10450</v>
      </c>
      <c r="G503">
        <v>0</v>
      </c>
      <c r="H503">
        <v>7.72</v>
      </c>
      <c r="I503">
        <v>14311</v>
      </c>
      <c r="J503">
        <v>13169</v>
      </c>
      <c r="K503">
        <v>12845</v>
      </c>
      <c r="L503">
        <v>-36.94</v>
      </c>
      <c r="M503">
        <v>-26.02</v>
      </c>
      <c r="N503">
        <v>-22.92</v>
      </c>
      <c r="O503">
        <v>9.15</v>
      </c>
      <c r="P503" t="b">
        <v>0</v>
      </c>
      <c r="Q503">
        <v>0</v>
      </c>
      <c r="R503">
        <v>1001</v>
      </c>
      <c r="U503" t="s">
        <v>2265</v>
      </c>
      <c r="V503" t="s">
        <v>3129</v>
      </c>
      <c r="W503">
        <v>0</v>
      </c>
      <c r="X503">
        <v>34.9</v>
      </c>
      <c r="Y503" t="s">
        <v>3939</v>
      </c>
      <c r="Z503">
        <v>6.2279205338424903</v>
      </c>
      <c r="AA503">
        <v>2423</v>
      </c>
      <c r="AB503">
        <v>93306</v>
      </c>
      <c r="AC503" t="s">
        <v>4784</v>
      </c>
      <c r="AD503">
        <v>30.26</v>
      </c>
      <c r="AE503" t="s">
        <v>5648</v>
      </c>
      <c r="AF503" t="s">
        <v>6477</v>
      </c>
      <c r="AG503">
        <v>2312</v>
      </c>
      <c r="AH503">
        <v>529</v>
      </c>
      <c r="AI503">
        <v>726754</v>
      </c>
      <c r="AJ503">
        <v>3.49</v>
      </c>
    </row>
    <row r="504" spans="1:36">
      <c r="A504" s="1" t="s">
        <v>538</v>
      </c>
      <c r="B504" t="s">
        <v>1402</v>
      </c>
      <c r="C504" t="str">
        <f>HYPERLINK("https://finance.naver.com/item/coinfo.nhn?code=030200", "A030200")</f>
        <v>A030200</v>
      </c>
      <c r="D504" t="str">
        <f>HYPERLINK("http://comp.fnguide.com/SVO2/ASP/SVD_Consensus.asp?pGB=1&amp;gicode=A030200&amp;cID=&amp;MenuYn=Y&amp;ReportGB=&amp;NewMenuID=108&amp;stkGb=701", "KT")</f>
        <v>KT</v>
      </c>
      <c r="E504">
        <v>3</v>
      </c>
      <c r="F504">
        <v>25450</v>
      </c>
      <c r="G504">
        <v>0.85</v>
      </c>
      <c r="H504">
        <v>11.39</v>
      </c>
      <c r="I504">
        <v>34303</v>
      </c>
      <c r="J504">
        <v>47651</v>
      </c>
      <c r="K504">
        <v>51444</v>
      </c>
      <c r="L504">
        <v>-34.79</v>
      </c>
      <c r="M504">
        <v>-87.23</v>
      </c>
      <c r="N504">
        <v>-102.14</v>
      </c>
      <c r="O504">
        <v>4.82</v>
      </c>
      <c r="P504" t="b">
        <v>1</v>
      </c>
      <c r="Q504">
        <v>1</v>
      </c>
      <c r="R504">
        <v>2371</v>
      </c>
      <c r="S504">
        <v>2667</v>
      </c>
      <c r="T504">
        <v>12.5</v>
      </c>
      <c r="U504" t="s">
        <v>2266</v>
      </c>
      <c r="V504" t="s">
        <v>3130</v>
      </c>
      <c r="W504">
        <v>13.455739047561391</v>
      </c>
      <c r="X504">
        <v>-1.1000000000000001</v>
      </c>
      <c r="Y504" t="s">
        <v>3940</v>
      </c>
      <c r="Z504">
        <v>2.039374933270155</v>
      </c>
      <c r="AA504">
        <v>66453</v>
      </c>
      <c r="AB504">
        <v>1392260</v>
      </c>
      <c r="AC504" t="s">
        <v>4785</v>
      </c>
      <c r="AD504">
        <v>11.91</v>
      </c>
      <c r="AE504" t="s">
        <v>5649</v>
      </c>
      <c r="AF504" t="s">
        <v>6478</v>
      </c>
      <c r="AG504">
        <v>243421</v>
      </c>
      <c r="AH504">
        <v>11511</v>
      </c>
      <c r="AI504">
        <v>19169678</v>
      </c>
      <c r="AJ504">
        <v>4.07</v>
      </c>
    </row>
    <row r="505" spans="1:36">
      <c r="A505" s="1" t="s">
        <v>539</v>
      </c>
      <c r="B505" t="s">
        <v>1403</v>
      </c>
      <c r="C505" t="str">
        <f>HYPERLINK("https://finance.naver.com/item/coinfo.nhn?code=030210", "A030210")</f>
        <v>A030210</v>
      </c>
      <c r="D505" t="str">
        <f>HYPERLINK("http://comp.fnguide.com/SVO2/ASP/SVD_Consensus.asp?pGB=1&amp;gicode=A030210&amp;cID=&amp;MenuYn=Y&amp;ReportGB=&amp;NewMenuID=108&amp;stkGb=701", "KTB투자증권")</f>
        <v>KTB투자증권</v>
      </c>
      <c r="E505">
        <v>3</v>
      </c>
      <c r="F505">
        <v>3230</v>
      </c>
      <c r="G505">
        <v>0</v>
      </c>
      <c r="H505">
        <v>3.3</v>
      </c>
      <c r="I505">
        <v>9856</v>
      </c>
      <c r="J505">
        <v>9732</v>
      </c>
      <c r="K505">
        <v>9697</v>
      </c>
      <c r="L505">
        <v>-205.15</v>
      </c>
      <c r="M505">
        <v>-201.31</v>
      </c>
      <c r="N505">
        <v>-200.21</v>
      </c>
      <c r="O505">
        <v>8.11</v>
      </c>
      <c r="P505" t="b">
        <v>1</v>
      </c>
      <c r="Q505">
        <v>0</v>
      </c>
      <c r="R505">
        <v>710</v>
      </c>
      <c r="U505" t="s">
        <v>2267</v>
      </c>
      <c r="V505" t="s">
        <v>3131</v>
      </c>
      <c r="W505">
        <v>0</v>
      </c>
      <c r="X505">
        <v>8.1</v>
      </c>
      <c r="Y505" t="s">
        <v>3941</v>
      </c>
      <c r="Z505">
        <v>7.9969230981673078</v>
      </c>
      <c r="AA505">
        <v>1948</v>
      </c>
      <c r="AB505">
        <v>220823</v>
      </c>
      <c r="AC505" t="s">
        <v>4786</v>
      </c>
      <c r="AD505">
        <v>23.85</v>
      </c>
      <c r="AE505" t="s">
        <v>5650</v>
      </c>
      <c r="AF505" t="s">
        <v>6479</v>
      </c>
      <c r="AG505">
        <v>2336</v>
      </c>
      <c r="AH505">
        <v>375</v>
      </c>
      <c r="AI505">
        <v>1069813</v>
      </c>
      <c r="AJ505">
        <v>6.4</v>
      </c>
    </row>
    <row r="506" spans="1:36">
      <c r="A506" s="1" t="s">
        <v>540</v>
      </c>
      <c r="B506" t="s">
        <v>1404</v>
      </c>
      <c r="C506" t="str">
        <f>HYPERLINK("https://finance.naver.com/item/coinfo.nhn?code=058850", "A058850")</f>
        <v>A058850</v>
      </c>
      <c r="D506" t="str">
        <f>HYPERLINK("http://comp.fnguide.com/SVO2/ASP/SVD_Consensus.asp?pGB=1&amp;gicode=A058850&amp;cID=&amp;MenuYn=Y&amp;ReportGB=&amp;NewMenuID=108&amp;stkGb=701", "KTcs")</f>
        <v>KTcs</v>
      </c>
      <c r="E506">
        <v>3</v>
      </c>
      <c r="F506">
        <v>2295</v>
      </c>
      <c r="G506">
        <v>0</v>
      </c>
      <c r="H506">
        <v>12.98</v>
      </c>
      <c r="I506">
        <v>2740</v>
      </c>
      <c r="J506">
        <v>3441</v>
      </c>
      <c r="K506">
        <v>3640</v>
      </c>
      <c r="L506">
        <v>-19.38</v>
      </c>
      <c r="M506">
        <v>-49.91</v>
      </c>
      <c r="N506">
        <v>-58.59</v>
      </c>
      <c r="O506">
        <v>5.57</v>
      </c>
      <c r="P506" t="b">
        <v>1</v>
      </c>
      <c r="Q506">
        <v>0</v>
      </c>
      <c r="R506">
        <v>174</v>
      </c>
      <c r="U506" t="s">
        <v>2268</v>
      </c>
      <c r="V506" t="s">
        <v>3132</v>
      </c>
      <c r="W506">
        <v>0</v>
      </c>
      <c r="X506">
        <v>25</v>
      </c>
      <c r="Y506" t="s">
        <v>3942</v>
      </c>
      <c r="Z506">
        <v>-5.6967499303417046</v>
      </c>
      <c r="AA506">
        <v>980</v>
      </c>
      <c r="AB506">
        <v>510749</v>
      </c>
      <c r="AC506" t="s">
        <v>4787</v>
      </c>
      <c r="AD506">
        <v>30.32</v>
      </c>
      <c r="AE506" t="s">
        <v>5651</v>
      </c>
      <c r="AF506" t="s">
        <v>6480</v>
      </c>
      <c r="AG506">
        <v>9449</v>
      </c>
      <c r="AH506">
        <v>113</v>
      </c>
      <c r="AI506">
        <v>2064293</v>
      </c>
      <c r="AJ506">
        <v>3.54</v>
      </c>
    </row>
    <row r="507" spans="1:36">
      <c r="A507" s="1" t="s">
        <v>541</v>
      </c>
      <c r="B507" t="s">
        <v>1405</v>
      </c>
      <c r="C507" t="str">
        <f>HYPERLINK("https://finance.naver.com/item/coinfo.nhn?code=058860", "A058860")</f>
        <v>A058860</v>
      </c>
      <c r="D507" t="str">
        <f>HYPERLINK("http://comp.fnguide.com/SVO2/ASP/SVD_Consensus.asp?pGB=1&amp;gicode=A058860&amp;cID=&amp;MenuYn=Y&amp;ReportGB=&amp;NewMenuID=108&amp;stkGb=701", "KTis")</f>
        <v>KTis</v>
      </c>
      <c r="E507">
        <v>3</v>
      </c>
      <c r="F507">
        <v>2610</v>
      </c>
      <c r="G507">
        <v>0</v>
      </c>
      <c r="H507">
        <v>8.6999999999999993</v>
      </c>
      <c r="I507">
        <v>3395</v>
      </c>
      <c r="J507">
        <v>4405</v>
      </c>
      <c r="K507">
        <v>4692</v>
      </c>
      <c r="L507">
        <v>-30.06</v>
      </c>
      <c r="M507">
        <v>-68.78</v>
      </c>
      <c r="N507">
        <v>-79.78</v>
      </c>
      <c r="O507">
        <v>5.31</v>
      </c>
      <c r="P507" t="b">
        <v>1</v>
      </c>
      <c r="Q507">
        <v>0</v>
      </c>
      <c r="R507">
        <v>264</v>
      </c>
      <c r="U507" t="s">
        <v>2269</v>
      </c>
      <c r="V507" t="s">
        <v>3133</v>
      </c>
      <c r="W507">
        <v>0</v>
      </c>
      <c r="X507">
        <v>8.1</v>
      </c>
      <c r="Y507" t="s">
        <v>3943</v>
      </c>
      <c r="Z507">
        <v>-7.94257615601619</v>
      </c>
      <c r="AA507">
        <v>908</v>
      </c>
      <c r="AB507">
        <v>410570</v>
      </c>
      <c r="AC507" t="s">
        <v>4788</v>
      </c>
      <c r="AD507">
        <v>29.38</v>
      </c>
      <c r="AE507" t="s">
        <v>5652</v>
      </c>
      <c r="AF507" t="s">
        <v>6481</v>
      </c>
      <c r="AG507">
        <v>4510</v>
      </c>
      <c r="AH507">
        <v>138</v>
      </c>
      <c r="AI507">
        <v>1634371</v>
      </c>
      <c r="AJ507">
        <v>3.91</v>
      </c>
    </row>
    <row r="508" spans="1:36">
      <c r="A508" s="1" t="s">
        <v>542</v>
      </c>
      <c r="B508" t="s">
        <v>1406</v>
      </c>
      <c r="C508" t="str">
        <f>HYPERLINK("https://finance.naver.com/item/coinfo.nhn?code=093050", "A093050")</f>
        <v>A093050</v>
      </c>
      <c r="D508" t="str">
        <f>HYPERLINK("http://comp.fnguide.com/SVO2/ASP/SVD_Consensus.asp?pGB=1&amp;gicode=A093050&amp;cID=&amp;MenuYn=Y&amp;ReportGB=&amp;NewMenuID=108&amp;stkGb=701", "LF")</f>
        <v>LF</v>
      </c>
      <c r="E508">
        <v>3</v>
      </c>
      <c r="F508">
        <v>14700</v>
      </c>
      <c r="G508">
        <v>-0.59</v>
      </c>
      <c r="H508">
        <v>8</v>
      </c>
      <c r="I508">
        <v>34698</v>
      </c>
      <c r="J508">
        <v>39641</v>
      </c>
      <c r="K508">
        <v>41045</v>
      </c>
      <c r="L508">
        <v>-136.04</v>
      </c>
      <c r="M508">
        <v>-169.66</v>
      </c>
      <c r="N508">
        <v>-179.22</v>
      </c>
      <c r="O508">
        <v>6.42</v>
      </c>
      <c r="P508" t="b">
        <v>1</v>
      </c>
      <c r="Q508">
        <v>0</v>
      </c>
      <c r="R508">
        <v>2313</v>
      </c>
      <c r="S508">
        <v>1623</v>
      </c>
      <c r="T508">
        <v>-29.8</v>
      </c>
      <c r="U508" t="s">
        <v>2270</v>
      </c>
      <c r="V508" t="s">
        <v>3134</v>
      </c>
      <c r="W508">
        <v>-13.60232934520603</v>
      </c>
      <c r="X508">
        <v>-60.5</v>
      </c>
      <c r="Y508" t="s">
        <v>3944</v>
      </c>
      <c r="Z508">
        <v>-12.08351210247279</v>
      </c>
      <c r="AA508">
        <v>4298</v>
      </c>
      <c r="AB508">
        <v>83982</v>
      </c>
      <c r="AC508" t="s">
        <v>4789</v>
      </c>
      <c r="AD508">
        <v>44.81</v>
      </c>
      <c r="AE508" t="s">
        <v>5653</v>
      </c>
      <c r="AF508" t="s">
        <v>6482</v>
      </c>
      <c r="AG508">
        <v>18517</v>
      </c>
      <c r="AH508">
        <v>875</v>
      </c>
      <c r="AI508">
        <v>780000</v>
      </c>
      <c r="AJ508">
        <v>2.7</v>
      </c>
    </row>
    <row r="509" spans="1:36">
      <c r="A509" s="1" t="s">
        <v>543</v>
      </c>
      <c r="B509" t="s">
        <v>1407</v>
      </c>
      <c r="C509" t="str">
        <f>HYPERLINK("https://finance.naver.com/item/coinfo.nhn?code=034220", "A034220")</f>
        <v>A034220</v>
      </c>
      <c r="D509" t="str">
        <f>HYPERLINK("http://comp.fnguide.com/SVO2/ASP/SVD_Consensus.asp?pGB=1&amp;gicode=A034220&amp;cID=&amp;MenuYn=Y&amp;ReportGB=&amp;NewMenuID=108&amp;stkGb=701", "LG디스플레이")</f>
        <v>LG디스플레이</v>
      </c>
      <c r="E509">
        <v>3</v>
      </c>
      <c r="F509">
        <v>17850</v>
      </c>
      <c r="G509">
        <v>0</v>
      </c>
      <c r="I509">
        <v>8775</v>
      </c>
      <c r="J509">
        <v>22565</v>
      </c>
      <c r="K509">
        <v>26483</v>
      </c>
      <c r="L509">
        <v>50.84</v>
      </c>
      <c r="M509">
        <v>-26.41</v>
      </c>
      <c r="N509">
        <v>-48.37</v>
      </c>
      <c r="O509">
        <v>2.2000000000000002</v>
      </c>
      <c r="P509" t="b">
        <v>0</v>
      </c>
      <c r="Q509">
        <v>1</v>
      </c>
      <c r="R509">
        <v>-7908</v>
      </c>
      <c r="S509">
        <v>-1566</v>
      </c>
      <c r="T509">
        <v>-80.2</v>
      </c>
      <c r="U509" t="s">
        <v>2271</v>
      </c>
      <c r="V509" t="s">
        <v>3135</v>
      </c>
      <c r="W509">
        <v>0</v>
      </c>
      <c r="X509">
        <v>0</v>
      </c>
      <c r="Y509" t="s">
        <v>3945</v>
      </c>
      <c r="Z509">
        <v>36.555629689881329</v>
      </c>
      <c r="AA509">
        <v>63870</v>
      </c>
      <c r="AB509">
        <v>7122580</v>
      </c>
      <c r="AC509" t="s">
        <v>4790</v>
      </c>
      <c r="AD509">
        <v>37.909999999999997</v>
      </c>
      <c r="AE509" t="s">
        <v>5654</v>
      </c>
      <c r="AF509" t="s">
        <v>6483</v>
      </c>
      <c r="AG509">
        <v>234756</v>
      </c>
      <c r="AH509">
        <v>-13594</v>
      </c>
    </row>
    <row r="510" spans="1:36">
      <c r="A510" s="1" t="s">
        <v>544</v>
      </c>
      <c r="B510" t="s">
        <v>1408</v>
      </c>
      <c r="C510" t="str">
        <f>HYPERLINK("https://finance.naver.com/item/coinfo.nhn?code=009070", "A009070")</f>
        <v>A009070</v>
      </c>
      <c r="D510" t="str">
        <f>HYPERLINK("http://comp.fnguide.com/SVO2/ASP/SVD_Consensus.asp?pGB=1&amp;gicode=A009070&amp;cID=&amp;MenuYn=Y&amp;ReportGB=&amp;NewMenuID=108&amp;stkGb=701", "KCTC")</f>
        <v>KCTC</v>
      </c>
      <c r="E510">
        <v>3</v>
      </c>
      <c r="F510">
        <v>3685</v>
      </c>
      <c r="G510">
        <v>0</v>
      </c>
      <c r="H510">
        <v>11.56</v>
      </c>
      <c r="I510">
        <v>3235</v>
      </c>
      <c r="J510">
        <v>5158</v>
      </c>
      <c r="K510">
        <v>5704</v>
      </c>
      <c r="L510">
        <v>12.2</v>
      </c>
      <c r="M510">
        <v>-39.96</v>
      </c>
      <c r="N510">
        <v>-54.79</v>
      </c>
      <c r="O510">
        <v>3.99</v>
      </c>
      <c r="P510" t="b">
        <v>0</v>
      </c>
      <c r="Q510">
        <v>0</v>
      </c>
      <c r="R510">
        <v>238</v>
      </c>
      <c r="U510" t="s">
        <v>2272</v>
      </c>
      <c r="V510" t="s">
        <v>3136</v>
      </c>
      <c r="W510">
        <v>0</v>
      </c>
      <c r="X510">
        <v>22.6</v>
      </c>
      <c r="Y510" t="s">
        <v>3946</v>
      </c>
      <c r="Z510">
        <v>-0.25356248425713052</v>
      </c>
      <c r="AA510">
        <v>1106</v>
      </c>
      <c r="AB510">
        <v>495092</v>
      </c>
      <c r="AC510" t="s">
        <v>4791</v>
      </c>
      <c r="AD510">
        <v>23.32</v>
      </c>
      <c r="AE510" t="s">
        <v>5655</v>
      </c>
      <c r="AF510" t="s">
        <v>6484</v>
      </c>
      <c r="AG510">
        <v>4462</v>
      </c>
      <c r="AH510">
        <v>190</v>
      </c>
      <c r="AI510">
        <v>94250</v>
      </c>
      <c r="AJ510">
        <v>1.64</v>
      </c>
    </row>
    <row r="511" spans="1:36">
      <c r="A511" s="1" t="s">
        <v>545</v>
      </c>
      <c r="B511" t="s">
        <v>1409</v>
      </c>
      <c r="C511" t="str">
        <f>HYPERLINK("https://finance.naver.com/item/coinfo.nhn?code=001120", "A001120")</f>
        <v>A001120</v>
      </c>
      <c r="D511" t="str">
        <f>HYPERLINK("http://comp.fnguide.com/SVO2/ASP/SVD_Consensus.asp?pGB=1&amp;gicode=A001120&amp;cID=&amp;MenuYn=Y&amp;ReportGB=&amp;NewMenuID=108&amp;stkGb=701", "LG상사")</f>
        <v>LG상사</v>
      </c>
      <c r="E511">
        <v>3</v>
      </c>
      <c r="F511">
        <v>24200</v>
      </c>
      <c r="G511">
        <v>0.3</v>
      </c>
      <c r="H511">
        <v>20.41</v>
      </c>
      <c r="I511">
        <v>8457</v>
      </c>
      <c r="J511">
        <v>22966</v>
      </c>
      <c r="K511">
        <v>27089</v>
      </c>
      <c r="L511">
        <v>65.05</v>
      </c>
      <c r="M511">
        <v>5.0999999999999996</v>
      </c>
      <c r="N511">
        <v>-11.94</v>
      </c>
      <c r="O511">
        <v>2.06</v>
      </c>
      <c r="P511" t="b">
        <v>1</v>
      </c>
      <c r="Q511">
        <v>2</v>
      </c>
      <c r="R511">
        <v>737</v>
      </c>
      <c r="S511">
        <v>7489</v>
      </c>
      <c r="T511">
        <v>916.1</v>
      </c>
      <c r="U511" t="s">
        <v>2273</v>
      </c>
      <c r="V511" t="s">
        <v>3137</v>
      </c>
      <c r="W511">
        <v>68.950312225331416</v>
      </c>
      <c r="X511">
        <v>65.7</v>
      </c>
      <c r="Y511" t="s">
        <v>3947</v>
      </c>
      <c r="Z511">
        <v>31.02106700832503</v>
      </c>
      <c r="AA511">
        <v>9380</v>
      </c>
      <c r="AB511">
        <v>703811</v>
      </c>
      <c r="AC511" t="s">
        <v>4792</v>
      </c>
      <c r="AD511">
        <v>26.3</v>
      </c>
      <c r="AE511" t="s">
        <v>5656</v>
      </c>
      <c r="AF511" t="s">
        <v>6485</v>
      </c>
      <c r="AG511">
        <v>105309</v>
      </c>
      <c r="AH511">
        <v>1348</v>
      </c>
      <c r="AI511">
        <v>2792074</v>
      </c>
      <c r="AJ511">
        <v>1.99</v>
      </c>
    </row>
    <row r="512" spans="1:36">
      <c r="A512" s="1" t="s">
        <v>546</v>
      </c>
      <c r="B512" t="s">
        <v>1410</v>
      </c>
      <c r="C512" t="str">
        <f>HYPERLINK("https://finance.naver.com/item/coinfo.nhn?code=032640", "A032640")</f>
        <v>A032640</v>
      </c>
      <c r="D512" t="str">
        <f>HYPERLINK("http://comp.fnguide.com/SVO2/ASP/SVD_Consensus.asp?pGB=1&amp;gicode=A032640&amp;cID=&amp;MenuYn=Y&amp;ReportGB=&amp;NewMenuID=108&amp;stkGb=701", "LG유플러스")</f>
        <v>LG유플러스</v>
      </c>
      <c r="E512">
        <v>3</v>
      </c>
      <c r="F512">
        <v>12100</v>
      </c>
      <c r="G512">
        <v>1.25</v>
      </c>
      <c r="H512">
        <v>14.13</v>
      </c>
      <c r="I512">
        <v>15564</v>
      </c>
      <c r="J512">
        <v>15958</v>
      </c>
      <c r="K512">
        <v>16069</v>
      </c>
      <c r="L512">
        <v>-28.63</v>
      </c>
      <c r="M512">
        <v>-31.88</v>
      </c>
      <c r="N512">
        <v>-32.799999999999997</v>
      </c>
      <c r="O512">
        <v>7.62</v>
      </c>
      <c r="P512" t="b">
        <v>1</v>
      </c>
      <c r="Q512">
        <v>1</v>
      </c>
      <c r="R512">
        <v>1005</v>
      </c>
      <c r="S512">
        <v>1729</v>
      </c>
      <c r="T512">
        <v>72</v>
      </c>
      <c r="U512" t="s">
        <v>2274</v>
      </c>
      <c r="V512" t="s">
        <v>3138</v>
      </c>
      <c r="W512">
        <v>11.30375906193319</v>
      </c>
      <c r="X512">
        <v>105.3</v>
      </c>
      <c r="Y512" t="s">
        <v>3948</v>
      </c>
      <c r="Z512">
        <v>20.717550416071148</v>
      </c>
      <c r="AA512">
        <v>52830</v>
      </c>
      <c r="AB512">
        <v>3331974</v>
      </c>
      <c r="AC512" t="s">
        <v>4793</v>
      </c>
      <c r="AD512">
        <v>37.659999999999997</v>
      </c>
      <c r="AE512" t="s">
        <v>5657</v>
      </c>
      <c r="AF512" t="s">
        <v>6486</v>
      </c>
      <c r="AG512">
        <v>123820</v>
      </c>
      <c r="AH512">
        <v>6862</v>
      </c>
      <c r="AI512">
        <v>3</v>
      </c>
      <c r="AJ512">
        <v>2.82</v>
      </c>
    </row>
    <row r="513" spans="1:36">
      <c r="A513" s="1" t="s">
        <v>547</v>
      </c>
      <c r="B513" t="s">
        <v>1411</v>
      </c>
      <c r="C513" t="str">
        <f>HYPERLINK("https://finance.naver.com/item/coinfo.nhn?code=108670", "A108670")</f>
        <v>A108670</v>
      </c>
      <c r="D513" t="str">
        <f>HYPERLINK("http://comp.fnguide.com/SVO2/ASP/SVD_Consensus.asp?pGB=1&amp;gicode=A108670&amp;cID=&amp;MenuYn=Y&amp;ReportGB=&amp;NewMenuID=108&amp;stkGb=701", "LG하우시스")</f>
        <v>LG하우시스</v>
      </c>
      <c r="E513">
        <v>3</v>
      </c>
      <c r="F513">
        <v>76800</v>
      </c>
      <c r="G513">
        <v>-9.7799999999999994</v>
      </c>
      <c r="H513">
        <v>47.3</v>
      </c>
      <c r="I513">
        <v>23243</v>
      </c>
      <c r="J513">
        <v>70718</v>
      </c>
      <c r="K513">
        <v>84209</v>
      </c>
      <c r="L513">
        <v>69.739999999999995</v>
      </c>
      <c r="M513">
        <v>7.92</v>
      </c>
      <c r="N513">
        <v>-9.65</v>
      </c>
      <c r="O513">
        <v>1.81</v>
      </c>
      <c r="P513" t="b">
        <v>0</v>
      </c>
      <c r="Q513">
        <v>2</v>
      </c>
      <c r="R513">
        <v>1157</v>
      </c>
      <c r="S513">
        <v>5842</v>
      </c>
      <c r="T513">
        <v>404.9</v>
      </c>
      <c r="U513" t="s">
        <v>2275</v>
      </c>
      <c r="V513" t="s">
        <v>3139</v>
      </c>
      <c r="W513">
        <v>-4.8355937884941973</v>
      </c>
      <c r="X513">
        <v>61</v>
      </c>
      <c r="Y513" t="s">
        <v>3949</v>
      </c>
      <c r="Z513">
        <v>15.032379288260531</v>
      </c>
      <c r="AA513">
        <v>6887</v>
      </c>
      <c r="AB513">
        <v>90322</v>
      </c>
      <c r="AC513" t="s">
        <v>4794</v>
      </c>
      <c r="AD513">
        <v>33.549999999999997</v>
      </c>
      <c r="AE513" t="s">
        <v>5658</v>
      </c>
      <c r="AF513" t="s">
        <v>6487</v>
      </c>
      <c r="AG513">
        <v>31868</v>
      </c>
      <c r="AH513">
        <v>688</v>
      </c>
      <c r="AI513">
        <v>17875</v>
      </c>
      <c r="AJ513">
        <v>0.46</v>
      </c>
    </row>
    <row r="514" spans="1:36">
      <c r="A514" s="1" t="s">
        <v>548</v>
      </c>
      <c r="B514" t="s">
        <v>1412</v>
      </c>
      <c r="C514" t="str">
        <f>HYPERLINK("https://finance.naver.com/item/coinfo.nhn?code=037560", "A037560")</f>
        <v>A037560</v>
      </c>
      <c r="D514" t="str">
        <f>HYPERLINK("http://comp.fnguide.com/SVO2/ASP/SVD_Consensus.asp?pGB=1&amp;gicode=A037560&amp;cID=&amp;MenuYn=Y&amp;ReportGB=&amp;NewMenuID=108&amp;stkGb=701", "LG헬로비전")</f>
        <v>LG헬로비전</v>
      </c>
      <c r="E514">
        <v>3</v>
      </c>
      <c r="F514">
        <v>3855</v>
      </c>
      <c r="I514">
        <v>2738</v>
      </c>
      <c r="J514">
        <v>8481</v>
      </c>
      <c r="K514">
        <v>10113</v>
      </c>
      <c r="L514">
        <v>28.97</v>
      </c>
      <c r="M514">
        <v>-120.01</v>
      </c>
      <c r="N514">
        <v>-162.34</v>
      </c>
      <c r="O514">
        <v>1.77</v>
      </c>
      <c r="P514" t="b">
        <v>0</v>
      </c>
      <c r="Q514">
        <v>1</v>
      </c>
      <c r="R514">
        <v>-1217</v>
      </c>
      <c r="S514">
        <v>280</v>
      </c>
      <c r="T514">
        <v>-123</v>
      </c>
      <c r="U514" t="s">
        <v>2276</v>
      </c>
      <c r="V514" t="s">
        <v>3140</v>
      </c>
      <c r="W514">
        <v>-9.1228885755154199</v>
      </c>
      <c r="X514">
        <v>79</v>
      </c>
      <c r="Y514" t="s">
        <v>3950</v>
      </c>
      <c r="Z514">
        <v>4.1388434808011132</v>
      </c>
      <c r="AA514">
        <v>2986</v>
      </c>
      <c r="AB514">
        <v>355199</v>
      </c>
      <c r="AC514" t="s">
        <v>4795</v>
      </c>
      <c r="AD514">
        <v>50</v>
      </c>
      <c r="AE514" t="s">
        <v>5659</v>
      </c>
      <c r="AF514" t="s">
        <v>6488</v>
      </c>
      <c r="AG514">
        <v>11122</v>
      </c>
      <c r="AH514">
        <v>292</v>
      </c>
      <c r="AJ514">
        <v>1.24</v>
      </c>
    </row>
    <row r="515" spans="1:36">
      <c r="A515" s="1" t="s">
        <v>549</v>
      </c>
      <c r="B515" t="s">
        <v>1413</v>
      </c>
      <c r="C515" t="str">
        <f>HYPERLINK("https://finance.naver.com/item/coinfo.nhn?code=006260", "A006260")</f>
        <v>A006260</v>
      </c>
      <c r="D515" t="str">
        <f>HYPERLINK("http://comp.fnguide.com/SVO2/ASP/SVD_Consensus.asp?pGB=1&amp;gicode=A006260&amp;cID=&amp;MenuYn=Y&amp;ReportGB=&amp;NewMenuID=108&amp;stkGb=701", "LS")</f>
        <v>LS</v>
      </c>
      <c r="E515">
        <v>3</v>
      </c>
      <c r="F515">
        <v>72500</v>
      </c>
      <c r="G515">
        <v>-2.29</v>
      </c>
      <c r="H515">
        <v>60.76</v>
      </c>
      <c r="I515">
        <v>98948</v>
      </c>
      <c r="J515">
        <v>108021</v>
      </c>
      <c r="K515">
        <v>110599</v>
      </c>
      <c r="L515">
        <v>-36.479999999999997</v>
      </c>
      <c r="M515">
        <v>-48.99</v>
      </c>
      <c r="N515">
        <v>-52.55</v>
      </c>
      <c r="O515">
        <v>6.89</v>
      </c>
      <c r="P515" t="b">
        <v>0</v>
      </c>
      <c r="Q515">
        <v>1</v>
      </c>
      <c r="R515">
        <v>787</v>
      </c>
      <c r="S515">
        <v>3641</v>
      </c>
      <c r="T515">
        <v>362.6</v>
      </c>
      <c r="U515" t="s">
        <v>2277</v>
      </c>
      <c r="V515" t="s">
        <v>3141</v>
      </c>
      <c r="W515">
        <v>-26.525816647130512</v>
      </c>
      <c r="X515">
        <v>-27.8</v>
      </c>
      <c r="Y515" t="s">
        <v>3951</v>
      </c>
      <c r="Z515">
        <v>-42.506314962816667</v>
      </c>
      <c r="AA515">
        <v>23345</v>
      </c>
      <c r="AB515">
        <v>227028</v>
      </c>
      <c r="AC515" t="s">
        <v>4796</v>
      </c>
      <c r="AD515">
        <v>35.229999999999997</v>
      </c>
      <c r="AE515" t="s">
        <v>5660</v>
      </c>
      <c r="AF515" t="s">
        <v>6489</v>
      </c>
      <c r="AG515">
        <v>101762</v>
      </c>
      <c r="AH515">
        <v>2724</v>
      </c>
      <c r="AI515">
        <v>4432929</v>
      </c>
      <c r="AJ515">
        <v>3.03</v>
      </c>
    </row>
    <row r="516" spans="1:36">
      <c r="A516" s="1" t="s">
        <v>550</v>
      </c>
      <c r="B516" t="s">
        <v>1414</v>
      </c>
      <c r="C516" t="str">
        <f>HYPERLINK("https://finance.naver.com/item/coinfo.nhn?code=000680", "A000680")</f>
        <v>A000680</v>
      </c>
      <c r="D516" t="str">
        <f>HYPERLINK("http://comp.fnguide.com/SVO2/ASP/SVD_Consensus.asp?pGB=1&amp;gicode=A000680&amp;cID=&amp;MenuYn=Y&amp;ReportGB=&amp;NewMenuID=108&amp;stkGb=701", "LS네트웍스")</f>
        <v>LS네트웍스</v>
      </c>
      <c r="E516">
        <v>3</v>
      </c>
      <c r="F516">
        <v>2660</v>
      </c>
      <c r="G516">
        <v>0</v>
      </c>
      <c r="I516">
        <v>1267</v>
      </c>
      <c r="J516">
        <v>4758</v>
      </c>
      <c r="K516">
        <v>5749</v>
      </c>
      <c r="L516">
        <v>52.37</v>
      </c>
      <c r="M516">
        <v>-78.849999999999994</v>
      </c>
      <c r="N516">
        <v>-116.14</v>
      </c>
      <c r="O516">
        <v>1.42</v>
      </c>
      <c r="P516" t="b">
        <v>0</v>
      </c>
      <c r="Q516">
        <v>0</v>
      </c>
      <c r="R516">
        <v>-877</v>
      </c>
      <c r="U516" t="s">
        <v>2278</v>
      </c>
      <c r="V516" t="s">
        <v>3142</v>
      </c>
      <c r="W516">
        <v>0</v>
      </c>
      <c r="X516">
        <v>0</v>
      </c>
      <c r="Y516" t="s">
        <v>3952</v>
      </c>
      <c r="Z516">
        <v>-20.9</v>
      </c>
      <c r="AA516">
        <v>2096</v>
      </c>
      <c r="AB516">
        <v>348803</v>
      </c>
      <c r="AC516" t="s">
        <v>4797</v>
      </c>
      <c r="AD516">
        <v>81.81</v>
      </c>
      <c r="AE516" t="s">
        <v>5661</v>
      </c>
      <c r="AF516" t="s">
        <v>6490</v>
      </c>
      <c r="AG516">
        <v>4028</v>
      </c>
      <c r="AH516">
        <v>-215</v>
      </c>
      <c r="AI516">
        <v>5320054</v>
      </c>
    </row>
    <row r="517" spans="1:36">
      <c r="A517" s="1" t="s">
        <v>551</v>
      </c>
      <c r="B517" t="s">
        <v>1415</v>
      </c>
      <c r="C517" t="str">
        <f>HYPERLINK("https://finance.naver.com/item/coinfo.nhn?code=181710", "A181710")</f>
        <v>A181710</v>
      </c>
      <c r="D517" t="str">
        <f>HYPERLINK("http://comp.fnguide.com/SVO2/ASP/SVD_Consensus.asp?pGB=1&amp;gicode=A181710&amp;cID=&amp;MenuYn=Y&amp;ReportGB=&amp;NewMenuID=108&amp;stkGb=701", "NHN")</f>
        <v>NHN</v>
      </c>
      <c r="E517">
        <v>3</v>
      </c>
      <c r="F517">
        <v>71500</v>
      </c>
      <c r="G517">
        <v>1.61</v>
      </c>
      <c r="H517">
        <v>105.91</v>
      </c>
      <c r="I517">
        <v>26871</v>
      </c>
      <c r="J517">
        <v>61915</v>
      </c>
      <c r="K517">
        <v>71874</v>
      </c>
      <c r="L517">
        <v>62.42</v>
      </c>
      <c r="M517">
        <v>13.41</v>
      </c>
      <c r="N517">
        <v>-0.52</v>
      </c>
      <c r="O517">
        <v>2.5099999999999998</v>
      </c>
      <c r="P517" t="b">
        <v>0</v>
      </c>
      <c r="Q517">
        <v>1</v>
      </c>
      <c r="R517">
        <v>631</v>
      </c>
      <c r="S517">
        <v>3877</v>
      </c>
      <c r="T517">
        <v>514.4</v>
      </c>
      <c r="U517" t="s">
        <v>2279</v>
      </c>
      <c r="V517" t="s">
        <v>3143</v>
      </c>
      <c r="W517">
        <v>65.835413973429183</v>
      </c>
      <c r="X517">
        <v>39.5</v>
      </c>
      <c r="Y517" t="s">
        <v>3953</v>
      </c>
      <c r="Z517">
        <v>-36.858026142527621</v>
      </c>
      <c r="AA517">
        <v>13989</v>
      </c>
      <c r="AB517">
        <v>59257</v>
      </c>
      <c r="AC517" t="s">
        <v>4798</v>
      </c>
      <c r="AD517">
        <v>47.66</v>
      </c>
      <c r="AE517" t="s">
        <v>5662</v>
      </c>
      <c r="AF517" t="s">
        <v>6491</v>
      </c>
      <c r="AG517">
        <v>14886</v>
      </c>
      <c r="AH517">
        <v>867</v>
      </c>
      <c r="AI517">
        <v>1016171</v>
      </c>
    </row>
    <row r="518" spans="1:36">
      <c r="A518" s="1" t="s">
        <v>552</v>
      </c>
      <c r="B518" t="s">
        <v>1416</v>
      </c>
      <c r="C518" t="str">
        <f>HYPERLINK("https://finance.naver.com/item/coinfo.nhn?code=005940", "A005940")</f>
        <v>A005940</v>
      </c>
      <c r="D518" t="str">
        <f>HYPERLINK("http://comp.fnguide.com/SVO2/ASP/SVD_Consensus.asp?pGB=1&amp;gicode=A005940&amp;cID=&amp;MenuYn=Y&amp;ReportGB=&amp;NewMenuID=108&amp;stkGb=701", "NH투자증권")</f>
        <v>NH투자증권</v>
      </c>
      <c r="E518">
        <v>3</v>
      </c>
      <c r="F518">
        <v>11800</v>
      </c>
      <c r="G518">
        <v>0.39</v>
      </c>
      <c r="H518">
        <v>8.02</v>
      </c>
      <c r="I518">
        <v>19879</v>
      </c>
      <c r="J518">
        <v>19460</v>
      </c>
      <c r="K518">
        <v>19341</v>
      </c>
      <c r="L518">
        <v>-68.47</v>
      </c>
      <c r="M518">
        <v>-64.92</v>
      </c>
      <c r="N518">
        <v>-63.91</v>
      </c>
      <c r="O518">
        <v>8.23</v>
      </c>
      <c r="P518" t="b">
        <v>0</v>
      </c>
      <c r="Q518">
        <v>3</v>
      </c>
      <c r="R518">
        <v>1584</v>
      </c>
      <c r="S518">
        <v>2033</v>
      </c>
      <c r="T518">
        <v>28.3</v>
      </c>
      <c r="U518" t="s">
        <v>2280</v>
      </c>
      <c r="V518" t="s">
        <v>3144</v>
      </c>
      <c r="W518">
        <v>20.355768595008289</v>
      </c>
      <c r="X518">
        <v>12</v>
      </c>
      <c r="Y518" t="s">
        <v>3954</v>
      </c>
      <c r="Z518">
        <v>8.1558210434367275</v>
      </c>
      <c r="AA518">
        <v>33206</v>
      </c>
      <c r="AB518">
        <v>1373044</v>
      </c>
      <c r="AC518" t="s">
        <v>4799</v>
      </c>
      <c r="AD518">
        <v>49.12</v>
      </c>
      <c r="AE518" t="s">
        <v>5663</v>
      </c>
      <c r="AF518" t="s">
        <v>6492</v>
      </c>
      <c r="AG518">
        <v>13873</v>
      </c>
      <c r="AH518">
        <v>5754</v>
      </c>
      <c r="AI518">
        <v>683671</v>
      </c>
      <c r="AJ518">
        <v>3.94</v>
      </c>
    </row>
    <row r="519" spans="1:36">
      <c r="A519" s="1" t="s">
        <v>553</v>
      </c>
      <c r="B519" t="s">
        <v>1417</v>
      </c>
      <c r="C519" t="str">
        <f>HYPERLINK("https://finance.naver.com/item/coinfo.nhn?code=008260", "A008260")</f>
        <v>A008260</v>
      </c>
      <c r="D519" t="str">
        <f>HYPERLINK("http://comp.fnguide.com/SVO2/ASP/SVD_Consensus.asp?pGB=1&amp;gicode=A008260&amp;cID=&amp;MenuYn=Y&amp;ReportGB=&amp;NewMenuID=108&amp;stkGb=701", "NI스틸")</f>
        <v>NI스틸</v>
      </c>
      <c r="E519">
        <v>3</v>
      </c>
      <c r="F519">
        <v>2550</v>
      </c>
      <c r="G519">
        <v>0</v>
      </c>
      <c r="H519">
        <v>9.85</v>
      </c>
      <c r="I519">
        <v>4034</v>
      </c>
      <c r="J519">
        <v>3940</v>
      </c>
      <c r="K519">
        <v>3913</v>
      </c>
      <c r="L519">
        <v>-58.19</v>
      </c>
      <c r="M519">
        <v>-54.5</v>
      </c>
      <c r="N519">
        <v>-53.46</v>
      </c>
      <c r="O519">
        <v>8.26</v>
      </c>
      <c r="P519" t="b">
        <v>1</v>
      </c>
      <c r="Q519">
        <v>0</v>
      </c>
      <c r="R519">
        <v>224</v>
      </c>
      <c r="U519" t="s">
        <v>2281</v>
      </c>
      <c r="V519" t="s">
        <v>3145</v>
      </c>
      <c r="W519">
        <v>0</v>
      </c>
      <c r="X519">
        <v>19.2</v>
      </c>
      <c r="Y519" t="s">
        <v>3955</v>
      </c>
      <c r="Z519">
        <v>1.389534495520905</v>
      </c>
      <c r="AA519">
        <v>729</v>
      </c>
      <c r="AB519">
        <v>131695</v>
      </c>
      <c r="AC519" t="s">
        <v>4800</v>
      </c>
      <c r="AD519">
        <v>59.16</v>
      </c>
      <c r="AE519" t="s">
        <v>5664</v>
      </c>
      <c r="AF519" t="s">
        <v>6493</v>
      </c>
      <c r="AG519">
        <v>1482</v>
      </c>
      <c r="AH519">
        <v>121</v>
      </c>
      <c r="AJ519">
        <v>2.2599999999999998</v>
      </c>
    </row>
    <row r="520" spans="1:36">
      <c r="A520" s="1" t="s">
        <v>554</v>
      </c>
      <c r="B520" t="s">
        <v>1418</v>
      </c>
      <c r="C520" t="str">
        <f>HYPERLINK("https://finance.naver.com/item/coinfo.nhn?code=004250", "A004250")</f>
        <v>A004250</v>
      </c>
      <c r="D520" t="str">
        <f>HYPERLINK("http://comp.fnguide.com/SVO2/ASP/SVD_Consensus.asp?pGB=1&amp;gicode=A004250&amp;cID=&amp;MenuYn=Y&amp;ReportGB=&amp;NewMenuID=108&amp;stkGb=701", "NPC")</f>
        <v>NPC</v>
      </c>
      <c r="E520">
        <v>3</v>
      </c>
      <c r="F520">
        <v>3250</v>
      </c>
      <c r="G520">
        <v>0</v>
      </c>
      <c r="H520">
        <v>10.92</v>
      </c>
      <c r="I520">
        <v>4837</v>
      </c>
      <c r="J520">
        <v>6569</v>
      </c>
      <c r="K520">
        <v>7061</v>
      </c>
      <c r="L520">
        <v>-48.84</v>
      </c>
      <c r="M520">
        <v>-102.12</v>
      </c>
      <c r="N520">
        <v>-117.26</v>
      </c>
      <c r="O520">
        <v>4.9800000000000004</v>
      </c>
      <c r="P520" t="b">
        <v>1</v>
      </c>
      <c r="Q520">
        <v>0</v>
      </c>
      <c r="R520">
        <v>343</v>
      </c>
      <c r="U520" t="s">
        <v>2282</v>
      </c>
      <c r="V520" t="s">
        <v>3146</v>
      </c>
      <c r="W520">
        <v>0</v>
      </c>
      <c r="X520">
        <v>2.1</v>
      </c>
      <c r="Y520" t="s">
        <v>3956</v>
      </c>
      <c r="Z520">
        <v>-9.9446643814204876</v>
      </c>
      <c r="AA520">
        <v>1193</v>
      </c>
      <c r="AB520">
        <v>153283</v>
      </c>
      <c r="AC520" t="s">
        <v>4801</v>
      </c>
      <c r="AD520">
        <v>60.05</v>
      </c>
      <c r="AE520" t="s">
        <v>5665</v>
      </c>
      <c r="AF520" t="s">
        <v>6494</v>
      </c>
      <c r="AG520">
        <v>4545</v>
      </c>
      <c r="AH520">
        <v>198</v>
      </c>
      <c r="AJ520">
        <v>2.67</v>
      </c>
    </row>
    <row r="521" spans="1:36">
      <c r="A521" s="1" t="s">
        <v>555</v>
      </c>
      <c r="B521" t="s">
        <v>1419</v>
      </c>
      <c r="C521" t="str">
        <f>HYPERLINK("https://finance.naver.com/item/coinfo.nhn?code=009440", "A009440")</f>
        <v>A009440</v>
      </c>
      <c r="D521" t="str">
        <f>HYPERLINK("http://comp.fnguide.com/SVO2/ASP/SVD_Consensus.asp?pGB=1&amp;gicode=A009440&amp;cID=&amp;MenuYn=Y&amp;ReportGB=&amp;NewMenuID=108&amp;stkGb=701", "KC그린홀딩스")</f>
        <v>KC그린홀딩스</v>
      </c>
      <c r="E521">
        <v>3</v>
      </c>
      <c r="F521">
        <v>5030</v>
      </c>
      <c r="G521">
        <v>0</v>
      </c>
      <c r="H521">
        <v>13.23</v>
      </c>
      <c r="I521">
        <v>5487</v>
      </c>
      <c r="J521">
        <v>7064</v>
      </c>
      <c r="K521">
        <v>7513</v>
      </c>
      <c r="L521">
        <v>-9.09</v>
      </c>
      <c r="M521">
        <v>-40.450000000000003</v>
      </c>
      <c r="N521">
        <v>-49.36</v>
      </c>
      <c r="O521">
        <v>5.37</v>
      </c>
      <c r="P521" t="b">
        <v>0</v>
      </c>
      <c r="Q521">
        <v>0</v>
      </c>
      <c r="R521">
        <v>364</v>
      </c>
      <c r="U521" t="s">
        <v>2283</v>
      </c>
      <c r="V521" t="s">
        <v>3147</v>
      </c>
      <c r="W521">
        <v>0</v>
      </c>
      <c r="X521">
        <v>0</v>
      </c>
      <c r="Y521" t="s">
        <v>3957</v>
      </c>
      <c r="Z521">
        <v>-11.97839808973329</v>
      </c>
      <c r="AA521">
        <v>1128</v>
      </c>
      <c r="AB521">
        <v>314690</v>
      </c>
      <c r="AC521" t="s">
        <v>4802</v>
      </c>
      <c r="AD521">
        <v>46.22</v>
      </c>
      <c r="AE521" t="s">
        <v>5666</v>
      </c>
      <c r="AF521" t="s">
        <v>6495</v>
      </c>
      <c r="AG521">
        <v>6989</v>
      </c>
      <c r="AH521">
        <v>215</v>
      </c>
      <c r="AI521">
        <v>310000</v>
      </c>
      <c r="AJ521">
        <v>1.24</v>
      </c>
    </row>
    <row r="522" spans="1:36">
      <c r="A522" s="1" t="s">
        <v>556</v>
      </c>
      <c r="B522" t="s">
        <v>1420</v>
      </c>
      <c r="C522" t="str">
        <f>HYPERLINK("https://finance.naver.com/item/coinfo.nhn?code=002380", "A002380")</f>
        <v>A002380</v>
      </c>
      <c r="D522" t="str">
        <f>HYPERLINK("http://comp.fnguide.com/SVO2/ASP/SVD_Consensus.asp?pGB=1&amp;gicode=A002380&amp;cID=&amp;MenuYn=Y&amp;ReportGB=&amp;NewMenuID=108&amp;stkGb=701", "KCC")</f>
        <v>KCC</v>
      </c>
      <c r="E522">
        <v>3</v>
      </c>
      <c r="F522">
        <v>199500</v>
      </c>
      <c r="I522">
        <v>8664</v>
      </c>
      <c r="J522">
        <v>353220</v>
      </c>
      <c r="K522">
        <v>451136</v>
      </c>
      <c r="L522">
        <v>95.66</v>
      </c>
      <c r="M522">
        <v>-77.05</v>
      </c>
      <c r="N522">
        <v>-126.13</v>
      </c>
      <c r="O522">
        <v>0.12</v>
      </c>
      <c r="P522" t="b">
        <v>0</v>
      </c>
      <c r="Q522">
        <v>1</v>
      </c>
      <c r="R522">
        <v>-21079</v>
      </c>
      <c r="S522">
        <v>4476</v>
      </c>
      <c r="T522">
        <v>-121.2</v>
      </c>
      <c r="U522" t="s">
        <v>2284</v>
      </c>
      <c r="V522" t="s">
        <v>3148</v>
      </c>
      <c r="W522">
        <v>4.118759797568261</v>
      </c>
      <c r="X522">
        <v>0</v>
      </c>
      <c r="Y522" t="s">
        <v>3958</v>
      </c>
      <c r="Z522">
        <v>-52.397689131723872</v>
      </c>
      <c r="AA522">
        <v>17729</v>
      </c>
      <c r="AB522">
        <v>116419</v>
      </c>
      <c r="AC522" t="s">
        <v>4803</v>
      </c>
      <c r="AD522">
        <v>39.51</v>
      </c>
      <c r="AE522" t="s">
        <v>5667</v>
      </c>
      <c r="AF522" t="s">
        <v>6496</v>
      </c>
      <c r="AG522">
        <v>27196</v>
      </c>
      <c r="AH522">
        <v>1332</v>
      </c>
      <c r="AI522">
        <v>1228318</v>
      </c>
      <c r="AJ522">
        <v>2.68</v>
      </c>
    </row>
    <row r="523" spans="1:36">
      <c r="A523" s="1" t="s">
        <v>557</v>
      </c>
      <c r="B523" t="s">
        <v>1421</v>
      </c>
      <c r="C523" t="str">
        <f>HYPERLINK("https://finance.naver.com/item/coinfo.nhn?code=019680", "A019680")</f>
        <v>A019680</v>
      </c>
      <c r="D523" t="str">
        <f>HYPERLINK("http://comp.fnguide.com/SVO2/ASP/SVD_Consensus.asp?pGB=1&amp;gicode=A019680&amp;cID=&amp;MenuYn=Y&amp;ReportGB=&amp;NewMenuID=108&amp;stkGb=701", "대교")</f>
        <v>대교</v>
      </c>
      <c r="E523">
        <v>3</v>
      </c>
      <c r="F523">
        <v>3655</v>
      </c>
      <c r="G523">
        <v>0</v>
      </c>
      <c r="H523">
        <v>37.64</v>
      </c>
      <c r="I523">
        <v>3787</v>
      </c>
      <c r="J523">
        <v>6814</v>
      </c>
      <c r="K523">
        <v>7674</v>
      </c>
      <c r="L523">
        <v>-3.61</v>
      </c>
      <c r="M523">
        <v>-86.42</v>
      </c>
      <c r="N523">
        <v>-109.95</v>
      </c>
      <c r="O523">
        <v>3.41</v>
      </c>
      <c r="P523" t="b">
        <v>0</v>
      </c>
      <c r="Q523">
        <v>0</v>
      </c>
      <c r="R523">
        <v>162</v>
      </c>
      <c r="S523">
        <v>-163</v>
      </c>
      <c r="T523">
        <v>-200.6</v>
      </c>
      <c r="U523" t="s">
        <v>2285</v>
      </c>
      <c r="V523" t="s">
        <v>3149</v>
      </c>
      <c r="W523">
        <v>0</v>
      </c>
      <c r="X523">
        <v>0</v>
      </c>
      <c r="Y523" t="s">
        <v>3959</v>
      </c>
      <c r="Z523">
        <v>-21.641065728216951</v>
      </c>
      <c r="AA523">
        <v>3096</v>
      </c>
      <c r="AB523">
        <v>207161</v>
      </c>
      <c r="AC523" t="s">
        <v>4804</v>
      </c>
      <c r="AD523">
        <v>66.61</v>
      </c>
      <c r="AE523" t="s">
        <v>5668</v>
      </c>
      <c r="AF523" t="s">
        <v>6497</v>
      </c>
      <c r="AG523">
        <v>7619</v>
      </c>
      <c r="AH523">
        <v>294</v>
      </c>
      <c r="AI523">
        <v>15634584</v>
      </c>
      <c r="AJ523">
        <v>2.79</v>
      </c>
    </row>
    <row r="524" spans="1:36">
      <c r="A524" s="1" t="s">
        <v>558</v>
      </c>
      <c r="B524" t="s">
        <v>1422</v>
      </c>
      <c r="C524" t="str">
        <f>HYPERLINK("https://finance.naver.com/item/coinfo.nhn?code=004840", "A004840")</f>
        <v>A004840</v>
      </c>
      <c r="D524" t="str">
        <f>HYPERLINK("http://comp.fnguide.com/SVO2/ASP/SVD_Consensus.asp?pGB=1&amp;gicode=A004840&amp;cID=&amp;MenuYn=Y&amp;ReportGB=&amp;NewMenuID=108&amp;stkGb=701", "DRB동일")</f>
        <v>DRB동일</v>
      </c>
      <c r="E524">
        <v>3</v>
      </c>
      <c r="F524">
        <v>6810</v>
      </c>
      <c r="G524">
        <v>0</v>
      </c>
      <c r="H524">
        <v>11.81</v>
      </c>
      <c r="I524">
        <v>6419</v>
      </c>
      <c r="J524">
        <v>13615</v>
      </c>
      <c r="K524">
        <v>15660</v>
      </c>
      <c r="L524">
        <v>5.74</v>
      </c>
      <c r="M524">
        <v>-99.93</v>
      </c>
      <c r="N524">
        <v>-129.94999999999999</v>
      </c>
      <c r="O524">
        <v>2.77</v>
      </c>
      <c r="P524" t="b">
        <v>0</v>
      </c>
      <c r="Q524">
        <v>0</v>
      </c>
      <c r="R524">
        <v>445</v>
      </c>
      <c r="U524" t="s">
        <v>2286</v>
      </c>
      <c r="V524" t="s">
        <v>3150</v>
      </c>
      <c r="W524">
        <v>0</v>
      </c>
      <c r="X524">
        <v>-54.6</v>
      </c>
      <c r="Y524" t="s">
        <v>3960</v>
      </c>
      <c r="Z524">
        <v>-37.215762002208528</v>
      </c>
      <c r="AA524">
        <v>1357</v>
      </c>
      <c r="AB524">
        <v>67323</v>
      </c>
      <c r="AC524" t="s">
        <v>4805</v>
      </c>
      <c r="AD524">
        <v>69.75</v>
      </c>
      <c r="AE524" t="s">
        <v>5669</v>
      </c>
      <c r="AF524" t="s">
        <v>6498</v>
      </c>
      <c r="AG524">
        <v>5470</v>
      </c>
      <c r="AH524">
        <v>265</v>
      </c>
      <c r="AI524">
        <v>657636</v>
      </c>
      <c r="AJ524">
        <v>1.9</v>
      </c>
    </row>
    <row r="525" spans="1:36">
      <c r="A525" s="1" t="s">
        <v>559</v>
      </c>
      <c r="B525" t="s">
        <v>1423</v>
      </c>
      <c r="C525" t="str">
        <f>HYPERLINK("https://finance.naver.com/item/coinfo.nhn?code=027410", "A027410")</f>
        <v>A027410</v>
      </c>
      <c r="D525" t="str">
        <f>HYPERLINK("http://comp.fnguide.com/SVO2/ASP/SVD_Consensus.asp?pGB=1&amp;gicode=A027410&amp;cID=&amp;MenuYn=Y&amp;ReportGB=&amp;NewMenuID=108&amp;stkGb=701", "BGF")</f>
        <v>BGF</v>
      </c>
      <c r="E525">
        <v>3</v>
      </c>
      <c r="F525">
        <v>5000</v>
      </c>
      <c r="G525">
        <v>-0.24</v>
      </c>
      <c r="H525">
        <v>19.91</v>
      </c>
      <c r="I525">
        <v>145885</v>
      </c>
      <c r="J525">
        <v>67556</v>
      </c>
      <c r="K525">
        <v>45297</v>
      </c>
      <c r="L525">
        <v>-2817.69</v>
      </c>
      <c r="M525">
        <v>-1251.1199999999999</v>
      </c>
      <c r="N525">
        <v>-805.93</v>
      </c>
      <c r="O525">
        <v>73.78</v>
      </c>
      <c r="P525" t="b">
        <v>0</v>
      </c>
      <c r="Q525">
        <v>0</v>
      </c>
      <c r="R525">
        <v>281</v>
      </c>
      <c r="S525">
        <v>272</v>
      </c>
      <c r="T525">
        <v>-3.2</v>
      </c>
      <c r="U525" t="s">
        <v>2287</v>
      </c>
      <c r="V525" t="s">
        <v>3151</v>
      </c>
      <c r="W525">
        <v>-84.423792569819639</v>
      </c>
      <c r="X525">
        <v>-5.5</v>
      </c>
      <c r="Y525" t="s">
        <v>3961</v>
      </c>
      <c r="Z525">
        <v>-38.212604821420832</v>
      </c>
      <c r="AA525">
        <v>4786</v>
      </c>
      <c r="AB525">
        <v>4477156</v>
      </c>
      <c r="AC525" t="s">
        <v>4806</v>
      </c>
      <c r="AD525">
        <v>69.7</v>
      </c>
      <c r="AE525" t="s">
        <v>5670</v>
      </c>
      <c r="AF525" t="s">
        <v>6499</v>
      </c>
      <c r="AG525">
        <v>2403</v>
      </c>
      <c r="AH525">
        <v>294</v>
      </c>
      <c r="AI525">
        <v>8024</v>
      </c>
      <c r="AJ525">
        <v>1.96</v>
      </c>
    </row>
    <row r="526" spans="1:36">
      <c r="A526" s="1" t="s">
        <v>560</v>
      </c>
      <c r="B526" t="s">
        <v>1424</v>
      </c>
      <c r="C526" t="str">
        <f>HYPERLINK("https://finance.naver.com/item/coinfo.nhn?code=138930", "A138930")</f>
        <v>A138930</v>
      </c>
      <c r="D526" t="str">
        <f>HYPERLINK("http://comp.fnguide.com/SVO2/ASP/SVD_Consensus.asp?pGB=1&amp;gicode=A138930&amp;cID=&amp;MenuYn=Y&amp;ReportGB=&amp;NewMenuID=108&amp;stkGb=701", "BNK금융지주")</f>
        <v>BNK금융지주</v>
      </c>
      <c r="E526">
        <v>3</v>
      </c>
      <c r="F526">
        <v>5940</v>
      </c>
      <c r="G526">
        <v>0.56000000000000005</v>
      </c>
      <c r="H526">
        <v>4.4400000000000004</v>
      </c>
      <c r="I526">
        <v>21825</v>
      </c>
      <c r="J526">
        <v>24057</v>
      </c>
      <c r="K526">
        <v>24691</v>
      </c>
      <c r="L526">
        <v>-267.43</v>
      </c>
      <c r="M526">
        <v>-305</v>
      </c>
      <c r="N526">
        <v>-315.67</v>
      </c>
      <c r="O526">
        <v>6.79</v>
      </c>
      <c r="P526" t="b">
        <v>1</v>
      </c>
      <c r="Q526">
        <v>0</v>
      </c>
      <c r="R526">
        <v>1725</v>
      </c>
      <c r="S526">
        <v>1558</v>
      </c>
      <c r="T526">
        <v>-9.6999999999999993</v>
      </c>
      <c r="U526" t="s">
        <v>2288</v>
      </c>
      <c r="V526" t="s">
        <v>3152</v>
      </c>
      <c r="W526">
        <v>7.9837424087818132</v>
      </c>
      <c r="X526">
        <v>2.7</v>
      </c>
      <c r="Y526" t="s">
        <v>3962</v>
      </c>
      <c r="Z526">
        <v>2.8998640585504938</v>
      </c>
      <c r="AA526">
        <v>19361</v>
      </c>
      <c r="AB526">
        <v>1926762</v>
      </c>
      <c r="AC526" t="s">
        <v>4807</v>
      </c>
      <c r="AD526">
        <v>13.47</v>
      </c>
      <c r="AE526" t="s">
        <v>5671</v>
      </c>
      <c r="AF526" t="s">
        <v>6500</v>
      </c>
      <c r="AG526">
        <v>36293</v>
      </c>
      <c r="AH526">
        <v>8069</v>
      </c>
      <c r="AI526">
        <v>1518432</v>
      </c>
      <c r="AJ526">
        <v>4.7</v>
      </c>
    </row>
    <row r="527" spans="1:36">
      <c r="A527" s="1" t="s">
        <v>561</v>
      </c>
      <c r="B527" t="s">
        <v>1425</v>
      </c>
      <c r="C527" t="str">
        <f>HYPERLINK("https://finance.naver.com/item/coinfo.nhn?code=001460", "A001460")</f>
        <v>A001460</v>
      </c>
      <c r="D527" t="str">
        <f>HYPERLINK("http://comp.fnguide.com/SVO2/ASP/SVD_Consensus.asp?pGB=1&amp;gicode=A001460&amp;cID=&amp;MenuYn=Y&amp;ReportGB=&amp;NewMenuID=108&amp;stkGb=701", "BYC")</f>
        <v>BYC</v>
      </c>
      <c r="E527">
        <v>3</v>
      </c>
      <c r="F527">
        <v>284000</v>
      </c>
      <c r="G527">
        <v>0</v>
      </c>
      <c r="H527">
        <v>7.15</v>
      </c>
      <c r="I527">
        <v>377725</v>
      </c>
      <c r="J527">
        <v>568811</v>
      </c>
      <c r="K527">
        <v>623114</v>
      </c>
      <c r="L527">
        <v>-33</v>
      </c>
      <c r="M527">
        <v>-100.29</v>
      </c>
      <c r="N527">
        <v>-119.41</v>
      </c>
      <c r="O527">
        <v>4.3099999999999996</v>
      </c>
      <c r="P527" t="b">
        <v>1</v>
      </c>
      <c r="Q527">
        <v>0</v>
      </c>
      <c r="R527">
        <v>33063</v>
      </c>
      <c r="U527" t="s">
        <v>2289</v>
      </c>
      <c r="V527" t="s">
        <v>3153</v>
      </c>
      <c r="W527">
        <v>0</v>
      </c>
      <c r="X527">
        <v>-47.7</v>
      </c>
      <c r="Y527" t="s">
        <v>3963</v>
      </c>
      <c r="Z527">
        <v>1.926643763763747</v>
      </c>
      <c r="AA527">
        <v>1774</v>
      </c>
      <c r="AB527">
        <v>1322</v>
      </c>
      <c r="AC527" t="s">
        <v>4808</v>
      </c>
      <c r="AD527">
        <v>61.5</v>
      </c>
      <c r="AE527" t="s">
        <v>5672</v>
      </c>
      <c r="AF527" t="s">
        <v>6501</v>
      </c>
      <c r="AG527">
        <v>1706</v>
      </c>
      <c r="AH527">
        <v>234</v>
      </c>
      <c r="AI527">
        <v>8</v>
      </c>
      <c r="AJ527">
        <v>0.47</v>
      </c>
    </row>
    <row r="528" spans="1:36">
      <c r="A528" s="1" t="s">
        <v>562</v>
      </c>
      <c r="B528" t="s">
        <v>1426</v>
      </c>
      <c r="C528" t="str">
        <f>HYPERLINK("https://finance.naver.com/item/coinfo.nhn?code=001040", "A001040")</f>
        <v>A001040</v>
      </c>
      <c r="D528" t="str">
        <f>HYPERLINK("http://comp.fnguide.com/SVO2/ASP/SVD_Consensus.asp?pGB=1&amp;gicode=A001040&amp;cID=&amp;MenuYn=Y&amp;ReportGB=&amp;NewMenuID=108&amp;stkGb=701", "CJ")</f>
        <v>CJ</v>
      </c>
      <c r="E528">
        <v>3</v>
      </c>
      <c r="F528">
        <v>88400</v>
      </c>
      <c r="G528">
        <v>-0.57999999999999996</v>
      </c>
      <c r="H528">
        <v>11.44</v>
      </c>
      <c r="I528">
        <v>156166</v>
      </c>
      <c r="J528">
        <v>162481</v>
      </c>
      <c r="K528">
        <v>164275</v>
      </c>
      <c r="L528">
        <v>-76.66</v>
      </c>
      <c r="M528">
        <v>-83.8</v>
      </c>
      <c r="N528">
        <v>-85.83</v>
      </c>
      <c r="O528">
        <v>7.44</v>
      </c>
      <c r="P528" t="b">
        <v>0</v>
      </c>
      <c r="Q528">
        <v>0</v>
      </c>
      <c r="R528">
        <v>8445</v>
      </c>
      <c r="S528">
        <v>7569</v>
      </c>
      <c r="T528">
        <v>-10.4</v>
      </c>
      <c r="U528" t="s">
        <v>2290</v>
      </c>
      <c r="V528" t="s">
        <v>3154</v>
      </c>
      <c r="W528">
        <v>-19.7890898605622</v>
      </c>
      <c r="X528">
        <v>-27</v>
      </c>
      <c r="Y528" t="s">
        <v>3964</v>
      </c>
      <c r="Z528">
        <v>-1.1179190581321661</v>
      </c>
      <c r="AA528">
        <v>25792</v>
      </c>
      <c r="AB528">
        <v>197215</v>
      </c>
      <c r="AC528" t="s">
        <v>4809</v>
      </c>
      <c r="AD528">
        <v>47.05</v>
      </c>
      <c r="AE528" t="s">
        <v>5673</v>
      </c>
      <c r="AF528" t="s">
        <v>6502</v>
      </c>
      <c r="AG528">
        <v>337797</v>
      </c>
      <c r="AH528">
        <v>15092</v>
      </c>
      <c r="AI528">
        <v>2118538</v>
      </c>
      <c r="AJ528">
        <v>1.92</v>
      </c>
    </row>
    <row r="529" spans="1:36">
      <c r="A529" s="1" t="s">
        <v>563</v>
      </c>
      <c r="B529" t="s">
        <v>1427</v>
      </c>
      <c r="C529" t="str">
        <f>HYPERLINK("https://finance.naver.com/item/coinfo.nhn?code=000590", "A000590")</f>
        <v>A000590</v>
      </c>
      <c r="D529" t="str">
        <f>HYPERLINK("http://comp.fnguide.com/SVO2/ASP/SVD_Consensus.asp?pGB=1&amp;gicode=A000590&amp;cID=&amp;MenuYn=Y&amp;ReportGB=&amp;NewMenuID=108&amp;stkGb=701", "CS홀딩스")</f>
        <v>CS홀딩스</v>
      </c>
      <c r="E529">
        <v>3</v>
      </c>
      <c r="F529">
        <v>57900</v>
      </c>
      <c r="G529">
        <v>0</v>
      </c>
      <c r="H529">
        <v>6.98</v>
      </c>
      <c r="I529">
        <v>89108</v>
      </c>
      <c r="J529">
        <v>153907</v>
      </c>
      <c r="K529">
        <v>172322</v>
      </c>
      <c r="L529">
        <v>-53.9</v>
      </c>
      <c r="M529">
        <v>-165.82</v>
      </c>
      <c r="N529">
        <v>-197.62</v>
      </c>
      <c r="O529">
        <v>3.6</v>
      </c>
      <c r="P529" t="b">
        <v>1</v>
      </c>
      <c r="Q529">
        <v>0</v>
      </c>
      <c r="R529">
        <v>8382</v>
      </c>
      <c r="U529" t="s">
        <v>2291</v>
      </c>
      <c r="V529" t="s">
        <v>3155</v>
      </c>
      <c r="W529">
        <v>0</v>
      </c>
      <c r="X529">
        <v>-6.8</v>
      </c>
      <c r="Y529" t="s">
        <v>3965</v>
      </c>
      <c r="Z529">
        <v>-16.039671437274809</v>
      </c>
      <c r="AA529">
        <v>668</v>
      </c>
      <c r="AB529">
        <v>5134</v>
      </c>
      <c r="AC529" t="s">
        <v>4810</v>
      </c>
      <c r="AD529">
        <v>73.37</v>
      </c>
      <c r="AE529" t="s">
        <v>5674</v>
      </c>
      <c r="AF529" t="s">
        <v>6503</v>
      </c>
      <c r="AG529">
        <v>1350</v>
      </c>
      <c r="AH529">
        <v>170</v>
      </c>
      <c r="AI529">
        <v>7161</v>
      </c>
      <c r="AJ529">
        <v>0.85</v>
      </c>
    </row>
    <row r="530" spans="1:36">
      <c r="A530" s="1" t="s">
        <v>564</v>
      </c>
      <c r="B530" t="s">
        <v>1428</v>
      </c>
      <c r="C530" t="str">
        <f>HYPERLINK("https://finance.naver.com/item/coinfo.nhn?code=012030", "A012030")</f>
        <v>A012030</v>
      </c>
      <c r="D530" t="str">
        <f>HYPERLINK("http://comp.fnguide.com/SVO2/ASP/SVD_Consensus.asp?pGB=1&amp;gicode=A012030&amp;cID=&amp;MenuYn=Y&amp;ReportGB=&amp;NewMenuID=108&amp;stkGb=701", "DB")</f>
        <v>DB</v>
      </c>
      <c r="E530">
        <v>3</v>
      </c>
      <c r="F530">
        <v>760</v>
      </c>
      <c r="G530">
        <v>0</v>
      </c>
      <c r="H530">
        <v>40.19</v>
      </c>
      <c r="I530">
        <v>176</v>
      </c>
      <c r="J530">
        <v>735</v>
      </c>
      <c r="K530">
        <v>893</v>
      </c>
      <c r="L530">
        <v>76.849999999999994</v>
      </c>
      <c r="M530">
        <v>3.33</v>
      </c>
      <c r="N530">
        <v>-17.559999999999999</v>
      </c>
      <c r="O530">
        <v>1.26</v>
      </c>
      <c r="P530" t="b">
        <v>0</v>
      </c>
      <c r="Q530">
        <v>0</v>
      </c>
      <c r="R530">
        <v>22</v>
      </c>
      <c r="U530" t="s">
        <v>2292</v>
      </c>
      <c r="V530" t="s">
        <v>3156</v>
      </c>
      <c r="W530">
        <v>0</v>
      </c>
      <c r="X530">
        <v>49.1</v>
      </c>
      <c r="Y530" t="s">
        <v>3966</v>
      </c>
      <c r="Z530">
        <v>49.100000000000009</v>
      </c>
      <c r="AA530">
        <v>1529</v>
      </c>
      <c r="AB530">
        <v>26974204</v>
      </c>
      <c r="AC530" t="s">
        <v>4811</v>
      </c>
      <c r="AD530">
        <v>43.83</v>
      </c>
      <c r="AE530" t="s">
        <v>5675</v>
      </c>
      <c r="AF530" t="s">
        <v>6504</v>
      </c>
      <c r="AG530">
        <v>2385</v>
      </c>
      <c r="AH530">
        <v>185</v>
      </c>
      <c r="AI530">
        <v>10143400</v>
      </c>
    </row>
    <row r="531" spans="1:36">
      <c r="A531" s="1" t="s">
        <v>565</v>
      </c>
      <c r="B531" t="s">
        <v>1429</v>
      </c>
      <c r="C531" t="str">
        <f>HYPERLINK("https://finance.naver.com/item/coinfo.nhn?code=016610", "A016610")</f>
        <v>A016610</v>
      </c>
      <c r="D531" t="str">
        <f>HYPERLINK("http://comp.fnguide.com/SVO2/ASP/SVD_Consensus.asp?pGB=1&amp;gicode=A016610&amp;cID=&amp;MenuYn=Y&amp;ReportGB=&amp;NewMenuID=108&amp;stkGb=701", "DB금융투자")</f>
        <v>DB금융투자</v>
      </c>
      <c r="E531">
        <v>3</v>
      </c>
      <c r="F531">
        <v>4860</v>
      </c>
      <c r="G531">
        <v>0</v>
      </c>
      <c r="H531">
        <v>3.7</v>
      </c>
      <c r="I531">
        <v>13947</v>
      </c>
      <c r="J531">
        <v>15717</v>
      </c>
      <c r="K531">
        <v>16220</v>
      </c>
      <c r="L531">
        <v>-186.97</v>
      </c>
      <c r="M531">
        <v>-223.4</v>
      </c>
      <c r="N531">
        <v>-233.75</v>
      </c>
      <c r="O531">
        <v>6.56</v>
      </c>
      <c r="P531" t="b">
        <v>1</v>
      </c>
      <c r="Q531">
        <v>0</v>
      </c>
      <c r="R531">
        <v>1144</v>
      </c>
      <c r="U531" t="s">
        <v>2293</v>
      </c>
      <c r="V531" t="s">
        <v>3157</v>
      </c>
      <c r="W531">
        <v>0</v>
      </c>
      <c r="X531">
        <v>9.6</v>
      </c>
      <c r="Y531" t="s">
        <v>3967</v>
      </c>
      <c r="Z531">
        <v>6.4672799676371628</v>
      </c>
      <c r="AA531">
        <v>2063</v>
      </c>
      <c r="AB531">
        <v>578713</v>
      </c>
      <c r="AC531" t="s">
        <v>4812</v>
      </c>
      <c r="AD531">
        <v>33.72</v>
      </c>
      <c r="AE531" t="s">
        <v>5676</v>
      </c>
      <c r="AF531" t="s">
        <v>6505</v>
      </c>
      <c r="AG531">
        <v>3024</v>
      </c>
      <c r="AH531">
        <v>874</v>
      </c>
      <c r="AI531">
        <v>1017500</v>
      </c>
      <c r="AJ531">
        <v>5.9</v>
      </c>
    </row>
    <row r="532" spans="1:36">
      <c r="A532" s="1" t="s">
        <v>566</v>
      </c>
      <c r="B532" t="s">
        <v>1430</v>
      </c>
      <c r="C532" t="str">
        <f>HYPERLINK("https://finance.naver.com/item/coinfo.nhn?code=005830", "A005830")</f>
        <v>A005830</v>
      </c>
      <c r="D532" t="str">
        <f>HYPERLINK("http://comp.fnguide.com/SVO2/ASP/SVD_Consensus.asp?pGB=1&amp;gicode=A005830&amp;cID=&amp;MenuYn=Y&amp;ReportGB=&amp;NewMenuID=108&amp;stkGb=701", "DB손해보험")</f>
        <v>DB손해보험</v>
      </c>
      <c r="E532">
        <v>3</v>
      </c>
      <c r="F532">
        <v>45000</v>
      </c>
      <c r="G532">
        <v>-1.18</v>
      </c>
      <c r="H532">
        <v>9.81</v>
      </c>
      <c r="I532">
        <v>119480</v>
      </c>
      <c r="J532">
        <v>107205</v>
      </c>
      <c r="K532">
        <v>103717</v>
      </c>
      <c r="L532">
        <v>-165.51</v>
      </c>
      <c r="M532">
        <v>-138.22999999999999</v>
      </c>
      <c r="N532">
        <v>-130.47999999999999</v>
      </c>
      <c r="O532">
        <v>9.58</v>
      </c>
      <c r="P532" t="b">
        <v>1</v>
      </c>
      <c r="Q532">
        <v>1</v>
      </c>
      <c r="R532">
        <v>5334</v>
      </c>
      <c r="S532">
        <v>7203</v>
      </c>
      <c r="T532">
        <v>35</v>
      </c>
      <c r="U532" t="s">
        <v>2294</v>
      </c>
      <c r="V532" t="s">
        <v>3158</v>
      </c>
      <c r="W532">
        <v>-8.2854269876611379</v>
      </c>
      <c r="X532">
        <v>10.6</v>
      </c>
      <c r="Y532" t="s">
        <v>3968</v>
      </c>
      <c r="Z532">
        <v>11.265868122326021</v>
      </c>
      <c r="AA532">
        <v>31860</v>
      </c>
      <c r="AB532">
        <v>217209</v>
      </c>
      <c r="AC532" t="s">
        <v>4813</v>
      </c>
      <c r="AD532">
        <v>23.21</v>
      </c>
      <c r="AE532" t="s">
        <v>5677</v>
      </c>
      <c r="AF532" t="s">
        <v>6506</v>
      </c>
      <c r="AG532">
        <v>143984</v>
      </c>
      <c r="AH532">
        <v>5116</v>
      </c>
      <c r="AI532">
        <v>10756531</v>
      </c>
      <c r="AJ532">
        <v>2.87</v>
      </c>
    </row>
    <row r="533" spans="1:36">
      <c r="A533" s="1" t="s">
        <v>567</v>
      </c>
      <c r="B533" t="s">
        <v>1431</v>
      </c>
      <c r="C533" t="str">
        <f>HYPERLINK("https://finance.naver.com/item/coinfo.nhn?code=139130", "A139130")</f>
        <v>A139130</v>
      </c>
      <c r="D533" t="str">
        <f>HYPERLINK("http://comp.fnguide.com/SVO2/ASP/SVD_Consensus.asp?pGB=1&amp;gicode=A139130&amp;cID=&amp;MenuYn=Y&amp;ReportGB=&amp;NewMenuID=108&amp;stkGb=701", "DGB금융지주")</f>
        <v>DGB금융지주</v>
      </c>
      <c r="E533">
        <v>3</v>
      </c>
      <c r="F533">
        <v>7290</v>
      </c>
      <c r="G533">
        <v>2.36</v>
      </c>
      <c r="H533">
        <v>3.68</v>
      </c>
      <c r="I533">
        <v>27731</v>
      </c>
      <c r="J533">
        <v>27469</v>
      </c>
      <c r="K533">
        <v>27395</v>
      </c>
      <c r="L533">
        <v>-280.39999999999998</v>
      </c>
      <c r="M533">
        <v>-276.81</v>
      </c>
      <c r="N533">
        <v>-275.79000000000002</v>
      </c>
      <c r="O533">
        <v>8.07</v>
      </c>
      <c r="P533" t="b">
        <v>1</v>
      </c>
      <c r="Q533">
        <v>0</v>
      </c>
      <c r="R533">
        <v>1936</v>
      </c>
      <c r="S533">
        <v>1872</v>
      </c>
      <c r="T533">
        <v>-3.3</v>
      </c>
      <c r="U533" t="s">
        <v>2295</v>
      </c>
      <c r="V533" t="s">
        <v>3159</v>
      </c>
      <c r="W533">
        <v>1.5574002296724789</v>
      </c>
      <c r="X533">
        <v>2.7</v>
      </c>
      <c r="Y533" t="s">
        <v>3969</v>
      </c>
      <c r="Z533">
        <v>2.9199144693854211</v>
      </c>
      <c r="AA533">
        <v>12331</v>
      </c>
      <c r="AB533">
        <v>648108</v>
      </c>
      <c r="AC533" t="s">
        <v>4814</v>
      </c>
      <c r="AD533">
        <v>10.87</v>
      </c>
      <c r="AE533" t="s">
        <v>5678</v>
      </c>
      <c r="AF533" t="s">
        <v>6507</v>
      </c>
      <c r="AG533">
        <v>21943</v>
      </c>
      <c r="AH533">
        <v>4322</v>
      </c>
      <c r="AI533">
        <v>1</v>
      </c>
      <c r="AJ533">
        <v>5.76</v>
      </c>
    </row>
    <row r="534" spans="1:36">
      <c r="A534" s="1" t="s">
        <v>568</v>
      </c>
      <c r="B534" t="s">
        <v>1432</v>
      </c>
      <c r="C534" t="str">
        <f>HYPERLINK("https://finance.naver.com/item/coinfo.nhn?code=001530", "A001530")</f>
        <v>A001530</v>
      </c>
      <c r="D534" t="str">
        <f>HYPERLINK("http://comp.fnguide.com/SVO2/ASP/SVD_Consensus.asp?pGB=1&amp;gicode=A001530&amp;cID=&amp;MenuYn=Y&amp;ReportGB=&amp;NewMenuID=108&amp;stkGb=701", "DI동일")</f>
        <v>DI동일</v>
      </c>
      <c r="E534">
        <v>3</v>
      </c>
      <c r="F534">
        <v>140000</v>
      </c>
      <c r="G534">
        <v>0</v>
      </c>
      <c r="H534">
        <v>14.75</v>
      </c>
      <c r="I534">
        <v>43820</v>
      </c>
      <c r="J534">
        <v>181642</v>
      </c>
      <c r="K534">
        <v>220808</v>
      </c>
      <c r="L534">
        <v>68.7</v>
      </c>
      <c r="M534">
        <v>-29.74</v>
      </c>
      <c r="N534">
        <v>-57.72</v>
      </c>
      <c r="O534">
        <v>1.27</v>
      </c>
      <c r="P534" t="b">
        <v>1</v>
      </c>
      <c r="Q534">
        <v>0</v>
      </c>
      <c r="R534">
        <v>5025</v>
      </c>
      <c r="U534" t="s">
        <v>2296</v>
      </c>
      <c r="V534" t="s">
        <v>3160</v>
      </c>
      <c r="W534">
        <v>0</v>
      </c>
      <c r="X534">
        <v>11.8</v>
      </c>
      <c r="Y534" t="s">
        <v>3970</v>
      </c>
      <c r="Z534">
        <v>2302.4403676262191</v>
      </c>
      <c r="AA534">
        <v>3452</v>
      </c>
      <c r="AB534">
        <v>46652</v>
      </c>
      <c r="AC534" t="s">
        <v>4815</v>
      </c>
      <c r="AD534">
        <v>19.649999999999999</v>
      </c>
      <c r="AE534" t="s">
        <v>5679</v>
      </c>
      <c r="AF534" t="s">
        <v>6508</v>
      </c>
      <c r="AG534">
        <v>9395</v>
      </c>
      <c r="AH534">
        <v>486</v>
      </c>
      <c r="AI534">
        <v>663749</v>
      </c>
      <c r="AJ534">
        <v>1.98</v>
      </c>
    </row>
    <row r="535" spans="1:36">
      <c r="A535" s="1" t="s">
        <v>569</v>
      </c>
      <c r="B535" t="s">
        <v>1433</v>
      </c>
      <c r="C535" t="str">
        <f>HYPERLINK("https://finance.naver.com/item/coinfo.nhn?code=155660", "A155660")</f>
        <v>A155660</v>
      </c>
      <c r="D535" t="str">
        <f>HYPERLINK("http://comp.fnguide.com/SVO2/ASP/SVD_Consensus.asp?pGB=1&amp;gicode=A155660&amp;cID=&amp;MenuYn=Y&amp;ReportGB=&amp;NewMenuID=108&amp;stkGb=701", "DSR")</f>
        <v>DSR</v>
      </c>
      <c r="E535">
        <v>3</v>
      </c>
      <c r="F535">
        <v>6530</v>
      </c>
      <c r="G535">
        <v>0</v>
      </c>
      <c r="H535">
        <v>8.4</v>
      </c>
      <c r="I535">
        <v>7409</v>
      </c>
      <c r="J535">
        <v>8735</v>
      </c>
      <c r="K535">
        <v>9112</v>
      </c>
      <c r="L535">
        <v>-13.46</v>
      </c>
      <c r="M535">
        <v>-33.76</v>
      </c>
      <c r="N535">
        <v>-39.53</v>
      </c>
      <c r="O535">
        <v>6.12</v>
      </c>
      <c r="P535" t="b">
        <v>1</v>
      </c>
      <c r="Q535">
        <v>0</v>
      </c>
      <c r="R535">
        <v>546</v>
      </c>
      <c r="U535" t="s">
        <v>2297</v>
      </c>
      <c r="V535" t="s">
        <v>3161</v>
      </c>
      <c r="W535">
        <v>0</v>
      </c>
      <c r="X535">
        <v>0.2</v>
      </c>
      <c r="Y535" t="s">
        <v>3971</v>
      </c>
      <c r="Z535">
        <v>-2.519392735844983</v>
      </c>
      <c r="AA535">
        <v>1045</v>
      </c>
      <c r="AB535">
        <v>1855368</v>
      </c>
      <c r="AC535" t="s">
        <v>4816</v>
      </c>
      <c r="AD535">
        <v>70.569999999999993</v>
      </c>
      <c r="AE535" t="s">
        <v>5680</v>
      </c>
      <c r="AF535" t="s">
        <v>6509</v>
      </c>
      <c r="AG535">
        <v>2363</v>
      </c>
      <c r="AH535">
        <v>107</v>
      </c>
      <c r="AJ535">
        <v>1.0900000000000001</v>
      </c>
    </row>
    <row r="536" spans="1:36">
      <c r="A536" s="1" t="s">
        <v>570</v>
      </c>
      <c r="B536" t="s">
        <v>1434</v>
      </c>
      <c r="C536" t="str">
        <f>HYPERLINK("https://finance.naver.com/item/coinfo.nhn?code=105560", "A105560")</f>
        <v>A105560</v>
      </c>
      <c r="D536" t="str">
        <f>HYPERLINK("http://comp.fnguide.com/SVO2/ASP/SVD_Consensus.asp?pGB=1&amp;gicode=A105560&amp;cID=&amp;MenuYn=Y&amp;ReportGB=&amp;NewMenuID=108&amp;stkGb=701", "KB금융")</f>
        <v>KB금융</v>
      </c>
      <c r="E536">
        <v>3</v>
      </c>
      <c r="F536">
        <v>45450</v>
      </c>
      <c r="G536">
        <v>4.18</v>
      </c>
      <c r="H536">
        <v>6.01</v>
      </c>
      <c r="I536">
        <v>113139</v>
      </c>
      <c r="J536">
        <v>104570</v>
      </c>
      <c r="K536">
        <v>102135</v>
      </c>
      <c r="L536">
        <v>-148.93</v>
      </c>
      <c r="M536">
        <v>-130.08000000000001</v>
      </c>
      <c r="N536">
        <v>-124.72</v>
      </c>
      <c r="O536">
        <v>9.08</v>
      </c>
      <c r="P536" t="b">
        <v>1</v>
      </c>
      <c r="Q536">
        <v>2</v>
      </c>
      <c r="R536">
        <v>7923</v>
      </c>
      <c r="S536">
        <v>8273</v>
      </c>
      <c r="T536">
        <v>4.4000000000000004</v>
      </c>
      <c r="U536" t="s">
        <v>2298</v>
      </c>
      <c r="V536" t="s">
        <v>3162</v>
      </c>
      <c r="W536">
        <v>1.4378207013890481</v>
      </c>
      <c r="X536">
        <v>2.5</v>
      </c>
      <c r="Y536" t="s">
        <v>3972</v>
      </c>
      <c r="Z536">
        <v>2.539949297176491</v>
      </c>
      <c r="AA536">
        <v>188985</v>
      </c>
      <c r="AB536">
        <v>1322132</v>
      </c>
      <c r="AC536" t="s">
        <v>4817</v>
      </c>
      <c r="AD536">
        <v>9.9600000000000009</v>
      </c>
      <c r="AE536" t="s">
        <v>5681</v>
      </c>
      <c r="AF536" t="s">
        <v>6510</v>
      </c>
      <c r="AG536">
        <v>146392</v>
      </c>
      <c r="AH536">
        <v>44906</v>
      </c>
      <c r="AI536">
        <v>26173585</v>
      </c>
      <c r="AJ536">
        <v>4.6399999999999997</v>
      </c>
    </row>
    <row r="537" spans="1:36">
      <c r="A537" s="1" t="s">
        <v>571</v>
      </c>
      <c r="B537" t="s">
        <v>1435</v>
      </c>
      <c r="C537" t="str">
        <f>HYPERLINK("https://finance.naver.com/item/coinfo.nhn?code=069730", "A069730")</f>
        <v>A069730</v>
      </c>
      <c r="D537" t="str">
        <f>HYPERLINK("http://comp.fnguide.com/SVO2/ASP/SVD_Consensus.asp?pGB=1&amp;gicode=A069730&amp;cID=&amp;MenuYn=Y&amp;ReportGB=&amp;NewMenuID=108&amp;stkGb=701", "DSR제강")</f>
        <v>DSR제강</v>
      </c>
      <c r="E537">
        <v>3</v>
      </c>
      <c r="F537">
        <v>4925</v>
      </c>
      <c r="G537">
        <v>0</v>
      </c>
      <c r="H537">
        <v>9.6999999999999993</v>
      </c>
      <c r="I537">
        <v>6121</v>
      </c>
      <c r="J537">
        <v>8367</v>
      </c>
      <c r="K537">
        <v>9005</v>
      </c>
      <c r="L537">
        <v>-24.28</v>
      </c>
      <c r="M537">
        <v>-69.89</v>
      </c>
      <c r="N537">
        <v>-82.85</v>
      </c>
      <c r="O537">
        <v>4.93</v>
      </c>
      <c r="P537" t="b">
        <v>1</v>
      </c>
      <c r="Q537">
        <v>0</v>
      </c>
      <c r="R537">
        <v>469</v>
      </c>
      <c r="U537" t="s">
        <v>2299</v>
      </c>
      <c r="V537" t="s">
        <v>3163</v>
      </c>
      <c r="W537">
        <v>0</v>
      </c>
      <c r="X537">
        <v>-19.600000000000001</v>
      </c>
      <c r="Y537" t="s">
        <v>3973</v>
      </c>
      <c r="Z537">
        <v>-11.26240073640721</v>
      </c>
      <c r="AA537">
        <v>709</v>
      </c>
      <c r="AB537">
        <v>401501</v>
      </c>
      <c r="AC537" t="s">
        <v>4818</v>
      </c>
      <c r="AD537">
        <v>57.18</v>
      </c>
      <c r="AE537" t="s">
        <v>5682</v>
      </c>
      <c r="AF537" t="s">
        <v>6511</v>
      </c>
      <c r="AG537">
        <v>1915</v>
      </c>
      <c r="AH537">
        <v>52</v>
      </c>
      <c r="AJ537">
        <v>0.88</v>
      </c>
    </row>
    <row r="538" spans="1:36">
      <c r="A538" s="1" t="s">
        <v>572</v>
      </c>
      <c r="B538" t="s">
        <v>1436</v>
      </c>
      <c r="C538" t="str">
        <f>HYPERLINK("https://finance.naver.com/item/coinfo.nhn?code=017940", "A017940")</f>
        <v>A017940</v>
      </c>
      <c r="D538" t="str">
        <f>HYPERLINK("http://comp.fnguide.com/SVO2/ASP/SVD_Consensus.asp?pGB=1&amp;gicode=A017940&amp;cID=&amp;MenuYn=Y&amp;ReportGB=&amp;NewMenuID=108&amp;stkGb=701", "E1")</f>
        <v>E1</v>
      </c>
      <c r="E538">
        <v>3</v>
      </c>
      <c r="F538">
        <v>45850</v>
      </c>
      <c r="G538">
        <v>0</v>
      </c>
      <c r="I538">
        <v>70960</v>
      </c>
      <c r="J538">
        <v>128313</v>
      </c>
      <c r="K538">
        <v>144612</v>
      </c>
      <c r="L538">
        <v>-54.77</v>
      </c>
      <c r="M538">
        <v>-179.85</v>
      </c>
      <c r="N538">
        <v>-215.4</v>
      </c>
      <c r="O538">
        <v>3.39</v>
      </c>
      <c r="P538" t="b">
        <v>0</v>
      </c>
      <c r="Q538">
        <v>0</v>
      </c>
      <c r="R538">
        <v>-6293</v>
      </c>
      <c r="U538" t="s">
        <v>2300</v>
      </c>
      <c r="V538" t="s">
        <v>3164</v>
      </c>
      <c r="W538">
        <v>0</v>
      </c>
      <c r="X538">
        <v>0</v>
      </c>
      <c r="Y538" t="s">
        <v>3974</v>
      </c>
      <c r="Z538">
        <v>-7.4999999999999956</v>
      </c>
      <c r="AA538">
        <v>3145</v>
      </c>
      <c r="AB538">
        <v>29838</v>
      </c>
      <c r="AC538" t="s">
        <v>4819</v>
      </c>
      <c r="AD538">
        <v>45.33</v>
      </c>
      <c r="AE538" t="s">
        <v>5683</v>
      </c>
      <c r="AF538" t="s">
        <v>6512</v>
      </c>
      <c r="AG538">
        <v>46083</v>
      </c>
      <c r="AH538">
        <v>1063</v>
      </c>
      <c r="AJ538">
        <v>4.55</v>
      </c>
    </row>
    <row r="539" spans="1:36">
      <c r="A539" s="1" t="s">
        <v>573</v>
      </c>
      <c r="B539" t="s">
        <v>1437</v>
      </c>
      <c r="C539" t="str">
        <f>HYPERLINK("https://finance.naver.com/item/coinfo.nhn?code=078930", "A078930")</f>
        <v>A078930</v>
      </c>
      <c r="D539" t="str">
        <f>HYPERLINK("http://comp.fnguide.com/SVO2/ASP/SVD_Consensus.asp?pGB=1&amp;gicode=A078930&amp;cID=&amp;MenuYn=Y&amp;ReportGB=&amp;NewMenuID=108&amp;stkGb=701", "GS")</f>
        <v>GS</v>
      </c>
      <c r="E539">
        <v>3</v>
      </c>
      <c r="F539">
        <v>37500</v>
      </c>
      <c r="G539">
        <v>0</v>
      </c>
      <c r="H539">
        <v>8.98</v>
      </c>
      <c r="I539">
        <v>109289</v>
      </c>
      <c r="J539">
        <v>101033</v>
      </c>
      <c r="K539">
        <v>98687</v>
      </c>
      <c r="L539">
        <v>-191.44</v>
      </c>
      <c r="M539">
        <v>-169.42</v>
      </c>
      <c r="N539">
        <v>-163.16999999999999</v>
      </c>
      <c r="O539">
        <v>9.08</v>
      </c>
      <c r="P539" t="b">
        <v>0</v>
      </c>
      <c r="Q539">
        <v>0</v>
      </c>
      <c r="R539">
        <v>5744</v>
      </c>
      <c r="S539">
        <v>-348</v>
      </c>
      <c r="T539">
        <v>-106.1</v>
      </c>
      <c r="U539" t="s">
        <v>2301</v>
      </c>
      <c r="V539" t="s">
        <v>3165</v>
      </c>
      <c r="W539">
        <v>0</v>
      </c>
      <c r="X539">
        <v>0</v>
      </c>
      <c r="Y539" t="s">
        <v>3975</v>
      </c>
      <c r="Z539">
        <v>2.5251741218843549</v>
      </c>
      <c r="AA539">
        <v>34843</v>
      </c>
      <c r="AB539">
        <v>244796</v>
      </c>
      <c r="AC539" t="s">
        <v>4820</v>
      </c>
      <c r="AD539">
        <v>52.12</v>
      </c>
      <c r="AE539" t="s">
        <v>5684</v>
      </c>
      <c r="AF539" t="s">
        <v>6513</v>
      </c>
      <c r="AG539">
        <v>177861</v>
      </c>
      <c r="AH539">
        <v>20331</v>
      </c>
      <c r="AI539">
        <v>19883</v>
      </c>
      <c r="AJ539">
        <v>3.68</v>
      </c>
    </row>
    <row r="540" spans="1:36">
      <c r="A540" s="1" t="s">
        <v>574</v>
      </c>
      <c r="B540" t="s">
        <v>1438</v>
      </c>
      <c r="C540" t="str">
        <f>HYPERLINK("https://finance.naver.com/item/coinfo.nhn?code=006360", "A006360")</f>
        <v>A006360</v>
      </c>
      <c r="D540" t="str">
        <f>HYPERLINK("http://comp.fnguide.com/SVO2/ASP/SVD_Consensus.asp?pGB=1&amp;gicode=A006360&amp;cID=&amp;MenuYn=Y&amp;ReportGB=&amp;NewMenuID=108&amp;stkGb=701", "GS건설")</f>
        <v>GS건설</v>
      </c>
      <c r="E540">
        <v>3</v>
      </c>
      <c r="F540">
        <v>35850</v>
      </c>
      <c r="G540">
        <v>0</v>
      </c>
      <c r="H540">
        <v>5.61</v>
      </c>
      <c r="I540">
        <v>73527</v>
      </c>
      <c r="J540">
        <v>59374</v>
      </c>
      <c r="K540">
        <v>55353</v>
      </c>
      <c r="L540">
        <v>-105.1</v>
      </c>
      <c r="M540">
        <v>-65.62</v>
      </c>
      <c r="N540">
        <v>-54.4</v>
      </c>
      <c r="O540">
        <v>11.67</v>
      </c>
      <c r="P540" t="b">
        <v>1</v>
      </c>
      <c r="Q540">
        <v>0</v>
      </c>
      <c r="R540">
        <v>5535</v>
      </c>
      <c r="S540">
        <v>5281</v>
      </c>
      <c r="T540">
        <v>-4.5999999999999996</v>
      </c>
      <c r="U540" t="s">
        <v>2302</v>
      </c>
      <c r="V540" t="s">
        <v>3166</v>
      </c>
      <c r="W540">
        <v>0</v>
      </c>
      <c r="X540">
        <v>-31.2</v>
      </c>
      <c r="Y540" t="s">
        <v>3976</v>
      </c>
      <c r="Z540">
        <v>-27.927813964054071</v>
      </c>
      <c r="AA540">
        <v>28744</v>
      </c>
      <c r="AB540">
        <v>1034876</v>
      </c>
      <c r="AC540" t="s">
        <v>4821</v>
      </c>
      <c r="AD540">
        <v>25.66</v>
      </c>
      <c r="AE540" t="s">
        <v>5685</v>
      </c>
      <c r="AF540" t="s">
        <v>6514</v>
      </c>
      <c r="AG540">
        <v>104166</v>
      </c>
      <c r="AH540">
        <v>7673</v>
      </c>
      <c r="AI540">
        <v>692595</v>
      </c>
      <c r="AJ540">
        <v>3.22</v>
      </c>
    </row>
    <row r="541" spans="1:36">
      <c r="A541" s="1" t="s">
        <v>575</v>
      </c>
      <c r="B541" t="s">
        <v>1439</v>
      </c>
      <c r="C541" t="str">
        <f>HYPERLINK("https://finance.naver.com/item/coinfo.nhn?code=001250", "A001250")</f>
        <v>A001250</v>
      </c>
      <c r="D541" t="str">
        <f>HYPERLINK("http://comp.fnguide.com/SVO2/ASP/SVD_Consensus.asp?pGB=1&amp;gicode=A001250&amp;cID=&amp;MenuYn=Y&amp;ReportGB=&amp;NewMenuID=108&amp;stkGb=701", "GS글로벌")</f>
        <v>GS글로벌</v>
      </c>
      <c r="E541">
        <v>3</v>
      </c>
      <c r="F541">
        <v>1965</v>
      </c>
      <c r="G541">
        <v>0</v>
      </c>
      <c r="I541">
        <v>1570</v>
      </c>
      <c r="J541">
        <v>3244</v>
      </c>
      <c r="K541">
        <v>3720</v>
      </c>
      <c r="L541">
        <v>20.11</v>
      </c>
      <c r="M541">
        <v>-65.11</v>
      </c>
      <c r="N541">
        <v>-89.32</v>
      </c>
      <c r="O541">
        <v>2.86</v>
      </c>
      <c r="P541" t="b">
        <v>0</v>
      </c>
      <c r="Q541">
        <v>0</v>
      </c>
      <c r="R541">
        <v>-207</v>
      </c>
      <c r="U541" t="s">
        <v>2303</v>
      </c>
      <c r="V541" t="s">
        <v>3167</v>
      </c>
      <c r="W541">
        <v>0</v>
      </c>
      <c r="X541">
        <v>3.3</v>
      </c>
      <c r="Y541" t="s">
        <v>3977</v>
      </c>
      <c r="Z541">
        <v>-1.9073670889419581</v>
      </c>
      <c r="AA541">
        <v>1622</v>
      </c>
      <c r="AB541">
        <v>261935</v>
      </c>
      <c r="AC541" t="s">
        <v>4822</v>
      </c>
      <c r="AD541">
        <v>50.83</v>
      </c>
      <c r="AE541" t="s">
        <v>5686</v>
      </c>
      <c r="AF541" t="s">
        <v>6515</v>
      </c>
      <c r="AG541">
        <v>38894</v>
      </c>
      <c r="AH541">
        <v>583</v>
      </c>
      <c r="AI541">
        <v>38562</v>
      </c>
    </row>
    <row r="542" spans="1:36">
      <c r="A542" s="1" t="s">
        <v>576</v>
      </c>
      <c r="B542" t="s">
        <v>1440</v>
      </c>
      <c r="C542" t="str">
        <f>HYPERLINK("https://finance.naver.com/item/coinfo.nhn?code=012630", "A012630")</f>
        <v>A012630</v>
      </c>
      <c r="D542" t="str">
        <f>HYPERLINK("http://comp.fnguide.com/SVO2/ASP/SVD_Consensus.asp?pGB=1&amp;gicode=A012630&amp;cID=&amp;MenuYn=Y&amp;ReportGB=&amp;NewMenuID=108&amp;stkGb=701", "HDC")</f>
        <v>HDC</v>
      </c>
      <c r="E542">
        <v>3</v>
      </c>
      <c r="F542">
        <v>10750</v>
      </c>
      <c r="G542">
        <v>0</v>
      </c>
      <c r="H542">
        <v>2.57</v>
      </c>
      <c r="I542">
        <v>107226</v>
      </c>
      <c r="J542">
        <v>66401</v>
      </c>
      <c r="K542">
        <v>54799</v>
      </c>
      <c r="L542">
        <v>-897.45</v>
      </c>
      <c r="M542">
        <v>-517.67999999999995</v>
      </c>
      <c r="N542">
        <v>-409.76</v>
      </c>
      <c r="O542">
        <v>21.62</v>
      </c>
      <c r="P542" t="b">
        <v>1</v>
      </c>
      <c r="Q542">
        <v>0</v>
      </c>
      <c r="R542">
        <v>4295</v>
      </c>
      <c r="U542" t="s">
        <v>2304</v>
      </c>
      <c r="V542" t="s">
        <v>3168</v>
      </c>
      <c r="W542">
        <v>0</v>
      </c>
      <c r="X542">
        <v>-71.900000000000006</v>
      </c>
      <c r="Y542" t="s">
        <v>3978</v>
      </c>
      <c r="Z542">
        <v>-15.97684580240213</v>
      </c>
      <c r="AA542">
        <v>6422</v>
      </c>
      <c r="AB542">
        <v>338365</v>
      </c>
      <c r="AC542" t="s">
        <v>4823</v>
      </c>
      <c r="AD542">
        <v>38.049999999999997</v>
      </c>
      <c r="AE542" t="s">
        <v>5687</v>
      </c>
      <c r="AF542" t="s">
        <v>6516</v>
      </c>
      <c r="AG542">
        <v>16167</v>
      </c>
      <c r="AH542">
        <v>1281</v>
      </c>
      <c r="AI542">
        <v>4919656</v>
      </c>
      <c r="AJ542">
        <v>1.81</v>
      </c>
    </row>
    <row r="543" spans="1:36">
      <c r="A543" s="1" t="s">
        <v>577</v>
      </c>
      <c r="B543" t="s">
        <v>1441</v>
      </c>
      <c r="C543" t="str">
        <f>HYPERLINK("https://finance.naver.com/item/coinfo.nhn?code=039570", "A039570")</f>
        <v>A039570</v>
      </c>
      <c r="D543" t="str">
        <f>HYPERLINK("http://comp.fnguide.com/SVO2/ASP/SVD_Consensus.asp?pGB=1&amp;gicode=A039570&amp;cID=&amp;MenuYn=Y&amp;ReportGB=&amp;NewMenuID=108&amp;stkGb=701", "HDC아이콘트롤스")</f>
        <v>HDC아이콘트롤스</v>
      </c>
      <c r="E543">
        <v>3</v>
      </c>
      <c r="F543">
        <v>10200</v>
      </c>
      <c r="G543">
        <v>0</v>
      </c>
      <c r="I543">
        <v>8617</v>
      </c>
      <c r="J543">
        <v>10157</v>
      </c>
      <c r="K543">
        <v>10595</v>
      </c>
      <c r="L543">
        <v>15.52</v>
      </c>
      <c r="M543">
        <v>0.42</v>
      </c>
      <c r="N543">
        <v>-3.87</v>
      </c>
      <c r="O543">
        <v>6.12</v>
      </c>
      <c r="P543" t="b">
        <v>0</v>
      </c>
      <c r="Q543">
        <v>0</v>
      </c>
      <c r="R543">
        <v>-358</v>
      </c>
      <c r="U543" t="s">
        <v>2305</v>
      </c>
      <c r="V543" t="s">
        <v>3169</v>
      </c>
      <c r="W543">
        <v>0</v>
      </c>
      <c r="X543">
        <v>5.6</v>
      </c>
      <c r="Y543" t="s">
        <v>3979</v>
      </c>
      <c r="Z543">
        <v>8.7610333193598233</v>
      </c>
      <c r="AA543">
        <v>1679</v>
      </c>
      <c r="AB543">
        <v>60329</v>
      </c>
      <c r="AC543" t="s">
        <v>4824</v>
      </c>
      <c r="AD543">
        <v>57.84</v>
      </c>
      <c r="AE543" t="s">
        <v>5688</v>
      </c>
      <c r="AF543" t="s">
        <v>6517</v>
      </c>
      <c r="AG543">
        <v>2524</v>
      </c>
      <c r="AH543">
        <v>130</v>
      </c>
      <c r="AI543">
        <v>1375412</v>
      </c>
      <c r="AJ543">
        <v>3.21</v>
      </c>
    </row>
    <row r="544" spans="1:36">
      <c r="A544" s="1" t="s">
        <v>578</v>
      </c>
      <c r="B544" t="s">
        <v>1442</v>
      </c>
      <c r="C544" t="str">
        <f>HYPERLINK("https://finance.naver.com/item/coinfo.nhn?code=089470", "A089470")</f>
        <v>A089470</v>
      </c>
      <c r="D544" t="str">
        <f>HYPERLINK("http://comp.fnguide.com/SVO2/ASP/SVD_Consensus.asp?pGB=1&amp;gicode=A089470&amp;cID=&amp;MenuYn=Y&amp;ReportGB=&amp;NewMenuID=108&amp;stkGb=701", "HDC현대EP")</f>
        <v>HDC현대EP</v>
      </c>
      <c r="E544">
        <v>3</v>
      </c>
      <c r="F544">
        <v>6180</v>
      </c>
      <c r="G544">
        <v>0</v>
      </c>
      <c r="H544">
        <v>12.13</v>
      </c>
      <c r="I544">
        <v>6468</v>
      </c>
      <c r="J544">
        <v>8478</v>
      </c>
      <c r="K544">
        <v>9050</v>
      </c>
      <c r="L544">
        <v>-4.66</v>
      </c>
      <c r="M544">
        <v>-37.19</v>
      </c>
      <c r="N544">
        <v>-46.44</v>
      </c>
      <c r="O544">
        <v>5.24</v>
      </c>
      <c r="P544" t="b">
        <v>1</v>
      </c>
      <c r="Q544">
        <v>0</v>
      </c>
      <c r="R544">
        <v>413</v>
      </c>
      <c r="U544" t="s">
        <v>2306</v>
      </c>
      <c r="V544" t="s">
        <v>3170</v>
      </c>
      <c r="W544">
        <v>0</v>
      </c>
      <c r="X544">
        <v>5.7</v>
      </c>
      <c r="Y544" t="s">
        <v>3980</v>
      </c>
      <c r="Z544">
        <v>-20.850138702112019</v>
      </c>
      <c r="AA544">
        <v>1971</v>
      </c>
      <c r="AB544">
        <v>94042</v>
      </c>
      <c r="AC544" t="s">
        <v>4825</v>
      </c>
      <c r="AD544">
        <v>48.42</v>
      </c>
      <c r="AE544" t="s">
        <v>5689</v>
      </c>
      <c r="AF544" t="s">
        <v>6518</v>
      </c>
      <c r="AG544">
        <v>8351</v>
      </c>
      <c r="AH544">
        <v>341</v>
      </c>
      <c r="AI544">
        <v>3000000</v>
      </c>
      <c r="AJ544">
        <v>2.4</v>
      </c>
    </row>
    <row r="545" spans="1:36">
      <c r="A545" s="1" t="s">
        <v>579</v>
      </c>
      <c r="B545" t="s">
        <v>1443</v>
      </c>
      <c r="C545" t="str">
        <f>HYPERLINK("https://finance.naver.com/item/coinfo.nhn?code=294870", "A294870")</f>
        <v>A294870</v>
      </c>
      <c r="D545" t="str">
        <f>HYPERLINK("http://comp.fnguide.com/SVO2/ASP/SVD_Consensus.asp?pGB=1&amp;gicode=A294870&amp;cID=&amp;MenuYn=Y&amp;ReportGB=&amp;NewMenuID=108&amp;stkGb=701", "HDC현대산업개발")</f>
        <v>HDC현대산업개발</v>
      </c>
      <c r="E545">
        <v>3</v>
      </c>
      <c r="F545">
        <v>25050</v>
      </c>
      <c r="G545">
        <v>0</v>
      </c>
      <c r="H545">
        <v>2.5299999999999998</v>
      </c>
      <c r="I545">
        <v>43292</v>
      </c>
      <c r="J545">
        <v>37621</v>
      </c>
      <c r="K545">
        <v>36009</v>
      </c>
      <c r="L545">
        <v>-72.819999999999993</v>
      </c>
      <c r="M545">
        <v>-50.18</v>
      </c>
      <c r="N545">
        <v>-43.75</v>
      </c>
      <c r="O545">
        <v>10.15</v>
      </c>
      <c r="P545" t="b">
        <v>1</v>
      </c>
      <c r="Q545">
        <v>0</v>
      </c>
      <c r="R545">
        <v>9415</v>
      </c>
      <c r="S545">
        <v>3687</v>
      </c>
      <c r="T545">
        <v>-60.8</v>
      </c>
      <c r="U545" t="s">
        <v>2307</v>
      </c>
      <c r="V545" t="s">
        <v>3171</v>
      </c>
      <c r="W545">
        <v>0</v>
      </c>
      <c r="X545">
        <v>-69.2</v>
      </c>
      <c r="Y545" t="s">
        <v>3981</v>
      </c>
      <c r="Z545">
        <v>0</v>
      </c>
      <c r="AA545">
        <v>16510</v>
      </c>
      <c r="AB545">
        <v>1394170</v>
      </c>
      <c r="AC545" t="s">
        <v>4826</v>
      </c>
      <c r="AD545">
        <v>41.48</v>
      </c>
      <c r="AE545" t="s">
        <v>5690</v>
      </c>
      <c r="AF545" t="s">
        <v>6519</v>
      </c>
      <c r="AG545">
        <v>42165</v>
      </c>
      <c r="AH545">
        <v>5515</v>
      </c>
      <c r="AI545">
        <v>9470</v>
      </c>
      <c r="AJ545">
        <v>2.1</v>
      </c>
    </row>
    <row r="546" spans="1:36">
      <c r="A546" s="1" t="s">
        <v>580</v>
      </c>
      <c r="B546" t="s">
        <v>1444</v>
      </c>
      <c r="C546" t="str">
        <f>HYPERLINK("https://finance.naver.com/item/coinfo.nhn?code=175330", "A175330")</f>
        <v>A175330</v>
      </c>
      <c r="D546" t="str">
        <f>HYPERLINK("http://comp.fnguide.com/SVO2/ASP/SVD_Consensus.asp?pGB=1&amp;gicode=A175330&amp;cID=&amp;MenuYn=Y&amp;ReportGB=&amp;NewMenuID=108&amp;stkGb=701", "JB금융지주")</f>
        <v>JB금융지주</v>
      </c>
      <c r="E546">
        <v>3</v>
      </c>
      <c r="F546">
        <v>5870</v>
      </c>
      <c r="G546">
        <v>0.23</v>
      </c>
      <c r="H546">
        <v>3.16</v>
      </c>
      <c r="I546">
        <v>21107</v>
      </c>
      <c r="J546">
        <v>19150</v>
      </c>
      <c r="K546">
        <v>18594</v>
      </c>
      <c r="L546">
        <v>-259.58</v>
      </c>
      <c r="M546">
        <v>-226.24</v>
      </c>
      <c r="N546">
        <v>-216.76</v>
      </c>
      <c r="O546">
        <v>9.39</v>
      </c>
      <c r="P546" t="b">
        <v>1</v>
      </c>
      <c r="Q546">
        <v>3</v>
      </c>
      <c r="R546">
        <v>1736</v>
      </c>
      <c r="S546">
        <v>1763</v>
      </c>
      <c r="T546">
        <v>1.6</v>
      </c>
      <c r="U546" t="s">
        <v>2308</v>
      </c>
      <c r="V546" t="s">
        <v>3172</v>
      </c>
      <c r="W546">
        <v>13.983877477843819</v>
      </c>
      <c r="X546">
        <v>3.4</v>
      </c>
      <c r="Y546" t="s">
        <v>3982</v>
      </c>
      <c r="Z546">
        <v>3.3999613152696062</v>
      </c>
      <c r="AA546">
        <v>11563</v>
      </c>
      <c r="AB546">
        <v>748140</v>
      </c>
      <c r="AC546" t="s">
        <v>4827</v>
      </c>
      <c r="AD546">
        <v>12.9</v>
      </c>
      <c r="AE546" t="s">
        <v>5691</v>
      </c>
      <c r="AF546" t="s">
        <v>6520</v>
      </c>
      <c r="AG546">
        <v>18925</v>
      </c>
      <c r="AH546">
        <v>4849</v>
      </c>
      <c r="AI546">
        <v>2638818</v>
      </c>
      <c r="AJ546">
        <v>5.46</v>
      </c>
    </row>
    <row r="547" spans="1:36">
      <c r="A547" s="1" t="s">
        <v>581</v>
      </c>
      <c r="B547" t="s">
        <v>1445</v>
      </c>
      <c r="C547" t="str">
        <f>HYPERLINK("https://finance.naver.com/item/coinfo.nhn?code=010060", "A010060")</f>
        <v>A010060</v>
      </c>
      <c r="D547" t="str">
        <f>HYPERLINK("http://comp.fnguide.com/SVO2/ASP/SVD_Consensus.asp?pGB=1&amp;gicode=A010060&amp;cID=&amp;MenuYn=Y&amp;ReportGB=&amp;NewMenuID=108&amp;stkGb=701", "OCI")</f>
        <v>OCI</v>
      </c>
      <c r="E547">
        <v>3</v>
      </c>
      <c r="F547">
        <v>86300</v>
      </c>
      <c r="G547">
        <v>0</v>
      </c>
      <c r="I547">
        <v>31087</v>
      </c>
      <c r="J547">
        <v>79431</v>
      </c>
      <c r="K547">
        <v>93169</v>
      </c>
      <c r="L547">
        <v>63.98</v>
      </c>
      <c r="M547">
        <v>7.96</v>
      </c>
      <c r="N547">
        <v>-7.96</v>
      </c>
      <c r="O547">
        <v>2.21</v>
      </c>
      <c r="P547" t="b">
        <v>0</v>
      </c>
      <c r="Q547">
        <v>1</v>
      </c>
      <c r="R547">
        <v>-33308</v>
      </c>
      <c r="S547">
        <v>-2939</v>
      </c>
      <c r="T547">
        <v>-91.2</v>
      </c>
      <c r="U547" t="s">
        <v>2309</v>
      </c>
      <c r="V547" t="s">
        <v>3173</v>
      </c>
      <c r="W547">
        <v>0</v>
      </c>
      <c r="X547">
        <v>0</v>
      </c>
      <c r="Y547" t="s">
        <v>3983</v>
      </c>
      <c r="Z547">
        <v>1.152609211699307</v>
      </c>
      <c r="AA547">
        <v>20582</v>
      </c>
      <c r="AB547">
        <v>821613</v>
      </c>
      <c r="AC547" t="s">
        <v>4828</v>
      </c>
      <c r="AD547">
        <v>22.44</v>
      </c>
      <c r="AE547" t="s">
        <v>5692</v>
      </c>
      <c r="AF547" t="s">
        <v>6521</v>
      </c>
      <c r="AG547">
        <v>26051</v>
      </c>
      <c r="AH547">
        <v>-1806</v>
      </c>
      <c r="AI547">
        <v>197267</v>
      </c>
    </row>
    <row r="548" spans="1:36">
      <c r="A548" s="1" t="s">
        <v>582</v>
      </c>
      <c r="B548" t="s">
        <v>1446</v>
      </c>
      <c r="C548" t="str">
        <f>HYPERLINK("https://finance.naver.com/item/coinfo.nhn?code=005490", "A005490")</f>
        <v>A005490</v>
      </c>
      <c r="D548" t="str">
        <f>HYPERLINK("http://comp.fnguide.com/SVO2/ASP/SVD_Consensus.asp?pGB=1&amp;gicode=A005490&amp;cID=&amp;MenuYn=Y&amp;ReportGB=&amp;NewMenuID=108&amp;stkGb=701", "POSCO")</f>
        <v>POSCO</v>
      </c>
      <c r="E548">
        <v>3</v>
      </c>
      <c r="F548">
        <v>271000</v>
      </c>
      <c r="G548">
        <v>-0.56000000000000005</v>
      </c>
      <c r="H548">
        <v>11.24</v>
      </c>
      <c r="I548">
        <v>328135</v>
      </c>
      <c r="J548">
        <v>481921</v>
      </c>
      <c r="K548">
        <v>525623</v>
      </c>
      <c r="L548">
        <v>-21.08</v>
      </c>
      <c r="M548">
        <v>-77.83</v>
      </c>
      <c r="N548">
        <v>-93.96</v>
      </c>
      <c r="O548">
        <v>4.46</v>
      </c>
      <c r="P548" t="b">
        <v>1</v>
      </c>
      <c r="Q548">
        <v>0</v>
      </c>
      <c r="R548">
        <v>21048</v>
      </c>
      <c r="S548">
        <v>16326</v>
      </c>
      <c r="T548">
        <v>-22.4</v>
      </c>
      <c r="U548" t="s">
        <v>2310</v>
      </c>
      <c r="V548" t="s">
        <v>3174</v>
      </c>
      <c r="W548">
        <v>-20.092410872681569</v>
      </c>
      <c r="X548">
        <v>-49.5</v>
      </c>
      <c r="Y548" t="s">
        <v>3984</v>
      </c>
      <c r="Z548">
        <v>38.706624808928083</v>
      </c>
      <c r="AA548">
        <v>236276</v>
      </c>
      <c r="AB548">
        <v>251708</v>
      </c>
      <c r="AC548" t="s">
        <v>4829</v>
      </c>
      <c r="AD548">
        <v>11.77</v>
      </c>
      <c r="AE548" t="s">
        <v>5693</v>
      </c>
      <c r="AF548" t="s">
        <v>6522</v>
      </c>
      <c r="AG548">
        <v>643668</v>
      </c>
      <c r="AH548">
        <v>38689</v>
      </c>
      <c r="AI548">
        <v>11001363</v>
      </c>
      <c r="AJ548">
        <v>4.2300000000000004</v>
      </c>
    </row>
    <row r="549" spans="1:36">
      <c r="A549" s="1" t="s">
        <v>583</v>
      </c>
      <c r="B549" t="s">
        <v>1447</v>
      </c>
      <c r="C549" t="str">
        <f>HYPERLINK("https://finance.naver.com/item/coinfo.nhn?code=100840", "A100840")</f>
        <v>A100840</v>
      </c>
      <c r="D549" t="str">
        <f>HYPERLINK("http://comp.fnguide.com/SVO2/ASP/SVD_Consensus.asp?pGB=1&amp;gicode=A100840&amp;cID=&amp;MenuYn=Y&amp;ReportGB=&amp;NewMenuID=108&amp;stkGb=701", "S&amp;TC")</f>
        <v>S&amp;TC</v>
      </c>
      <c r="E549">
        <v>3</v>
      </c>
      <c r="F549">
        <v>15850</v>
      </c>
      <c r="G549">
        <v>0</v>
      </c>
      <c r="H549">
        <v>9.6199999999999992</v>
      </c>
      <c r="I549">
        <v>18172</v>
      </c>
      <c r="J549">
        <v>29875</v>
      </c>
      <c r="K549">
        <v>33201</v>
      </c>
      <c r="L549">
        <v>-14.65</v>
      </c>
      <c r="M549">
        <v>-88.49</v>
      </c>
      <c r="N549">
        <v>-109.47</v>
      </c>
      <c r="O549">
        <v>3.83</v>
      </c>
      <c r="P549" t="b">
        <v>1</v>
      </c>
      <c r="Q549">
        <v>0</v>
      </c>
      <c r="R549">
        <v>2058</v>
      </c>
      <c r="U549" t="s">
        <v>2311</v>
      </c>
      <c r="V549" t="s">
        <v>3175</v>
      </c>
      <c r="W549">
        <v>0</v>
      </c>
      <c r="X549">
        <v>5.4</v>
      </c>
      <c r="Y549" t="s">
        <v>3985</v>
      </c>
      <c r="Z549">
        <v>-9.7703282551653494</v>
      </c>
      <c r="AA549">
        <v>1190</v>
      </c>
      <c r="AB549">
        <v>26400</v>
      </c>
      <c r="AC549" t="s">
        <v>4830</v>
      </c>
      <c r="AD549">
        <v>55.93</v>
      </c>
      <c r="AE549" t="s">
        <v>5694</v>
      </c>
      <c r="AF549" t="s">
        <v>6523</v>
      </c>
      <c r="AG549">
        <v>2133</v>
      </c>
      <c r="AH549">
        <v>175</v>
      </c>
      <c r="AI549">
        <v>994762</v>
      </c>
      <c r="AJ549">
        <v>4.04</v>
      </c>
    </row>
    <row r="550" spans="1:36">
      <c r="A550" s="1" t="s">
        <v>584</v>
      </c>
      <c r="B550" t="s">
        <v>1448</v>
      </c>
      <c r="C550" t="str">
        <f>HYPERLINK("https://finance.naver.com/item/coinfo.nhn?code=002990", "A002990")</f>
        <v>A002990</v>
      </c>
      <c r="D550" t="str">
        <f>HYPERLINK("http://comp.fnguide.com/SVO2/ASP/SVD_Consensus.asp?pGB=1&amp;gicode=A002990&amp;cID=&amp;MenuYn=Y&amp;ReportGB=&amp;NewMenuID=108&amp;stkGb=701", "금호산업")</f>
        <v>금호산업</v>
      </c>
      <c r="E550">
        <v>3</v>
      </c>
      <c r="F550">
        <v>9370</v>
      </c>
      <c r="G550">
        <v>-1.79</v>
      </c>
      <c r="H550">
        <v>35.65</v>
      </c>
      <c r="I550">
        <v>8146</v>
      </c>
      <c r="J550">
        <v>9612</v>
      </c>
      <c r="K550">
        <v>10029</v>
      </c>
      <c r="L550">
        <v>13.06</v>
      </c>
      <c r="M550">
        <v>-2.59</v>
      </c>
      <c r="N550">
        <v>-7.03</v>
      </c>
      <c r="O550">
        <v>6.11</v>
      </c>
      <c r="P550" t="b">
        <v>0</v>
      </c>
      <c r="Q550">
        <v>2</v>
      </c>
      <c r="R550">
        <v>323</v>
      </c>
      <c r="S550">
        <v>1334</v>
      </c>
      <c r="T550">
        <v>313</v>
      </c>
      <c r="U550" t="s">
        <v>2312</v>
      </c>
      <c r="V550" t="s">
        <v>3176</v>
      </c>
      <c r="W550">
        <v>-19.944314811162521</v>
      </c>
      <c r="X550">
        <v>2758.5</v>
      </c>
      <c r="Y550" t="s">
        <v>3986</v>
      </c>
      <c r="Z550">
        <v>761.7646430435633</v>
      </c>
      <c r="AA550">
        <v>3433</v>
      </c>
      <c r="AB550">
        <v>195159</v>
      </c>
      <c r="AC550" t="s">
        <v>4831</v>
      </c>
      <c r="AD550">
        <v>47.95</v>
      </c>
      <c r="AE550" t="s">
        <v>5695</v>
      </c>
      <c r="AF550" t="s">
        <v>6524</v>
      </c>
      <c r="AG550">
        <v>15977</v>
      </c>
      <c r="AH550">
        <v>555</v>
      </c>
      <c r="AI550">
        <v>1058229</v>
      </c>
      <c r="AJ550">
        <v>4.3499999999999996</v>
      </c>
    </row>
    <row r="551" spans="1:36">
      <c r="A551" s="1" t="s">
        <v>585</v>
      </c>
      <c r="B551" t="s">
        <v>1449</v>
      </c>
      <c r="C551" t="str">
        <f>HYPERLINK("https://finance.naver.com/item/coinfo.nhn?code=012200", "A012200")</f>
        <v>A012200</v>
      </c>
      <c r="D551" t="str">
        <f>HYPERLINK("http://comp.fnguide.com/SVO2/ASP/SVD_Consensus.asp?pGB=1&amp;gicode=A012200&amp;cID=&amp;MenuYn=Y&amp;ReportGB=&amp;NewMenuID=108&amp;stkGb=701", "계양전기")</f>
        <v>계양전기</v>
      </c>
      <c r="E551">
        <v>3</v>
      </c>
      <c r="F551">
        <v>4205</v>
      </c>
      <c r="G551">
        <v>0</v>
      </c>
      <c r="H551">
        <v>754.05</v>
      </c>
      <c r="I551">
        <v>1826</v>
      </c>
      <c r="J551">
        <v>4132</v>
      </c>
      <c r="K551">
        <v>4788</v>
      </c>
      <c r="L551">
        <v>56.58</v>
      </c>
      <c r="M551">
        <v>1.72</v>
      </c>
      <c r="N551">
        <v>-13.86</v>
      </c>
      <c r="O551">
        <v>2.56</v>
      </c>
      <c r="P551" t="b">
        <v>0</v>
      </c>
      <c r="Q551">
        <v>0</v>
      </c>
      <c r="R551">
        <v>4</v>
      </c>
      <c r="U551" t="s">
        <v>2313</v>
      </c>
      <c r="V551" t="s">
        <v>3177</v>
      </c>
      <c r="W551">
        <v>0</v>
      </c>
      <c r="X551">
        <v>235.3</v>
      </c>
      <c r="Y551" t="s">
        <v>3987</v>
      </c>
      <c r="Z551">
        <v>-46.601280631112303</v>
      </c>
      <c r="AA551">
        <v>1371</v>
      </c>
      <c r="AB551">
        <v>6952461</v>
      </c>
      <c r="AC551" t="s">
        <v>4832</v>
      </c>
      <c r="AD551">
        <v>44.11</v>
      </c>
      <c r="AE551" t="s">
        <v>5696</v>
      </c>
      <c r="AF551" t="s">
        <v>6525</v>
      </c>
      <c r="AG551">
        <v>3750</v>
      </c>
      <c r="AH551">
        <v>32</v>
      </c>
      <c r="AJ551">
        <v>1.22</v>
      </c>
    </row>
    <row r="552" spans="1:36">
      <c r="A552" s="1" t="s">
        <v>586</v>
      </c>
      <c r="B552" t="s">
        <v>1450</v>
      </c>
      <c r="C552" t="str">
        <f>HYPERLINK("https://finance.naver.com/item/coinfo.nhn?code=002240", "A002240")</f>
        <v>A002240</v>
      </c>
      <c r="D552" t="str">
        <f>HYPERLINK("http://comp.fnguide.com/SVO2/ASP/SVD_Consensus.asp?pGB=1&amp;gicode=A002240&amp;cID=&amp;MenuYn=Y&amp;ReportGB=&amp;NewMenuID=108&amp;stkGb=701", "고려제강")</f>
        <v>고려제강</v>
      </c>
      <c r="E552">
        <v>3</v>
      </c>
      <c r="F552">
        <v>16450</v>
      </c>
      <c r="G552">
        <v>0</v>
      </c>
      <c r="H552">
        <v>41.18</v>
      </c>
      <c r="I552">
        <v>6373</v>
      </c>
      <c r="J552">
        <v>43963</v>
      </c>
      <c r="K552">
        <v>54646</v>
      </c>
      <c r="L552">
        <v>61.26</v>
      </c>
      <c r="M552">
        <v>-167.25</v>
      </c>
      <c r="N552">
        <v>-232.19</v>
      </c>
      <c r="O552">
        <v>0.73</v>
      </c>
      <c r="P552" t="b">
        <v>0</v>
      </c>
      <c r="Q552">
        <v>0</v>
      </c>
      <c r="R552">
        <v>499</v>
      </c>
      <c r="U552" t="s">
        <v>2314</v>
      </c>
      <c r="V552" t="s">
        <v>3178</v>
      </c>
      <c r="W552">
        <v>0</v>
      </c>
      <c r="X552">
        <v>0</v>
      </c>
      <c r="Y552" t="s">
        <v>3988</v>
      </c>
      <c r="Z552">
        <v>-15.26801839077763</v>
      </c>
      <c r="AA552">
        <v>3290</v>
      </c>
      <c r="AB552">
        <v>29996</v>
      </c>
      <c r="AC552" t="s">
        <v>4833</v>
      </c>
      <c r="AD552">
        <v>67.349999999999994</v>
      </c>
      <c r="AE552" t="s">
        <v>5697</v>
      </c>
      <c r="AF552" t="s">
        <v>6526</v>
      </c>
      <c r="AG552">
        <v>16397</v>
      </c>
      <c r="AH552">
        <v>317</v>
      </c>
      <c r="AI552">
        <v>5616</v>
      </c>
      <c r="AJ552">
        <v>1.7</v>
      </c>
    </row>
    <row r="553" spans="1:36">
      <c r="A553" s="1" t="s">
        <v>587</v>
      </c>
      <c r="B553" t="s">
        <v>1451</v>
      </c>
      <c r="C553" t="str">
        <f>HYPERLINK("https://finance.naver.com/item/coinfo.nhn?code=017040", "A017040")</f>
        <v>A017040</v>
      </c>
      <c r="D553" t="str">
        <f>HYPERLINK("http://comp.fnguide.com/SVO2/ASP/SVD_Consensus.asp?pGB=1&amp;gicode=A017040&amp;cID=&amp;MenuYn=Y&amp;ReportGB=&amp;NewMenuID=108&amp;stkGb=701", "광명전기")</f>
        <v>광명전기</v>
      </c>
      <c r="E553">
        <v>3</v>
      </c>
      <c r="F553">
        <v>1975</v>
      </c>
      <c r="G553">
        <v>0</v>
      </c>
      <c r="H553">
        <v>12.33</v>
      </c>
      <c r="I553">
        <v>1488</v>
      </c>
      <c r="J553">
        <v>1949</v>
      </c>
      <c r="K553">
        <v>2080</v>
      </c>
      <c r="L553">
        <v>24.65</v>
      </c>
      <c r="M553">
        <v>1.31</v>
      </c>
      <c r="N553">
        <v>-5.33</v>
      </c>
      <c r="O553">
        <v>5.24</v>
      </c>
      <c r="P553" t="b">
        <v>1</v>
      </c>
      <c r="Q553">
        <v>0</v>
      </c>
      <c r="R553">
        <v>185</v>
      </c>
      <c r="U553" t="s">
        <v>2315</v>
      </c>
      <c r="V553" t="s">
        <v>3179</v>
      </c>
      <c r="W553">
        <v>0</v>
      </c>
      <c r="X553">
        <v>3.6</v>
      </c>
      <c r="Y553" t="s">
        <v>3989</v>
      </c>
      <c r="Z553">
        <v>69.513745847636542</v>
      </c>
      <c r="AA553">
        <v>856</v>
      </c>
      <c r="AB553">
        <v>324075</v>
      </c>
      <c r="AC553" t="s">
        <v>4834</v>
      </c>
      <c r="AD553">
        <v>32.07</v>
      </c>
      <c r="AE553" t="s">
        <v>5698</v>
      </c>
      <c r="AF553" t="s">
        <v>6527</v>
      </c>
      <c r="AG553">
        <v>1319</v>
      </c>
      <c r="AH553">
        <v>80</v>
      </c>
      <c r="AJ553">
        <v>0.66</v>
      </c>
    </row>
    <row r="554" spans="1:36">
      <c r="A554" s="1" t="s">
        <v>588</v>
      </c>
      <c r="B554" t="s">
        <v>1452</v>
      </c>
      <c r="C554" t="str">
        <f>HYPERLINK("https://finance.naver.com/item/coinfo.nhn?code=017900", "A017900")</f>
        <v>A017900</v>
      </c>
      <c r="D554" t="str">
        <f>HYPERLINK("http://comp.fnguide.com/SVO2/ASP/SVD_Consensus.asp?pGB=1&amp;gicode=A017900&amp;cID=&amp;MenuYn=Y&amp;ReportGB=&amp;NewMenuID=108&amp;stkGb=701", "광전자")</f>
        <v>광전자</v>
      </c>
      <c r="E554">
        <v>3</v>
      </c>
      <c r="F554">
        <v>2330</v>
      </c>
      <c r="G554">
        <v>0</v>
      </c>
      <c r="H554">
        <v>36.08</v>
      </c>
      <c r="I554">
        <v>1124</v>
      </c>
      <c r="J554">
        <v>3082</v>
      </c>
      <c r="K554">
        <v>3638</v>
      </c>
      <c r="L554">
        <v>51.76</v>
      </c>
      <c r="M554">
        <v>-32.270000000000003</v>
      </c>
      <c r="N554">
        <v>-56.15</v>
      </c>
      <c r="O554">
        <v>2.04</v>
      </c>
      <c r="P554" t="b">
        <v>0</v>
      </c>
      <c r="Q554">
        <v>0</v>
      </c>
      <c r="R554">
        <v>60</v>
      </c>
      <c r="U554" t="s">
        <v>2316</v>
      </c>
      <c r="V554" t="s">
        <v>3180</v>
      </c>
      <c r="W554">
        <v>0</v>
      </c>
      <c r="X554">
        <v>-97.7</v>
      </c>
      <c r="Y554" t="s">
        <v>3990</v>
      </c>
      <c r="Z554">
        <v>-55.269579532869493</v>
      </c>
      <c r="AA554">
        <v>1350</v>
      </c>
      <c r="AB554">
        <v>158750</v>
      </c>
      <c r="AC554" t="s">
        <v>4835</v>
      </c>
      <c r="AD554">
        <v>55.48</v>
      </c>
      <c r="AE554" t="s">
        <v>5699</v>
      </c>
      <c r="AF554" t="s">
        <v>6528</v>
      </c>
      <c r="AG554">
        <v>1662</v>
      </c>
      <c r="AH554">
        <v>-15</v>
      </c>
      <c r="AI554">
        <v>7580000</v>
      </c>
      <c r="AJ554">
        <v>2.3199999999999998</v>
      </c>
    </row>
    <row r="555" spans="1:36">
      <c r="A555" s="1" t="s">
        <v>589</v>
      </c>
      <c r="B555" t="s">
        <v>1453</v>
      </c>
      <c r="C555" t="str">
        <f>HYPERLINK("https://finance.naver.com/item/coinfo.nhn?code=037710", "A037710")</f>
        <v>A037710</v>
      </c>
      <c r="D555" t="str">
        <f>HYPERLINK("http://comp.fnguide.com/SVO2/ASP/SVD_Consensus.asp?pGB=1&amp;gicode=A037710&amp;cID=&amp;MenuYn=Y&amp;ReportGB=&amp;NewMenuID=108&amp;stkGb=701", "광주신세계")</f>
        <v>광주신세계</v>
      </c>
      <c r="E555">
        <v>3</v>
      </c>
      <c r="F555">
        <v>154000</v>
      </c>
      <c r="G555">
        <v>0</v>
      </c>
      <c r="H555">
        <v>5.5</v>
      </c>
      <c r="I555">
        <v>400735</v>
      </c>
      <c r="J555">
        <v>409602</v>
      </c>
      <c r="K555">
        <v>412123</v>
      </c>
      <c r="L555">
        <v>-160.22</v>
      </c>
      <c r="M555">
        <v>-165.98</v>
      </c>
      <c r="N555">
        <v>-167.61</v>
      </c>
      <c r="O555">
        <v>7.66</v>
      </c>
      <c r="P555" t="b">
        <v>1</v>
      </c>
      <c r="Q555">
        <v>0</v>
      </c>
      <c r="R555">
        <v>29793</v>
      </c>
      <c r="U555" t="s">
        <v>2317</v>
      </c>
      <c r="V555" t="s">
        <v>3181</v>
      </c>
      <c r="W555">
        <v>0</v>
      </c>
      <c r="X555">
        <v>-14.9</v>
      </c>
      <c r="Y555" t="s">
        <v>3991</v>
      </c>
      <c r="Z555">
        <v>-2.467067042194881</v>
      </c>
      <c r="AA555">
        <v>2464</v>
      </c>
      <c r="AB555">
        <v>1075</v>
      </c>
      <c r="AC555" t="s">
        <v>4836</v>
      </c>
      <c r="AD555">
        <v>62.5</v>
      </c>
      <c r="AE555" t="s">
        <v>5700</v>
      </c>
      <c r="AF555" t="s">
        <v>6529</v>
      </c>
      <c r="AG555">
        <v>1549</v>
      </c>
      <c r="AH555">
        <v>551</v>
      </c>
      <c r="AI555">
        <v>8562</v>
      </c>
      <c r="AJ555">
        <v>2.13</v>
      </c>
    </row>
    <row r="556" spans="1:36">
      <c r="A556" s="1" t="s">
        <v>590</v>
      </c>
      <c r="B556" t="s">
        <v>1454</v>
      </c>
      <c r="C556" t="str">
        <f>HYPERLINK("https://finance.naver.com/item/coinfo.nhn?code=030610", "A030610")</f>
        <v>A030610</v>
      </c>
      <c r="D556" t="str">
        <f>HYPERLINK("http://comp.fnguide.com/SVO2/ASP/SVD_Consensus.asp?pGB=1&amp;gicode=A030610&amp;cID=&amp;MenuYn=Y&amp;ReportGB=&amp;NewMenuID=108&amp;stkGb=701", "교보증권")</f>
        <v>교보증권</v>
      </c>
      <c r="E556">
        <v>3</v>
      </c>
      <c r="F556">
        <v>7900</v>
      </c>
      <c r="G556">
        <v>0</v>
      </c>
      <c r="H556">
        <v>3.98</v>
      </c>
      <c r="I556">
        <v>17387</v>
      </c>
      <c r="J556">
        <v>16022</v>
      </c>
      <c r="K556">
        <v>15634</v>
      </c>
      <c r="L556">
        <v>-120.09</v>
      </c>
      <c r="M556">
        <v>-102.81</v>
      </c>
      <c r="N556">
        <v>-97.9</v>
      </c>
      <c r="O556">
        <v>9.1300000000000008</v>
      </c>
      <c r="P556" t="b">
        <v>1</v>
      </c>
      <c r="Q556">
        <v>0</v>
      </c>
      <c r="R556">
        <v>2319</v>
      </c>
      <c r="U556" t="s">
        <v>2318</v>
      </c>
      <c r="V556" t="s">
        <v>3182</v>
      </c>
      <c r="W556">
        <v>0</v>
      </c>
      <c r="X556">
        <v>9.1</v>
      </c>
      <c r="Y556" t="s">
        <v>3992</v>
      </c>
      <c r="Z556">
        <v>9.0797725192460774</v>
      </c>
      <c r="AA556">
        <v>5108</v>
      </c>
      <c r="AB556">
        <v>113800</v>
      </c>
      <c r="AC556" t="s">
        <v>4837</v>
      </c>
      <c r="AD556">
        <v>73.16</v>
      </c>
      <c r="AE556" t="s">
        <v>5701</v>
      </c>
      <c r="AF556" t="s">
        <v>6530</v>
      </c>
      <c r="AG556">
        <v>3064</v>
      </c>
      <c r="AH556">
        <v>1104</v>
      </c>
      <c r="AI556">
        <v>1093598</v>
      </c>
      <c r="AJ556">
        <v>4.34</v>
      </c>
    </row>
    <row r="557" spans="1:36">
      <c r="A557" s="1" t="s">
        <v>591</v>
      </c>
      <c r="B557" t="s">
        <v>1455</v>
      </c>
      <c r="C557" t="str">
        <f>HYPERLINK("https://finance.naver.com/item/coinfo.nhn?code=007690", "A007690")</f>
        <v>A007690</v>
      </c>
      <c r="D557" t="str">
        <f>HYPERLINK("http://comp.fnguide.com/SVO2/ASP/SVD_Consensus.asp?pGB=1&amp;gicode=A007690&amp;cID=&amp;MenuYn=Y&amp;ReportGB=&amp;NewMenuID=108&amp;stkGb=701", "국도화학")</f>
        <v>국도화학</v>
      </c>
      <c r="E557">
        <v>3</v>
      </c>
      <c r="F557">
        <v>55200</v>
      </c>
      <c r="G557">
        <v>0</v>
      </c>
      <c r="H557">
        <v>7.9</v>
      </c>
      <c r="I557">
        <v>97262</v>
      </c>
      <c r="J557">
        <v>95813</v>
      </c>
      <c r="K557">
        <v>95401</v>
      </c>
      <c r="L557">
        <v>-76.2</v>
      </c>
      <c r="M557">
        <v>-73.569999999999993</v>
      </c>
      <c r="N557">
        <v>-72.83</v>
      </c>
      <c r="O557">
        <v>8.14</v>
      </c>
      <c r="P557" t="b">
        <v>1</v>
      </c>
      <c r="Q557">
        <v>0</v>
      </c>
      <c r="R557">
        <v>5958</v>
      </c>
      <c r="U557" t="s">
        <v>2319</v>
      </c>
      <c r="V557" t="s">
        <v>3183</v>
      </c>
      <c r="W557">
        <v>0</v>
      </c>
      <c r="X557">
        <v>-10.1</v>
      </c>
      <c r="Y557" t="s">
        <v>3993</v>
      </c>
      <c r="Z557">
        <v>-11.05131788007191</v>
      </c>
      <c r="AA557">
        <v>3207</v>
      </c>
      <c r="AB557">
        <v>24730</v>
      </c>
      <c r="AC557" t="s">
        <v>4838</v>
      </c>
      <c r="AD557">
        <v>24.58</v>
      </c>
      <c r="AE557" t="s">
        <v>5702</v>
      </c>
      <c r="AF557" t="s">
        <v>6531</v>
      </c>
      <c r="AG557">
        <v>11214</v>
      </c>
      <c r="AH557">
        <v>421</v>
      </c>
      <c r="AI557">
        <v>364289</v>
      </c>
      <c r="AJ557">
        <v>3.19</v>
      </c>
    </row>
    <row r="558" spans="1:36">
      <c r="A558" s="1" t="s">
        <v>592</v>
      </c>
      <c r="B558" t="s">
        <v>1456</v>
      </c>
      <c r="C558" t="str">
        <f>HYPERLINK("https://finance.naver.com/item/coinfo.nhn?code=014530", "A014530")</f>
        <v>A014530</v>
      </c>
      <c r="D558" t="str">
        <f>HYPERLINK("http://comp.fnguide.com/SVO2/ASP/SVD_Consensus.asp?pGB=1&amp;gicode=A014530&amp;cID=&amp;MenuYn=Y&amp;ReportGB=&amp;NewMenuID=108&amp;stkGb=701", "극동유화")</f>
        <v>극동유화</v>
      </c>
      <c r="E558">
        <v>3</v>
      </c>
      <c r="F558">
        <v>3600</v>
      </c>
      <c r="G558">
        <v>0</v>
      </c>
      <c r="H558">
        <v>8.3699999999999992</v>
      </c>
      <c r="I558">
        <v>6068</v>
      </c>
      <c r="J558">
        <v>5423</v>
      </c>
      <c r="K558">
        <v>5240</v>
      </c>
      <c r="L558">
        <v>-68.569999999999993</v>
      </c>
      <c r="M558">
        <v>-50.64</v>
      </c>
      <c r="N558">
        <v>-45.54</v>
      </c>
      <c r="O558">
        <v>9.65</v>
      </c>
      <c r="P558" t="b">
        <v>1</v>
      </c>
      <c r="Q558">
        <v>0</v>
      </c>
      <c r="R558">
        <v>412</v>
      </c>
      <c r="U558" t="s">
        <v>2320</v>
      </c>
      <c r="V558" t="s">
        <v>3184</v>
      </c>
      <c r="W558">
        <v>0</v>
      </c>
      <c r="X558">
        <v>-19.3</v>
      </c>
      <c r="Y558" t="s">
        <v>3994</v>
      </c>
      <c r="Z558">
        <v>-4.376553793836047</v>
      </c>
      <c r="AA558">
        <v>1255</v>
      </c>
      <c r="AB558">
        <v>122776</v>
      </c>
      <c r="AC558" t="s">
        <v>4839</v>
      </c>
      <c r="AD558">
        <v>43.36</v>
      </c>
      <c r="AE558" t="s">
        <v>5703</v>
      </c>
      <c r="AF558" t="s">
        <v>6532</v>
      </c>
      <c r="AG558">
        <v>7956</v>
      </c>
      <c r="AH558">
        <v>167</v>
      </c>
      <c r="AI558">
        <v>1200000</v>
      </c>
      <c r="AJ558">
        <v>4.6399999999999997</v>
      </c>
    </row>
    <row r="559" spans="1:36">
      <c r="A559" s="1" t="s">
        <v>593</v>
      </c>
      <c r="B559" t="s">
        <v>1457</v>
      </c>
      <c r="C559" t="str">
        <f>HYPERLINK("https://finance.naver.com/item/coinfo.nhn?code=014280", "A014280")</f>
        <v>A014280</v>
      </c>
      <c r="D559" t="str">
        <f>HYPERLINK("http://comp.fnguide.com/SVO2/ASP/SVD_Consensus.asp?pGB=1&amp;gicode=A014280&amp;cID=&amp;MenuYn=Y&amp;ReportGB=&amp;NewMenuID=108&amp;stkGb=701", "금강공업")</f>
        <v>금강공업</v>
      </c>
      <c r="E559">
        <v>3</v>
      </c>
      <c r="F559">
        <v>4730</v>
      </c>
      <c r="G559">
        <v>0</v>
      </c>
      <c r="I559">
        <v>4660</v>
      </c>
      <c r="J559">
        <v>8744</v>
      </c>
      <c r="K559">
        <v>9905</v>
      </c>
      <c r="L559">
        <v>1.49</v>
      </c>
      <c r="M559">
        <v>-84.87</v>
      </c>
      <c r="N559">
        <v>-109.41</v>
      </c>
      <c r="O559">
        <v>3.23</v>
      </c>
      <c r="P559" t="b">
        <v>0</v>
      </c>
      <c r="Q559">
        <v>0</v>
      </c>
      <c r="R559">
        <v>-359</v>
      </c>
      <c r="U559" t="s">
        <v>2321</v>
      </c>
      <c r="V559" t="s">
        <v>3185</v>
      </c>
      <c r="W559">
        <v>0</v>
      </c>
      <c r="X559">
        <v>728.3</v>
      </c>
      <c r="Y559" t="s">
        <v>3995</v>
      </c>
      <c r="Z559">
        <v>117.1663252471217</v>
      </c>
      <c r="AA559">
        <v>1237</v>
      </c>
      <c r="AB559">
        <v>93594</v>
      </c>
      <c r="AC559" t="s">
        <v>4840</v>
      </c>
      <c r="AD559">
        <v>43.11</v>
      </c>
      <c r="AE559" t="s">
        <v>5704</v>
      </c>
      <c r="AF559" t="s">
        <v>6533</v>
      </c>
      <c r="AG559">
        <v>5497</v>
      </c>
      <c r="AH559">
        <v>26</v>
      </c>
      <c r="AI559">
        <v>2503820</v>
      </c>
      <c r="AJ559">
        <v>2.1</v>
      </c>
    </row>
    <row r="560" spans="1:36">
      <c r="A560" s="1" t="s">
        <v>594</v>
      </c>
      <c r="B560" t="s">
        <v>1458</v>
      </c>
      <c r="C560" t="str">
        <f>HYPERLINK("https://finance.naver.com/item/coinfo.nhn?code=008870", "A008870")</f>
        <v>A008870</v>
      </c>
      <c r="D560" t="str">
        <f>HYPERLINK("http://comp.fnguide.com/SVO2/ASP/SVD_Consensus.asp?pGB=1&amp;gicode=A008870&amp;cID=&amp;MenuYn=Y&amp;ReportGB=&amp;NewMenuID=108&amp;stkGb=701", "금비")</f>
        <v>금비</v>
      </c>
      <c r="E560">
        <v>3</v>
      </c>
      <c r="F560">
        <v>61300</v>
      </c>
      <c r="G560">
        <v>0</v>
      </c>
      <c r="I560">
        <v>51938</v>
      </c>
      <c r="J560">
        <v>94717</v>
      </c>
      <c r="K560">
        <v>106874</v>
      </c>
      <c r="L560">
        <v>15.27</v>
      </c>
      <c r="M560">
        <v>-54.51</v>
      </c>
      <c r="N560">
        <v>-74.349999999999994</v>
      </c>
      <c r="O560">
        <v>3.35</v>
      </c>
      <c r="P560" t="b">
        <v>0</v>
      </c>
      <c r="Q560">
        <v>0</v>
      </c>
      <c r="R560">
        <v>-3454</v>
      </c>
      <c r="U560" t="s">
        <v>2322</v>
      </c>
      <c r="V560" t="s">
        <v>3186</v>
      </c>
      <c r="W560">
        <v>0</v>
      </c>
      <c r="X560">
        <v>0</v>
      </c>
      <c r="Y560" t="s">
        <v>3996</v>
      </c>
      <c r="Z560">
        <v>7.4963378911810041</v>
      </c>
      <c r="AA560">
        <v>613</v>
      </c>
      <c r="AB560">
        <v>46739</v>
      </c>
      <c r="AC560" t="s">
        <v>4841</v>
      </c>
      <c r="AD560">
        <v>56.48</v>
      </c>
      <c r="AE560" t="s">
        <v>5705</v>
      </c>
      <c r="AF560" t="s">
        <v>6534</v>
      </c>
      <c r="AG560">
        <v>2193</v>
      </c>
      <c r="AH560">
        <v>66</v>
      </c>
      <c r="AI560">
        <v>190500</v>
      </c>
      <c r="AJ560">
        <v>2.27</v>
      </c>
    </row>
    <row r="561" spans="1:36">
      <c r="A561" s="1" t="s">
        <v>595</v>
      </c>
      <c r="B561" t="s">
        <v>1459</v>
      </c>
      <c r="C561" t="str">
        <f>HYPERLINK("https://finance.naver.com/item/coinfo.nhn?code=092440", "A092440")</f>
        <v>A092440</v>
      </c>
      <c r="D561" t="str">
        <f>HYPERLINK("http://comp.fnguide.com/SVO2/ASP/SVD_Consensus.asp?pGB=1&amp;gicode=A092440&amp;cID=&amp;MenuYn=Y&amp;ReportGB=&amp;NewMenuID=108&amp;stkGb=701", "기신정기")</f>
        <v>기신정기</v>
      </c>
      <c r="E561">
        <v>3</v>
      </c>
      <c r="F561">
        <v>3525</v>
      </c>
      <c r="G561">
        <v>0</v>
      </c>
      <c r="H561">
        <v>9.66</v>
      </c>
      <c r="I561">
        <v>4803</v>
      </c>
      <c r="J561">
        <v>6801</v>
      </c>
      <c r="K561">
        <v>7369</v>
      </c>
      <c r="L561">
        <v>-36.270000000000003</v>
      </c>
      <c r="M561">
        <v>-92.93</v>
      </c>
      <c r="N561">
        <v>-109.04</v>
      </c>
      <c r="O561">
        <v>4.7</v>
      </c>
      <c r="P561" t="b">
        <v>1</v>
      </c>
      <c r="Q561">
        <v>0</v>
      </c>
      <c r="R561">
        <v>298</v>
      </c>
      <c r="U561" t="s">
        <v>2323</v>
      </c>
      <c r="V561" t="s">
        <v>3187</v>
      </c>
      <c r="W561">
        <v>0</v>
      </c>
      <c r="X561">
        <v>-29.5</v>
      </c>
      <c r="Y561" t="s">
        <v>3997</v>
      </c>
      <c r="Z561">
        <v>-3.5182346607127162</v>
      </c>
      <c r="AA561">
        <v>1029</v>
      </c>
      <c r="AB561">
        <v>46285</v>
      </c>
      <c r="AC561" t="s">
        <v>4842</v>
      </c>
      <c r="AD561">
        <v>71.95</v>
      </c>
      <c r="AE561" t="s">
        <v>5706</v>
      </c>
      <c r="AF561" t="s">
        <v>6535</v>
      </c>
      <c r="AG561">
        <v>1246</v>
      </c>
      <c r="AH561">
        <v>93</v>
      </c>
      <c r="AJ561">
        <v>5.22</v>
      </c>
    </row>
    <row r="562" spans="1:36">
      <c r="A562" s="1" t="s">
        <v>596</v>
      </c>
      <c r="B562" t="s">
        <v>1460</v>
      </c>
      <c r="C562" t="str">
        <f>HYPERLINK("https://finance.naver.com/item/coinfo.nhn?code=003570", "A003570")</f>
        <v>A003570</v>
      </c>
      <c r="D562" t="str">
        <f>HYPERLINK("http://comp.fnguide.com/SVO2/ASP/SVD_Consensus.asp?pGB=1&amp;gicode=A003570&amp;cID=&amp;MenuYn=Y&amp;ReportGB=&amp;NewMenuID=108&amp;stkGb=701", "S&amp;T중공업")</f>
        <v>S&amp;T중공업</v>
      </c>
      <c r="E562">
        <v>3</v>
      </c>
      <c r="F562">
        <v>5920</v>
      </c>
      <c r="G562">
        <v>0</v>
      </c>
      <c r="H562">
        <v>13.2</v>
      </c>
      <c r="I562">
        <v>8063</v>
      </c>
      <c r="J562">
        <v>18934</v>
      </c>
      <c r="K562">
        <v>22023</v>
      </c>
      <c r="L562">
        <v>-36.200000000000003</v>
      </c>
      <c r="M562">
        <v>-219.82</v>
      </c>
      <c r="N562">
        <v>-272.01</v>
      </c>
      <c r="O562">
        <v>2.4500000000000002</v>
      </c>
      <c r="P562" t="b">
        <v>1</v>
      </c>
      <c r="Q562">
        <v>0</v>
      </c>
      <c r="R562">
        <v>501</v>
      </c>
      <c r="U562" t="s">
        <v>2324</v>
      </c>
      <c r="V562" t="s">
        <v>3188</v>
      </c>
      <c r="W562">
        <v>0</v>
      </c>
      <c r="X562">
        <v>-32.6</v>
      </c>
      <c r="Y562" t="s">
        <v>3998</v>
      </c>
      <c r="Z562">
        <v>-24.75639562062435</v>
      </c>
      <c r="AA562">
        <v>1969</v>
      </c>
      <c r="AB562">
        <v>117038</v>
      </c>
      <c r="AC562" t="s">
        <v>4843</v>
      </c>
      <c r="AD562">
        <v>42.27</v>
      </c>
      <c r="AE562" t="s">
        <v>5707</v>
      </c>
      <c r="AF562" t="s">
        <v>6536</v>
      </c>
      <c r="AG562">
        <v>3751</v>
      </c>
      <c r="AH562">
        <v>192</v>
      </c>
      <c r="AI562">
        <v>9636469</v>
      </c>
      <c r="AJ562">
        <v>4.54</v>
      </c>
    </row>
    <row r="563" spans="1:36">
      <c r="A563" s="1" t="s">
        <v>597</v>
      </c>
      <c r="B563" t="s">
        <v>1461</v>
      </c>
      <c r="C563" t="str">
        <f>HYPERLINK("https://finance.naver.com/item/coinfo.nhn?code=000270", "A000270")</f>
        <v>A000270</v>
      </c>
      <c r="D563" t="str">
        <f>HYPERLINK("http://comp.fnguide.com/SVO2/ASP/SVD_Consensus.asp?pGB=1&amp;gicode=A000270&amp;cID=&amp;MenuYn=Y&amp;ReportGB=&amp;NewMenuID=108&amp;stkGb=701", "기아차")</f>
        <v>기아차</v>
      </c>
      <c r="E563">
        <v>3</v>
      </c>
      <c r="F563">
        <v>61700</v>
      </c>
      <c r="G563">
        <v>0.72</v>
      </c>
      <c r="H563">
        <v>9.83</v>
      </c>
      <c r="I563">
        <v>48033</v>
      </c>
      <c r="J563">
        <v>62620</v>
      </c>
      <c r="K563">
        <v>66765</v>
      </c>
      <c r="L563">
        <v>22.15</v>
      </c>
      <c r="M563">
        <v>-1.49</v>
      </c>
      <c r="N563">
        <v>-8.2100000000000009</v>
      </c>
      <c r="O563">
        <v>5.28</v>
      </c>
      <c r="P563" t="b">
        <v>1</v>
      </c>
      <c r="Q563">
        <v>0</v>
      </c>
      <c r="R563">
        <v>4506</v>
      </c>
      <c r="S563">
        <v>3510</v>
      </c>
      <c r="T563">
        <v>-22.1</v>
      </c>
      <c r="U563" t="s">
        <v>2325</v>
      </c>
      <c r="V563" t="s">
        <v>3189</v>
      </c>
      <c r="W563">
        <v>13.69279864412716</v>
      </c>
      <c r="X563">
        <v>-64.5</v>
      </c>
      <c r="Y563" t="s">
        <v>3999</v>
      </c>
      <c r="Z563">
        <v>-24.45100125416975</v>
      </c>
      <c r="AA563">
        <v>250109</v>
      </c>
      <c r="AB563">
        <v>1271051</v>
      </c>
      <c r="AC563" t="s">
        <v>4844</v>
      </c>
      <c r="AD563">
        <v>35.619999999999997</v>
      </c>
      <c r="AE563" t="s">
        <v>5708</v>
      </c>
      <c r="AF563" t="s">
        <v>6537</v>
      </c>
      <c r="AG563">
        <v>581460</v>
      </c>
      <c r="AH563">
        <v>20097</v>
      </c>
      <c r="AI563">
        <v>4432084</v>
      </c>
      <c r="AJ563">
        <v>2.6</v>
      </c>
    </row>
    <row r="564" spans="1:36">
      <c r="A564" s="1" t="s">
        <v>598</v>
      </c>
      <c r="B564" t="s">
        <v>1462</v>
      </c>
      <c r="C564" t="str">
        <f>HYPERLINK("https://finance.naver.com/item/coinfo.nhn?code=024110", "A024110")</f>
        <v>A024110</v>
      </c>
      <c r="D564" t="str">
        <f>HYPERLINK("http://comp.fnguide.com/SVO2/ASP/SVD_Consensus.asp?pGB=1&amp;gicode=A024110&amp;cID=&amp;MenuYn=Y&amp;ReportGB=&amp;NewMenuID=108&amp;stkGb=701", "기업은행")</f>
        <v>기업은행</v>
      </c>
      <c r="E564">
        <v>3</v>
      </c>
      <c r="F564">
        <v>9450</v>
      </c>
      <c r="G564">
        <v>-0.79</v>
      </c>
      <c r="H564">
        <v>4.93</v>
      </c>
      <c r="I564">
        <v>30460</v>
      </c>
      <c r="J564">
        <v>30592</v>
      </c>
      <c r="K564">
        <v>30630</v>
      </c>
      <c r="L564">
        <v>-222.33</v>
      </c>
      <c r="M564">
        <v>-223.73</v>
      </c>
      <c r="N564">
        <v>-224.12</v>
      </c>
      <c r="O564">
        <v>7.88</v>
      </c>
      <c r="P564" t="b">
        <v>0</v>
      </c>
      <c r="Q564">
        <v>0</v>
      </c>
      <c r="R564">
        <v>2393</v>
      </c>
      <c r="S564">
        <v>1878</v>
      </c>
      <c r="T564">
        <v>-21.5</v>
      </c>
      <c r="U564" t="s">
        <v>2326</v>
      </c>
      <c r="V564" t="s">
        <v>3190</v>
      </c>
      <c r="W564">
        <v>-6.2733822105373038</v>
      </c>
      <c r="X564">
        <v>2.5</v>
      </c>
      <c r="Y564" t="s">
        <v>4000</v>
      </c>
      <c r="Z564">
        <v>2.85981313209418</v>
      </c>
      <c r="AA564">
        <v>69804</v>
      </c>
      <c r="AB564">
        <v>3301952</v>
      </c>
      <c r="AC564" t="s">
        <v>4845</v>
      </c>
      <c r="AD564">
        <v>63.47</v>
      </c>
      <c r="AE564" t="s">
        <v>5709</v>
      </c>
      <c r="AF564" t="s">
        <v>6538</v>
      </c>
      <c r="AG564">
        <v>94885</v>
      </c>
      <c r="AH564">
        <v>22279</v>
      </c>
      <c r="AI564">
        <v>2</v>
      </c>
      <c r="AJ564">
        <v>5.68</v>
      </c>
    </row>
    <row r="565" spans="1:36">
      <c r="A565" s="1" t="s">
        <v>599</v>
      </c>
      <c r="B565" t="s">
        <v>1463</v>
      </c>
      <c r="C565" t="str">
        <f>HYPERLINK("https://finance.naver.com/item/coinfo.nhn?code=003920", "A003920")</f>
        <v>A003920</v>
      </c>
      <c r="D565" t="str">
        <f>HYPERLINK("http://comp.fnguide.com/SVO2/ASP/SVD_Consensus.asp?pGB=1&amp;gicode=A003920&amp;cID=&amp;MenuYn=Y&amp;ReportGB=&amp;NewMenuID=108&amp;stkGb=701", "남양유업")</f>
        <v>남양유업</v>
      </c>
      <c r="E565">
        <v>3</v>
      </c>
      <c r="F565">
        <v>284500</v>
      </c>
      <c r="G565">
        <v>0</v>
      </c>
      <c r="H565">
        <v>13.33</v>
      </c>
      <c r="I565">
        <v>303395</v>
      </c>
      <c r="J565">
        <v>928318</v>
      </c>
      <c r="K565">
        <v>1105909</v>
      </c>
      <c r="L565">
        <v>-6.64</v>
      </c>
      <c r="M565">
        <v>-226.3</v>
      </c>
      <c r="N565">
        <v>-288.72000000000003</v>
      </c>
      <c r="O565">
        <v>1.79</v>
      </c>
      <c r="P565" t="b">
        <v>1</v>
      </c>
      <c r="Q565">
        <v>0</v>
      </c>
      <c r="R565">
        <v>32968</v>
      </c>
      <c r="U565" t="s">
        <v>2327</v>
      </c>
      <c r="V565" t="s">
        <v>3191</v>
      </c>
      <c r="W565">
        <v>0</v>
      </c>
      <c r="X565">
        <v>0</v>
      </c>
      <c r="Y565" t="s">
        <v>4001</v>
      </c>
      <c r="Z565">
        <v>2.3039778274023259</v>
      </c>
      <c r="AA565">
        <v>2048</v>
      </c>
      <c r="AB565">
        <v>895</v>
      </c>
      <c r="AC565" t="s">
        <v>4846</v>
      </c>
      <c r="AD565">
        <v>53.08</v>
      </c>
      <c r="AE565" t="s">
        <v>5710</v>
      </c>
      <c r="AF565" t="s">
        <v>6539</v>
      </c>
      <c r="AG565">
        <v>10308</v>
      </c>
      <c r="AH565">
        <v>4</v>
      </c>
      <c r="AI565">
        <v>40288</v>
      </c>
      <c r="AJ565">
        <v>0.23</v>
      </c>
    </row>
    <row r="566" spans="1:36">
      <c r="A566" s="1" t="s">
        <v>600</v>
      </c>
      <c r="B566" t="s">
        <v>1464</v>
      </c>
      <c r="C566" t="str">
        <f>HYPERLINK("https://finance.naver.com/item/coinfo.nhn?code=005720", "A005720")</f>
        <v>A005720</v>
      </c>
      <c r="D566" t="str">
        <f>HYPERLINK("http://comp.fnguide.com/SVO2/ASP/SVD_Consensus.asp?pGB=1&amp;gicode=A005720&amp;cID=&amp;MenuYn=Y&amp;ReportGB=&amp;NewMenuID=108&amp;stkGb=701", "넥센")</f>
        <v>넥센</v>
      </c>
      <c r="E566">
        <v>3</v>
      </c>
      <c r="F566">
        <v>4600</v>
      </c>
      <c r="G566">
        <v>0</v>
      </c>
      <c r="H566">
        <v>5.84</v>
      </c>
      <c r="I566">
        <v>16679</v>
      </c>
      <c r="J566">
        <v>18430</v>
      </c>
      <c r="K566">
        <v>18928</v>
      </c>
      <c r="L566">
        <v>-262.58</v>
      </c>
      <c r="M566">
        <v>-300.66000000000003</v>
      </c>
      <c r="N566">
        <v>-311.48</v>
      </c>
      <c r="O566">
        <v>6.76</v>
      </c>
      <c r="P566" t="b">
        <v>1</v>
      </c>
      <c r="Q566">
        <v>0</v>
      </c>
      <c r="R566">
        <v>1037</v>
      </c>
      <c r="U566" t="s">
        <v>2328</v>
      </c>
      <c r="V566" t="s">
        <v>3192</v>
      </c>
      <c r="W566">
        <v>0</v>
      </c>
      <c r="X566">
        <v>-79</v>
      </c>
      <c r="Y566" t="s">
        <v>4002</v>
      </c>
      <c r="Z566">
        <v>-31.35855732881312</v>
      </c>
      <c r="AA566">
        <v>2463</v>
      </c>
      <c r="AB566">
        <v>49105</v>
      </c>
      <c r="AC566" t="s">
        <v>4847</v>
      </c>
      <c r="AD566">
        <v>59.37</v>
      </c>
      <c r="AE566" t="s">
        <v>5711</v>
      </c>
      <c r="AF566" t="s">
        <v>6540</v>
      </c>
      <c r="AG566">
        <v>22913</v>
      </c>
      <c r="AH566">
        <v>2251</v>
      </c>
      <c r="AI566">
        <v>956326</v>
      </c>
      <c r="AJ566">
        <v>1.32</v>
      </c>
    </row>
    <row r="567" spans="1:36">
      <c r="A567" s="1" t="s">
        <v>601</v>
      </c>
      <c r="B567" t="s">
        <v>1465</v>
      </c>
      <c r="C567" t="str">
        <f>HYPERLINK("https://finance.naver.com/item/coinfo.nhn?code=002350", "A002350")</f>
        <v>A002350</v>
      </c>
      <c r="D567" t="str">
        <f>HYPERLINK("http://comp.fnguide.com/SVO2/ASP/SVD_Consensus.asp?pGB=1&amp;gicode=A002350&amp;cID=&amp;MenuYn=Y&amp;ReportGB=&amp;NewMenuID=108&amp;stkGb=701", "넥센타이어")</f>
        <v>넥센타이어</v>
      </c>
      <c r="E567">
        <v>3</v>
      </c>
      <c r="F567">
        <v>6140</v>
      </c>
      <c r="G567">
        <v>-0.2</v>
      </c>
      <c r="H567">
        <v>8.0399999999999991</v>
      </c>
      <c r="I567">
        <v>16523</v>
      </c>
      <c r="J567">
        <v>16306</v>
      </c>
      <c r="K567">
        <v>16245</v>
      </c>
      <c r="L567">
        <v>-169.1</v>
      </c>
      <c r="M567">
        <v>-165.58</v>
      </c>
      <c r="N567">
        <v>-164.57</v>
      </c>
      <c r="O567">
        <v>8.1199999999999992</v>
      </c>
      <c r="P567" t="b">
        <v>1</v>
      </c>
      <c r="Q567">
        <v>0</v>
      </c>
      <c r="R567">
        <v>1135</v>
      </c>
      <c r="S567">
        <v>265</v>
      </c>
      <c r="T567">
        <v>-76.7</v>
      </c>
      <c r="U567" t="s">
        <v>2329</v>
      </c>
      <c r="V567" t="s">
        <v>3193</v>
      </c>
      <c r="W567">
        <v>-39.724527979103897</v>
      </c>
      <c r="X567">
        <v>0</v>
      </c>
      <c r="Y567" t="s">
        <v>4003</v>
      </c>
      <c r="Z567">
        <v>-1.72560887448977</v>
      </c>
      <c r="AA567">
        <v>5997</v>
      </c>
      <c r="AB567">
        <v>222813</v>
      </c>
      <c r="AC567" t="s">
        <v>4848</v>
      </c>
      <c r="AD567">
        <v>66.95</v>
      </c>
      <c r="AE567" t="s">
        <v>5712</v>
      </c>
      <c r="AF567" t="s">
        <v>6541</v>
      </c>
      <c r="AG567">
        <v>20223</v>
      </c>
      <c r="AH567">
        <v>2074</v>
      </c>
      <c r="AI567">
        <v>1504451</v>
      </c>
      <c r="AJ567">
        <v>1.1499999999999999</v>
      </c>
    </row>
    <row r="568" spans="1:36">
      <c r="A568" s="1" t="s">
        <v>602</v>
      </c>
      <c r="B568" t="s">
        <v>1466</v>
      </c>
      <c r="C568" t="str">
        <f>HYPERLINK("https://finance.naver.com/item/coinfo.nhn?code=090350", "A090350")</f>
        <v>A090350</v>
      </c>
      <c r="D568" t="str">
        <f>HYPERLINK("http://comp.fnguide.com/SVO2/ASP/SVD_Consensus.asp?pGB=1&amp;gicode=A090350&amp;cID=&amp;MenuYn=Y&amp;ReportGB=&amp;NewMenuID=108&amp;stkGb=701", "노루페인트")</f>
        <v>노루페인트</v>
      </c>
      <c r="E568">
        <v>3</v>
      </c>
      <c r="F568">
        <v>9180</v>
      </c>
      <c r="G568">
        <v>0</v>
      </c>
      <c r="H568">
        <v>8.82</v>
      </c>
      <c r="I568">
        <v>12395</v>
      </c>
      <c r="J568">
        <v>14636</v>
      </c>
      <c r="K568">
        <v>15273</v>
      </c>
      <c r="L568">
        <v>-35.020000000000003</v>
      </c>
      <c r="M568">
        <v>-59.43</v>
      </c>
      <c r="N568">
        <v>-66.37</v>
      </c>
      <c r="O568">
        <v>6.11</v>
      </c>
      <c r="P568" t="b">
        <v>1</v>
      </c>
      <c r="Q568">
        <v>0</v>
      </c>
      <c r="R568">
        <v>924</v>
      </c>
      <c r="U568" t="s">
        <v>2330</v>
      </c>
      <c r="V568" t="s">
        <v>3194</v>
      </c>
      <c r="W568">
        <v>0</v>
      </c>
      <c r="X568">
        <v>-1.2</v>
      </c>
      <c r="Y568" t="s">
        <v>4004</v>
      </c>
      <c r="Z568">
        <v>-10.628074829354521</v>
      </c>
      <c r="AA568">
        <v>1836</v>
      </c>
      <c r="AB568">
        <v>197505</v>
      </c>
      <c r="AC568" t="s">
        <v>4849</v>
      </c>
      <c r="AD568">
        <v>53.21</v>
      </c>
      <c r="AE568" t="s">
        <v>5713</v>
      </c>
      <c r="AF568" t="s">
        <v>6542</v>
      </c>
      <c r="AG568">
        <v>6475</v>
      </c>
      <c r="AH568">
        <v>292</v>
      </c>
      <c r="AJ568">
        <v>3.37</v>
      </c>
    </row>
    <row r="569" spans="1:36">
      <c r="A569" s="1" t="s">
        <v>603</v>
      </c>
      <c r="B569" t="s">
        <v>1467</v>
      </c>
      <c r="C569" t="str">
        <f>HYPERLINK("https://finance.naver.com/item/coinfo.nhn?code=000320", "A000320")</f>
        <v>A000320</v>
      </c>
      <c r="D569" t="str">
        <f>HYPERLINK("http://comp.fnguide.com/SVO2/ASP/SVD_Consensus.asp?pGB=1&amp;gicode=A000320&amp;cID=&amp;MenuYn=Y&amp;ReportGB=&amp;NewMenuID=108&amp;stkGb=701", "노루홀딩스")</f>
        <v>노루홀딩스</v>
      </c>
      <c r="E569">
        <v>3</v>
      </c>
      <c r="F569">
        <v>10900</v>
      </c>
      <c r="G569">
        <v>0</v>
      </c>
      <c r="H569">
        <v>36.82</v>
      </c>
      <c r="I569">
        <v>11555</v>
      </c>
      <c r="J569">
        <v>26082</v>
      </c>
      <c r="K569">
        <v>30210</v>
      </c>
      <c r="L569">
        <v>-6.01</v>
      </c>
      <c r="M569">
        <v>-139.28</v>
      </c>
      <c r="N569">
        <v>-177.16</v>
      </c>
      <c r="O569">
        <v>2.57</v>
      </c>
      <c r="P569" t="b">
        <v>0</v>
      </c>
      <c r="Q569">
        <v>0</v>
      </c>
      <c r="R569">
        <v>339</v>
      </c>
      <c r="U569" t="s">
        <v>2331</v>
      </c>
      <c r="V569" t="s">
        <v>3195</v>
      </c>
      <c r="W569">
        <v>0</v>
      </c>
      <c r="X569">
        <v>26.2</v>
      </c>
      <c r="Y569" t="s">
        <v>4005</v>
      </c>
      <c r="Z569">
        <v>-5.8904843643311944</v>
      </c>
      <c r="AA569">
        <v>1449</v>
      </c>
      <c r="AB569">
        <v>64149</v>
      </c>
      <c r="AC569" t="s">
        <v>4850</v>
      </c>
      <c r="AD569">
        <v>46.42</v>
      </c>
      <c r="AE569" t="s">
        <v>5714</v>
      </c>
      <c r="AF569" t="s">
        <v>6543</v>
      </c>
      <c r="AG569">
        <v>8843</v>
      </c>
      <c r="AH569">
        <v>250</v>
      </c>
      <c r="AI569">
        <v>3058437</v>
      </c>
      <c r="AJ569">
        <v>3.2</v>
      </c>
    </row>
    <row r="570" spans="1:36">
      <c r="A570" s="1" t="s">
        <v>604</v>
      </c>
      <c r="B570" t="s">
        <v>1468</v>
      </c>
      <c r="C570" t="str">
        <f>HYPERLINK("https://finance.naver.com/item/coinfo.nhn?code=072710", "A072710")</f>
        <v>A072710</v>
      </c>
      <c r="D570" t="str">
        <f>HYPERLINK("http://comp.fnguide.com/SVO2/ASP/SVD_Consensus.asp?pGB=1&amp;gicode=A072710&amp;cID=&amp;MenuYn=Y&amp;ReportGB=&amp;NewMenuID=108&amp;stkGb=701", "농심홀딩스")</f>
        <v>농심홀딩스</v>
      </c>
      <c r="E570">
        <v>3</v>
      </c>
      <c r="F570">
        <v>74800</v>
      </c>
      <c r="G570">
        <v>0</v>
      </c>
      <c r="H570">
        <v>9.9499999999999993</v>
      </c>
      <c r="I570">
        <v>114637</v>
      </c>
      <c r="J570">
        <v>165108</v>
      </c>
      <c r="K570">
        <v>179451</v>
      </c>
      <c r="L570">
        <v>-53.26</v>
      </c>
      <c r="M570">
        <v>-120.73</v>
      </c>
      <c r="N570">
        <v>-139.91</v>
      </c>
      <c r="O570">
        <v>4.58</v>
      </c>
      <c r="P570" t="b">
        <v>0</v>
      </c>
      <c r="Q570">
        <v>0</v>
      </c>
      <c r="R570">
        <v>7887</v>
      </c>
      <c r="U570" t="s">
        <v>2332</v>
      </c>
      <c r="V570" t="s">
        <v>3196</v>
      </c>
      <c r="W570">
        <v>0</v>
      </c>
      <c r="X570">
        <v>102.2</v>
      </c>
      <c r="Y570" t="s">
        <v>4006</v>
      </c>
      <c r="Z570">
        <v>9.2167535084029204</v>
      </c>
      <c r="AA570">
        <v>3469</v>
      </c>
      <c r="AB570">
        <v>9871</v>
      </c>
      <c r="AC570" t="s">
        <v>4851</v>
      </c>
      <c r="AD570">
        <v>66.599999999999994</v>
      </c>
      <c r="AE570" t="s">
        <v>5715</v>
      </c>
      <c r="AF570" t="s">
        <v>6544</v>
      </c>
      <c r="AG570">
        <v>5367</v>
      </c>
      <c r="AH570">
        <v>413</v>
      </c>
      <c r="AJ570">
        <v>2.5499999999999998</v>
      </c>
    </row>
    <row r="571" spans="1:36">
      <c r="A571" s="1" t="s">
        <v>605</v>
      </c>
      <c r="B571" t="s">
        <v>1469</v>
      </c>
      <c r="C571" t="str">
        <f>HYPERLINK("https://finance.naver.com/item/coinfo.nhn?code=058730", "A058730")</f>
        <v>A058730</v>
      </c>
      <c r="D571" t="str">
        <f>HYPERLINK("http://comp.fnguide.com/SVO2/ASP/SVD_Consensus.asp?pGB=1&amp;gicode=A058730&amp;cID=&amp;MenuYn=Y&amp;ReportGB=&amp;NewMenuID=108&amp;stkGb=701", "다스코")</f>
        <v>다스코</v>
      </c>
      <c r="E571">
        <v>3</v>
      </c>
      <c r="F571">
        <v>5130</v>
      </c>
      <c r="G571">
        <v>0</v>
      </c>
      <c r="H571">
        <v>56.65</v>
      </c>
      <c r="I571">
        <v>8803</v>
      </c>
      <c r="J571">
        <v>8507</v>
      </c>
      <c r="K571">
        <v>8423</v>
      </c>
      <c r="L571">
        <v>-71.599999999999994</v>
      </c>
      <c r="M571">
        <v>-65.83</v>
      </c>
      <c r="N571">
        <v>-64.19</v>
      </c>
      <c r="O571">
        <v>8.41</v>
      </c>
      <c r="P571" t="b">
        <v>0</v>
      </c>
      <c r="Q571">
        <v>0</v>
      </c>
      <c r="R571">
        <v>123</v>
      </c>
      <c r="U571" t="s">
        <v>2333</v>
      </c>
      <c r="V571" t="s">
        <v>3197</v>
      </c>
      <c r="W571">
        <v>0</v>
      </c>
      <c r="X571">
        <v>0</v>
      </c>
      <c r="Y571" t="s">
        <v>4007</v>
      </c>
      <c r="Z571">
        <v>-33.752217958030663</v>
      </c>
      <c r="AA571">
        <v>790</v>
      </c>
      <c r="AB571">
        <v>70589</v>
      </c>
      <c r="AC571" t="s">
        <v>4852</v>
      </c>
      <c r="AD571">
        <v>40.94</v>
      </c>
      <c r="AE571" t="s">
        <v>5716</v>
      </c>
      <c r="AF571" t="s">
        <v>6545</v>
      </c>
      <c r="AG571">
        <v>2162</v>
      </c>
      <c r="AH571">
        <v>31</v>
      </c>
      <c r="AI571">
        <v>564090</v>
      </c>
    </row>
    <row r="572" spans="1:36">
      <c r="A572" s="1" t="s">
        <v>606</v>
      </c>
      <c r="B572" t="s">
        <v>1470</v>
      </c>
      <c r="C572" t="str">
        <f>HYPERLINK("https://finance.naver.com/item/coinfo.nhn?code=023590", "A023590")</f>
        <v>A023590</v>
      </c>
      <c r="D572" t="str">
        <f>HYPERLINK("http://comp.fnguide.com/SVO2/ASP/SVD_Consensus.asp?pGB=1&amp;gicode=A023590&amp;cID=&amp;MenuYn=Y&amp;ReportGB=&amp;NewMenuID=108&amp;stkGb=701", "다우기술")</f>
        <v>다우기술</v>
      </c>
      <c r="E572">
        <v>3</v>
      </c>
      <c r="F572">
        <v>22050</v>
      </c>
      <c r="G572">
        <v>0</v>
      </c>
      <c r="H572">
        <v>4.5999999999999996</v>
      </c>
      <c r="I572">
        <v>48567</v>
      </c>
      <c r="J572">
        <v>37927</v>
      </c>
      <c r="K572">
        <v>34903</v>
      </c>
      <c r="L572">
        <v>-120.26</v>
      </c>
      <c r="M572">
        <v>-72.010000000000005</v>
      </c>
      <c r="N572">
        <v>-58.29</v>
      </c>
      <c r="O572">
        <v>12.49</v>
      </c>
      <c r="P572" t="b">
        <v>1</v>
      </c>
      <c r="Q572">
        <v>0</v>
      </c>
      <c r="R572">
        <v>4130</v>
      </c>
      <c r="U572" t="s">
        <v>2334</v>
      </c>
      <c r="V572" t="s">
        <v>3198</v>
      </c>
      <c r="W572">
        <v>0</v>
      </c>
      <c r="X572">
        <v>71.3</v>
      </c>
      <c r="Y572" t="s">
        <v>4008</v>
      </c>
      <c r="Z572">
        <v>25.219703135634791</v>
      </c>
      <c r="AA572">
        <v>9893</v>
      </c>
      <c r="AB572">
        <v>205792</v>
      </c>
      <c r="AC572" t="s">
        <v>4853</v>
      </c>
      <c r="AD572">
        <v>46.72</v>
      </c>
      <c r="AE572" t="s">
        <v>5717</v>
      </c>
      <c r="AF572" t="s">
        <v>6546</v>
      </c>
      <c r="AG572">
        <v>32455</v>
      </c>
      <c r="AH572">
        <v>5075</v>
      </c>
      <c r="AI572">
        <v>1600000</v>
      </c>
      <c r="AJ572">
        <v>2.11</v>
      </c>
    </row>
    <row r="573" spans="1:36">
      <c r="A573" s="1" t="s">
        <v>607</v>
      </c>
      <c r="B573" t="s">
        <v>1471</v>
      </c>
      <c r="C573" t="str">
        <f>HYPERLINK("https://finance.naver.com/item/coinfo.nhn?code=013580", "A013580")</f>
        <v>A013580</v>
      </c>
      <c r="D573" t="str">
        <f>HYPERLINK("http://comp.fnguide.com/SVO2/ASP/SVD_Consensus.asp?pGB=1&amp;gicode=A013580&amp;cID=&amp;MenuYn=Y&amp;ReportGB=&amp;NewMenuID=108&amp;stkGb=701", "계룡건설")</f>
        <v>계룡건설</v>
      </c>
      <c r="E573">
        <v>3</v>
      </c>
      <c r="F573">
        <v>27050</v>
      </c>
      <c r="G573">
        <v>0</v>
      </c>
      <c r="H573">
        <v>2.5299999999999998</v>
      </c>
      <c r="I573">
        <v>125108</v>
      </c>
      <c r="J573">
        <v>80632</v>
      </c>
      <c r="K573">
        <v>67992</v>
      </c>
      <c r="L573">
        <v>-362.51</v>
      </c>
      <c r="M573">
        <v>-198.08</v>
      </c>
      <c r="N573">
        <v>-151.36000000000001</v>
      </c>
      <c r="O573">
        <v>19.41</v>
      </c>
      <c r="P573" t="b">
        <v>1</v>
      </c>
      <c r="Q573">
        <v>0</v>
      </c>
      <c r="R573">
        <v>8013</v>
      </c>
      <c r="U573" t="s">
        <v>2335</v>
      </c>
      <c r="V573" t="s">
        <v>3199</v>
      </c>
      <c r="W573">
        <v>0</v>
      </c>
      <c r="X573">
        <v>34.799999999999997</v>
      </c>
      <c r="Y573" t="s">
        <v>4009</v>
      </c>
      <c r="Z573">
        <v>43.826187660550907</v>
      </c>
      <c r="AA573">
        <v>2416</v>
      </c>
      <c r="AB573">
        <v>133531</v>
      </c>
      <c r="AC573" t="s">
        <v>4854</v>
      </c>
      <c r="AD573">
        <v>39.44</v>
      </c>
      <c r="AE573" t="s">
        <v>5718</v>
      </c>
      <c r="AF573" t="s">
        <v>6547</v>
      </c>
      <c r="AG573">
        <v>22757</v>
      </c>
      <c r="AH573">
        <v>1359</v>
      </c>
      <c r="AI573">
        <v>73110</v>
      </c>
      <c r="AJ573">
        <v>2.96</v>
      </c>
    </row>
    <row r="574" spans="1:36">
      <c r="A574" s="1" t="s">
        <v>608</v>
      </c>
      <c r="B574" t="s">
        <v>1472</v>
      </c>
      <c r="C574" t="str">
        <f>HYPERLINK("https://finance.naver.com/item/coinfo.nhn?code=009140", "A009140")</f>
        <v>A009140</v>
      </c>
      <c r="D574" t="str">
        <f>HYPERLINK("http://comp.fnguide.com/SVO2/ASP/SVD_Consensus.asp?pGB=1&amp;gicode=A009140&amp;cID=&amp;MenuYn=Y&amp;ReportGB=&amp;NewMenuID=108&amp;stkGb=701", "경인전자")</f>
        <v>경인전자</v>
      </c>
      <c r="E574">
        <v>3</v>
      </c>
      <c r="F574">
        <v>23800</v>
      </c>
      <c r="G574">
        <v>0</v>
      </c>
      <c r="H574">
        <v>133.13999999999999</v>
      </c>
      <c r="I574">
        <v>1187</v>
      </c>
      <c r="J574">
        <v>25670</v>
      </c>
      <c r="K574">
        <v>32627</v>
      </c>
      <c r="L574">
        <v>95.01</v>
      </c>
      <c r="M574">
        <v>-7.86</v>
      </c>
      <c r="N574">
        <v>-37.090000000000003</v>
      </c>
      <c r="O574">
        <v>0.23</v>
      </c>
      <c r="P574" t="b">
        <v>0</v>
      </c>
      <c r="Q574">
        <v>0</v>
      </c>
      <c r="R574">
        <v>155</v>
      </c>
      <c r="U574" t="s">
        <v>2336</v>
      </c>
      <c r="V574" t="s">
        <v>3200</v>
      </c>
      <c r="W574">
        <v>0</v>
      </c>
      <c r="X574">
        <v>0</v>
      </c>
      <c r="Y574" t="s">
        <v>4010</v>
      </c>
      <c r="Z574">
        <v>121.1</v>
      </c>
      <c r="AA574">
        <v>374</v>
      </c>
      <c r="AB574">
        <v>2473</v>
      </c>
      <c r="AC574" t="s">
        <v>4855</v>
      </c>
      <c r="AD574">
        <v>49.98</v>
      </c>
      <c r="AE574" t="s">
        <v>5719</v>
      </c>
      <c r="AF574" t="s">
        <v>6548</v>
      </c>
      <c r="AG574">
        <v>133</v>
      </c>
      <c r="AH574">
        <v>-16</v>
      </c>
      <c r="AI574">
        <v>269410</v>
      </c>
      <c r="AJ574">
        <v>1.21</v>
      </c>
    </row>
    <row r="575" spans="1:36">
      <c r="A575" s="1" t="s">
        <v>609</v>
      </c>
      <c r="B575" t="s">
        <v>1473</v>
      </c>
      <c r="C575" t="str">
        <f>HYPERLINK("https://finance.naver.com/item/coinfo.nhn?code=000050", "A000050")</f>
        <v>A000050</v>
      </c>
      <c r="D575" t="str">
        <f>HYPERLINK("http://comp.fnguide.com/SVO2/ASP/SVD_Consensus.asp?pGB=1&amp;gicode=A000050&amp;cID=&amp;MenuYn=Y&amp;ReportGB=&amp;NewMenuID=108&amp;stkGb=701", "경방")</f>
        <v>경방</v>
      </c>
      <c r="E575">
        <v>3</v>
      </c>
      <c r="F575">
        <v>12050</v>
      </c>
      <c r="G575">
        <v>0</v>
      </c>
      <c r="H575">
        <v>5.83</v>
      </c>
      <c r="I575">
        <v>16419</v>
      </c>
      <c r="J575">
        <v>23692</v>
      </c>
      <c r="K575">
        <v>25758</v>
      </c>
      <c r="L575">
        <v>-36.26</v>
      </c>
      <c r="M575">
        <v>-96.61</v>
      </c>
      <c r="N575">
        <v>-113.76</v>
      </c>
      <c r="O575">
        <v>4.57</v>
      </c>
      <c r="P575" t="b">
        <v>1</v>
      </c>
      <c r="Q575">
        <v>0</v>
      </c>
      <c r="R575">
        <v>1591</v>
      </c>
      <c r="U575" t="s">
        <v>2337</v>
      </c>
      <c r="V575" t="s">
        <v>3201</v>
      </c>
      <c r="W575">
        <v>0</v>
      </c>
      <c r="X575">
        <v>33.6</v>
      </c>
      <c r="Y575" t="s">
        <v>4011</v>
      </c>
      <c r="Z575">
        <v>28.424946283323951</v>
      </c>
      <c r="AA575">
        <v>3304</v>
      </c>
      <c r="AB575">
        <v>29704</v>
      </c>
      <c r="AC575" t="s">
        <v>4856</v>
      </c>
      <c r="AD575">
        <v>59.15</v>
      </c>
      <c r="AE575" t="s">
        <v>5720</v>
      </c>
      <c r="AF575" t="s">
        <v>6549</v>
      </c>
      <c r="AG575">
        <v>3439</v>
      </c>
      <c r="AH575">
        <v>320</v>
      </c>
      <c r="AI575">
        <v>1400000</v>
      </c>
      <c r="AJ575">
        <v>1.35</v>
      </c>
    </row>
    <row r="576" spans="1:36">
      <c r="A576" s="1" t="s">
        <v>610</v>
      </c>
      <c r="B576" t="s">
        <v>1474</v>
      </c>
      <c r="C576" t="str">
        <f>HYPERLINK("https://finance.naver.com/item/coinfo.nhn?code=012320", "A012320")</f>
        <v>A012320</v>
      </c>
      <c r="D576" t="str">
        <f>HYPERLINK("http://comp.fnguide.com/SVO2/ASP/SVD_Consensus.asp?pGB=1&amp;gicode=A012320&amp;cID=&amp;MenuYn=Y&amp;ReportGB=&amp;NewMenuID=108&amp;stkGb=701", "경동인베스트")</f>
        <v>경동인베스트</v>
      </c>
      <c r="E576">
        <v>3</v>
      </c>
      <c r="F576">
        <v>31300</v>
      </c>
      <c r="G576">
        <v>0</v>
      </c>
      <c r="H576">
        <v>9.52</v>
      </c>
      <c r="I576">
        <v>127994</v>
      </c>
      <c r="J576">
        <v>163213</v>
      </c>
      <c r="K576">
        <v>173222</v>
      </c>
      <c r="L576">
        <v>-308.93</v>
      </c>
      <c r="M576">
        <v>-421.45</v>
      </c>
      <c r="N576">
        <v>-453.42</v>
      </c>
      <c r="O576">
        <v>5.45</v>
      </c>
      <c r="P576" t="b">
        <v>0</v>
      </c>
      <c r="Q576">
        <v>0</v>
      </c>
      <c r="R576">
        <v>3850</v>
      </c>
      <c r="U576" t="s">
        <v>2338</v>
      </c>
      <c r="V576" t="s">
        <v>3202</v>
      </c>
      <c r="W576">
        <v>0</v>
      </c>
      <c r="X576">
        <v>-35.1</v>
      </c>
      <c r="Y576" t="s">
        <v>4012</v>
      </c>
      <c r="Z576">
        <v>-16.542523659439851</v>
      </c>
      <c r="AA576">
        <v>740</v>
      </c>
      <c r="AB576">
        <v>5031</v>
      </c>
      <c r="AC576" t="s">
        <v>4857</v>
      </c>
      <c r="AD576">
        <v>54.29</v>
      </c>
      <c r="AE576" t="s">
        <v>5721</v>
      </c>
      <c r="AF576" t="s">
        <v>6550</v>
      </c>
      <c r="AG576">
        <v>2718</v>
      </c>
      <c r="AH576">
        <v>220</v>
      </c>
      <c r="AI576">
        <v>184671</v>
      </c>
      <c r="AJ576">
        <v>1.36</v>
      </c>
    </row>
    <row r="577" spans="1:36">
      <c r="A577" s="1" t="s">
        <v>611</v>
      </c>
      <c r="B577" t="s">
        <v>1475</v>
      </c>
      <c r="C577" t="str">
        <f>HYPERLINK("https://finance.naver.com/item/coinfo.nhn?code=036530", "A036530")</f>
        <v>A036530</v>
      </c>
      <c r="D577" t="str">
        <f>HYPERLINK("http://comp.fnguide.com/SVO2/ASP/SVD_Consensus.asp?pGB=1&amp;gicode=A036530&amp;cID=&amp;MenuYn=Y&amp;ReportGB=&amp;NewMenuID=108&amp;stkGb=701", "S&amp;T홀딩스")</f>
        <v>S&amp;T홀딩스</v>
      </c>
      <c r="E577">
        <v>3</v>
      </c>
      <c r="F577">
        <v>15200</v>
      </c>
      <c r="G577">
        <v>0</v>
      </c>
      <c r="H577">
        <v>4.03</v>
      </c>
      <c r="I577">
        <v>39430</v>
      </c>
      <c r="J577">
        <v>46928</v>
      </c>
      <c r="K577">
        <v>49058</v>
      </c>
      <c r="L577">
        <v>-159.41</v>
      </c>
      <c r="M577">
        <v>-208.73</v>
      </c>
      <c r="N577">
        <v>-222.75</v>
      </c>
      <c r="O577">
        <v>6.03</v>
      </c>
      <c r="P577" t="b">
        <v>1</v>
      </c>
      <c r="Q577">
        <v>0</v>
      </c>
      <c r="R577">
        <v>3835</v>
      </c>
      <c r="U577" t="s">
        <v>2339</v>
      </c>
      <c r="V577" t="s">
        <v>3203</v>
      </c>
      <c r="W577">
        <v>0</v>
      </c>
      <c r="X577">
        <v>-29.3</v>
      </c>
      <c r="Y577" t="s">
        <v>4013</v>
      </c>
      <c r="Z577">
        <v>6.1706736313803301</v>
      </c>
      <c r="AA577">
        <v>2478</v>
      </c>
      <c r="AB577">
        <v>10658</v>
      </c>
      <c r="AC577" t="s">
        <v>4858</v>
      </c>
      <c r="AD577">
        <v>63.17</v>
      </c>
      <c r="AE577" t="s">
        <v>5722</v>
      </c>
      <c r="AF577" t="s">
        <v>6551</v>
      </c>
      <c r="AG577">
        <v>15121</v>
      </c>
      <c r="AH577">
        <v>1263</v>
      </c>
      <c r="AI577">
        <v>1538384</v>
      </c>
      <c r="AJ577">
        <v>3.24</v>
      </c>
    </row>
    <row r="578" spans="1:36">
      <c r="A578" s="1" t="s">
        <v>612</v>
      </c>
      <c r="B578" t="s">
        <v>1476</v>
      </c>
      <c r="C578" t="str">
        <f>HYPERLINK("https://finance.naver.com/item/coinfo.nhn?code=034120", "A034120")</f>
        <v>A034120</v>
      </c>
      <c r="D578" t="str">
        <f>HYPERLINK("http://comp.fnguide.com/SVO2/ASP/SVD_Consensus.asp?pGB=1&amp;gicode=A034120&amp;cID=&amp;MenuYn=Y&amp;ReportGB=&amp;NewMenuID=108&amp;stkGb=701", "SBS")</f>
        <v>SBS</v>
      </c>
      <c r="E578">
        <v>3</v>
      </c>
      <c r="F578">
        <v>21350</v>
      </c>
      <c r="G578">
        <v>0</v>
      </c>
      <c r="H578">
        <v>19.27</v>
      </c>
      <c r="I578">
        <v>10213</v>
      </c>
      <c r="J578">
        <v>23809</v>
      </c>
      <c r="K578">
        <v>27672</v>
      </c>
      <c r="L578">
        <v>52.16</v>
      </c>
      <c r="M578">
        <v>-11.52</v>
      </c>
      <c r="N578">
        <v>-29.61</v>
      </c>
      <c r="O578">
        <v>2.4700000000000002</v>
      </c>
      <c r="P578" t="b">
        <v>1</v>
      </c>
      <c r="Q578">
        <v>0</v>
      </c>
      <c r="R578">
        <v>1079</v>
      </c>
      <c r="S578">
        <v>-3342</v>
      </c>
      <c r="T578">
        <v>-409.7</v>
      </c>
      <c r="U578" t="s">
        <v>2340</v>
      </c>
      <c r="V578" t="s">
        <v>3204</v>
      </c>
      <c r="W578">
        <v>0</v>
      </c>
      <c r="X578">
        <v>0</v>
      </c>
      <c r="Y578" t="s">
        <v>4014</v>
      </c>
      <c r="Z578">
        <v>14.480566036336491</v>
      </c>
      <c r="AA578">
        <v>3897</v>
      </c>
      <c r="AB578">
        <v>196824</v>
      </c>
      <c r="AC578" t="s">
        <v>4859</v>
      </c>
      <c r="AD578">
        <v>36.92</v>
      </c>
      <c r="AE578" t="s">
        <v>5723</v>
      </c>
      <c r="AF578" t="s">
        <v>6552</v>
      </c>
      <c r="AG578">
        <v>8177</v>
      </c>
      <c r="AH578">
        <v>126</v>
      </c>
      <c r="AI578">
        <v>562514</v>
      </c>
      <c r="AJ578">
        <v>0.72</v>
      </c>
    </row>
    <row r="579" spans="1:36">
      <c r="A579" s="1" t="s">
        <v>613</v>
      </c>
      <c r="B579" t="s">
        <v>1477</v>
      </c>
      <c r="C579" t="str">
        <f>HYPERLINK("https://finance.naver.com/item/coinfo.nhn?code=101060", "A101060")</f>
        <v>A101060</v>
      </c>
      <c r="D579" t="str">
        <f>HYPERLINK("http://comp.fnguide.com/SVO2/ASP/SVD_Consensus.asp?pGB=1&amp;gicode=A101060&amp;cID=&amp;MenuYn=Y&amp;ReportGB=&amp;NewMenuID=108&amp;stkGb=701", "SBS미디어홀딩스")</f>
        <v>SBS미디어홀딩스</v>
      </c>
      <c r="E579">
        <v>3</v>
      </c>
      <c r="F579">
        <v>1825</v>
      </c>
      <c r="G579">
        <v>0</v>
      </c>
      <c r="I579">
        <v>379</v>
      </c>
      <c r="J579">
        <v>2906</v>
      </c>
      <c r="K579">
        <v>3624</v>
      </c>
      <c r="L579">
        <v>79.25</v>
      </c>
      <c r="M579">
        <v>-59.24</v>
      </c>
      <c r="N579">
        <v>-98.6</v>
      </c>
      <c r="O579">
        <v>0.66</v>
      </c>
      <c r="P579" t="b">
        <v>0</v>
      </c>
      <c r="Q579">
        <v>0</v>
      </c>
      <c r="R579">
        <v>-753</v>
      </c>
      <c r="U579" t="s">
        <v>2341</v>
      </c>
      <c r="V579" t="s">
        <v>3205</v>
      </c>
      <c r="W579">
        <v>0</v>
      </c>
      <c r="X579">
        <v>0</v>
      </c>
      <c r="Y579" t="s">
        <v>4015</v>
      </c>
      <c r="Z579">
        <v>-20.43238693712593</v>
      </c>
      <c r="AA579">
        <v>2553</v>
      </c>
      <c r="AB579">
        <v>275980</v>
      </c>
      <c r="AC579" t="s">
        <v>4860</v>
      </c>
      <c r="AD579">
        <v>61.42</v>
      </c>
      <c r="AE579" t="s">
        <v>5724</v>
      </c>
      <c r="AF579" t="s">
        <v>6553</v>
      </c>
      <c r="AG579">
        <v>2398</v>
      </c>
      <c r="AH579">
        <v>48</v>
      </c>
      <c r="AI579">
        <v>12739487</v>
      </c>
    </row>
    <row r="580" spans="1:36">
      <c r="A580" s="1" t="s">
        <v>614</v>
      </c>
      <c r="B580" t="s">
        <v>1478</v>
      </c>
      <c r="C580" t="str">
        <f>HYPERLINK("https://finance.naver.com/item/coinfo.nhn?code=004060", "A004060")</f>
        <v>A004060</v>
      </c>
      <c r="D580" t="str">
        <f>HYPERLINK("http://comp.fnguide.com/SVO2/ASP/SVD_Consensus.asp?pGB=1&amp;gicode=A004060&amp;cID=&amp;MenuYn=Y&amp;ReportGB=&amp;NewMenuID=108&amp;stkGb=701", "SG세계물산")</f>
        <v>SG세계물산</v>
      </c>
      <c r="E580">
        <v>3</v>
      </c>
      <c r="F580">
        <v>602</v>
      </c>
      <c r="G580">
        <v>0</v>
      </c>
      <c r="H580">
        <v>18.93</v>
      </c>
      <c r="I580">
        <v>452</v>
      </c>
      <c r="J580">
        <v>789</v>
      </c>
      <c r="K580">
        <v>885</v>
      </c>
      <c r="L580">
        <v>24.86</v>
      </c>
      <c r="M580">
        <v>-31.1</v>
      </c>
      <c r="N580">
        <v>-47</v>
      </c>
      <c r="O580">
        <v>3.55</v>
      </c>
      <c r="P580" t="b">
        <v>1</v>
      </c>
      <c r="Q580">
        <v>0</v>
      </c>
      <c r="R580">
        <v>48</v>
      </c>
      <c r="U580" t="s">
        <v>2342</v>
      </c>
      <c r="V580" t="s">
        <v>3206</v>
      </c>
      <c r="W580">
        <v>0</v>
      </c>
      <c r="X580">
        <v>0</v>
      </c>
      <c r="Y580" t="s">
        <v>4016</v>
      </c>
      <c r="Z580">
        <v>44.7</v>
      </c>
      <c r="AA580">
        <v>1219</v>
      </c>
      <c r="AB580">
        <v>514659</v>
      </c>
      <c r="AC580" t="s">
        <v>4861</v>
      </c>
      <c r="AD580">
        <v>50.61</v>
      </c>
      <c r="AE580" t="s">
        <v>5725</v>
      </c>
      <c r="AF580" t="s">
        <v>6554</v>
      </c>
      <c r="AG580">
        <v>3125</v>
      </c>
      <c r="AH580">
        <v>5</v>
      </c>
    </row>
    <row r="581" spans="1:36">
      <c r="A581" s="1" t="s">
        <v>615</v>
      </c>
      <c r="B581" t="s">
        <v>1479</v>
      </c>
      <c r="C581" t="str">
        <f>HYPERLINK("https://finance.naver.com/item/coinfo.nhn?code=001380", "A001380")</f>
        <v>A001380</v>
      </c>
      <c r="D581" t="str">
        <f>HYPERLINK("http://comp.fnguide.com/SVO2/ASP/SVD_Consensus.asp?pGB=1&amp;gicode=A001380&amp;cID=&amp;MenuYn=Y&amp;ReportGB=&amp;NewMenuID=108&amp;stkGb=701", "SG충방")</f>
        <v>SG충방</v>
      </c>
      <c r="E581">
        <v>3</v>
      </c>
      <c r="F581">
        <v>2075</v>
      </c>
      <c r="G581">
        <v>0</v>
      </c>
      <c r="H581">
        <v>102.96</v>
      </c>
      <c r="I581">
        <v>440</v>
      </c>
      <c r="J581">
        <v>1916</v>
      </c>
      <c r="K581">
        <v>2336</v>
      </c>
      <c r="L581">
        <v>78.81</v>
      </c>
      <c r="M581">
        <v>7.66</v>
      </c>
      <c r="N581">
        <v>-12.56</v>
      </c>
      <c r="O581">
        <v>1.21</v>
      </c>
      <c r="P581" t="b">
        <v>0</v>
      </c>
      <c r="Q581">
        <v>0</v>
      </c>
      <c r="R581">
        <v>17</v>
      </c>
      <c r="U581" t="s">
        <v>2343</v>
      </c>
      <c r="V581" t="s">
        <v>3207</v>
      </c>
      <c r="W581">
        <v>0</v>
      </c>
      <c r="X581">
        <v>0</v>
      </c>
      <c r="Y581" t="s">
        <v>4017</v>
      </c>
      <c r="Z581">
        <v>42.990069585268742</v>
      </c>
      <c r="AA581">
        <v>933</v>
      </c>
      <c r="AB581">
        <v>420133</v>
      </c>
      <c r="AC581" t="s">
        <v>4862</v>
      </c>
      <c r="AD581">
        <v>58.53</v>
      </c>
      <c r="AE581" t="s">
        <v>5726</v>
      </c>
      <c r="AF581" t="s">
        <v>6555</v>
      </c>
      <c r="AG581">
        <v>1258</v>
      </c>
      <c r="AH581">
        <v>39</v>
      </c>
    </row>
    <row r="582" spans="1:36">
      <c r="A582" s="1" t="s">
        <v>616</v>
      </c>
      <c r="B582" t="s">
        <v>1480</v>
      </c>
      <c r="C582" t="str">
        <f>HYPERLINK("https://finance.naver.com/item/coinfo.nhn?code=009160", "A009160")</f>
        <v>A009160</v>
      </c>
      <c r="D582" t="str">
        <f>HYPERLINK("http://comp.fnguide.com/SVO2/ASP/SVD_Consensus.asp?pGB=1&amp;gicode=A009160&amp;cID=&amp;MenuYn=Y&amp;ReportGB=&amp;NewMenuID=108&amp;stkGb=701", "SIMPAC")</f>
        <v>SIMPAC</v>
      </c>
      <c r="E582">
        <v>3</v>
      </c>
      <c r="F582">
        <v>2430</v>
      </c>
      <c r="G582">
        <v>0</v>
      </c>
      <c r="H582">
        <v>20.309999999999999</v>
      </c>
      <c r="I582">
        <v>8511</v>
      </c>
      <c r="J582">
        <v>8008</v>
      </c>
      <c r="K582">
        <v>7865</v>
      </c>
      <c r="L582">
        <v>-250.25</v>
      </c>
      <c r="M582">
        <v>-229.54</v>
      </c>
      <c r="N582">
        <v>-223.66</v>
      </c>
      <c r="O582">
        <v>8.8000000000000007</v>
      </c>
      <c r="P582" t="b">
        <v>1</v>
      </c>
      <c r="Q582">
        <v>0</v>
      </c>
      <c r="R582">
        <v>145</v>
      </c>
      <c r="U582" t="s">
        <v>2344</v>
      </c>
      <c r="V582" t="s">
        <v>3208</v>
      </c>
      <c r="W582">
        <v>0</v>
      </c>
      <c r="X582">
        <v>-46.8</v>
      </c>
      <c r="Y582" t="s">
        <v>4018</v>
      </c>
      <c r="Z582">
        <v>-32.862565935182651</v>
      </c>
      <c r="AA582">
        <v>1590</v>
      </c>
      <c r="AB582">
        <v>75899</v>
      </c>
      <c r="AC582" t="s">
        <v>4863</v>
      </c>
      <c r="AD582">
        <v>60.01</v>
      </c>
      <c r="AE582" t="s">
        <v>5727</v>
      </c>
      <c r="AF582" t="s">
        <v>6556</v>
      </c>
      <c r="AG582">
        <v>4301</v>
      </c>
      <c r="AH582">
        <v>111</v>
      </c>
      <c r="AI582">
        <v>7943224</v>
      </c>
      <c r="AJ582">
        <v>2.04</v>
      </c>
    </row>
    <row r="583" spans="1:36">
      <c r="A583" s="1" t="s">
        <v>617</v>
      </c>
      <c r="B583" t="s">
        <v>1481</v>
      </c>
      <c r="C583" t="str">
        <f>HYPERLINK("https://finance.naver.com/item/coinfo.nhn?code=123700", "A123700")</f>
        <v>A123700</v>
      </c>
      <c r="D583" t="str">
        <f>HYPERLINK("http://comp.fnguide.com/SVO2/ASP/SVD_Consensus.asp?pGB=1&amp;gicode=A123700&amp;cID=&amp;MenuYn=Y&amp;ReportGB=&amp;NewMenuID=108&amp;stkGb=701", "SJM")</f>
        <v>SJM</v>
      </c>
      <c r="E583">
        <v>3</v>
      </c>
      <c r="F583">
        <v>3030</v>
      </c>
      <c r="G583">
        <v>0</v>
      </c>
      <c r="H583">
        <v>8.77</v>
      </c>
      <c r="I583">
        <v>4788</v>
      </c>
      <c r="J583">
        <v>8296</v>
      </c>
      <c r="K583">
        <v>9293</v>
      </c>
      <c r="L583">
        <v>-58.01</v>
      </c>
      <c r="M583">
        <v>-173.79</v>
      </c>
      <c r="N583">
        <v>-206.7</v>
      </c>
      <c r="O583">
        <v>3.58</v>
      </c>
      <c r="P583" t="b">
        <v>1</v>
      </c>
      <c r="Q583">
        <v>0</v>
      </c>
      <c r="R583">
        <v>438</v>
      </c>
      <c r="U583" t="s">
        <v>2345</v>
      </c>
      <c r="V583" t="s">
        <v>3209</v>
      </c>
      <c r="W583">
        <v>0</v>
      </c>
      <c r="X583">
        <v>-46.5</v>
      </c>
      <c r="Y583" t="s">
        <v>4019</v>
      </c>
      <c r="Z583">
        <v>-30.08857054921614</v>
      </c>
      <c r="AA583">
        <v>473</v>
      </c>
      <c r="AB583">
        <v>36423</v>
      </c>
      <c r="AC583" t="s">
        <v>4864</v>
      </c>
      <c r="AD583">
        <v>53.03</v>
      </c>
      <c r="AE583" t="s">
        <v>5728</v>
      </c>
      <c r="AF583" t="s">
        <v>6557</v>
      </c>
      <c r="AG583">
        <v>1577</v>
      </c>
      <c r="AH583">
        <v>65</v>
      </c>
      <c r="AJ583">
        <v>3.26</v>
      </c>
    </row>
    <row r="584" spans="1:36">
      <c r="A584" s="1" t="s">
        <v>618</v>
      </c>
      <c r="B584" t="s">
        <v>1482</v>
      </c>
      <c r="C584" t="str">
        <f>HYPERLINK("https://finance.naver.com/item/coinfo.nhn?code=025530", "A025530")</f>
        <v>A025530</v>
      </c>
      <c r="D584" t="str">
        <f>HYPERLINK("http://comp.fnguide.com/SVO2/ASP/SVD_Consensus.asp?pGB=1&amp;gicode=A025530&amp;cID=&amp;MenuYn=Y&amp;ReportGB=&amp;NewMenuID=108&amp;stkGb=701", "SJM홀딩스")</f>
        <v>SJM홀딩스</v>
      </c>
      <c r="E584">
        <v>3</v>
      </c>
      <c r="F584">
        <v>3010</v>
      </c>
      <c r="G584">
        <v>0</v>
      </c>
      <c r="H584">
        <v>9.82</v>
      </c>
      <c r="I584">
        <v>5867</v>
      </c>
      <c r="J584">
        <v>9010</v>
      </c>
      <c r="K584">
        <v>9903</v>
      </c>
      <c r="L584">
        <v>-94.9</v>
      </c>
      <c r="M584">
        <v>-199.33</v>
      </c>
      <c r="N584">
        <v>-229</v>
      </c>
      <c r="O584">
        <v>4.2</v>
      </c>
      <c r="P584" t="b">
        <v>1</v>
      </c>
      <c r="Q584">
        <v>0</v>
      </c>
      <c r="R584">
        <v>329</v>
      </c>
      <c r="U584" t="s">
        <v>2346</v>
      </c>
      <c r="V584" t="s">
        <v>3210</v>
      </c>
      <c r="W584">
        <v>0</v>
      </c>
      <c r="X584">
        <v>-37.200000000000003</v>
      </c>
      <c r="Y584" t="s">
        <v>4020</v>
      </c>
      <c r="Z584">
        <v>-22.627422280839721</v>
      </c>
      <c r="AA584">
        <v>450</v>
      </c>
      <c r="AB584">
        <v>13356</v>
      </c>
      <c r="AC584" t="s">
        <v>4865</v>
      </c>
      <c r="AD584">
        <v>63.91</v>
      </c>
      <c r="AE584" t="s">
        <v>5729</v>
      </c>
      <c r="AF584" t="s">
        <v>6558</v>
      </c>
      <c r="AG584">
        <v>1608</v>
      </c>
      <c r="AH584">
        <v>63</v>
      </c>
      <c r="AI584">
        <v>1382017</v>
      </c>
      <c r="AJ584">
        <v>5.41</v>
      </c>
    </row>
    <row r="585" spans="1:36">
      <c r="A585" s="1" t="s">
        <v>619</v>
      </c>
      <c r="B585" t="s">
        <v>1483</v>
      </c>
      <c r="C585" t="str">
        <f>HYPERLINK("https://finance.naver.com/item/coinfo.nhn?code=034730", "A034730")</f>
        <v>A034730</v>
      </c>
      <c r="D585" t="str">
        <f>HYPERLINK("http://comp.fnguide.com/SVO2/ASP/SVD_Consensus.asp?pGB=1&amp;gicode=A034730&amp;cID=&amp;MenuYn=Y&amp;ReportGB=&amp;NewMenuID=108&amp;stkGb=701", "SK")</f>
        <v>SK</v>
      </c>
      <c r="E585">
        <v>3</v>
      </c>
      <c r="F585">
        <v>242000</v>
      </c>
      <c r="G585">
        <v>-0.5</v>
      </c>
      <c r="H585">
        <v>25.91</v>
      </c>
      <c r="I585">
        <v>369772</v>
      </c>
      <c r="J585">
        <v>339232</v>
      </c>
      <c r="K585">
        <v>330553</v>
      </c>
      <c r="L585">
        <v>-52.8</v>
      </c>
      <c r="M585">
        <v>-40.18</v>
      </c>
      <c r="N585">
        <v>-36.590000000000003</v>
      </c>
      <c r="O585">
        <v>9.1999999999999993</v>
      </c>
      <c r="P585" t="b">
        <v>0</v>
      </c>
      <c r="Q585">
        <v>0</v>
      </c>
      <c r="R585">
        <v>10113</v>
      </c>
      <c r="S585">
        <v>2637</v>
      </c>
      <c r="T585">
        <v>-73.900000000000006</v>
      </c>
      <c r="U585" t="s">
        <v>2347</v>
      </c>
      <c r="V585" t="s">
        <v>3211</v>
      </c>
      <c r="W585">
        <v>-51.873839695148114</v>
      </c>
      <c r="X585">
        <v>-67.900000000000006</v>
      </c>
      <c r="Y585" t="s">
        <v>4021</v>
      </c>
      <c r="Z585">
        <v>-48.988314135023487</v>
      </c>
      <c r="AA585">
        <v>170272</v>
      </c>
      <c r="AB585">
        <v>229190</v>
      </c>
      <c r="AC585" t="s">
        <v>4866</v>
      </c>
      <c r="AD585">
        <v>29.55</v>
      </c>
      <c r="AE585" t="s">
        <v>5730</v>
      </c>
      <c r="AF585" t="s">
        <v>6559</v>
      </c>
      <c r="AG585">
        <v>992646</v>
      </c>
      <c r="AH585">
        <v>39499</v>
      </c>
      <c r="AI585">
        <v>18055950</v>
      </c>
      <c r="AJ585">
        <v>1.91</v>
      </c>
    </row>
    <row r="586" spans="1:36">
      <c r="A586" s="1" t="s">
        <v>620</v>
      </c>
      <c r="B586" t="s">
        <v>1484</v>
      </c>
      <c r="C586" t="str">
        <f>HYPERLINK("https://finance.naver.com/item/coinfo.nhn?code=018670", "A018670")</f>
        <v>A018670</v>
      </c>
      <c r="D586" t="str">
        <f>HYPERLINK("http://comp.fnguide.com/SVO2/ASP/SVD_Consensus.asp?pGB=1&amp;gicode=A018670&amp;cID=&amp;MenuYn=Y&amp;ReportGB=&amp;NewMenuID=108&amp;stkGb=701", "SK가스")</f>
        <v>SK가스</v>
      </c>
      <c r="E586">
        <v>3</v>
      </c>
      <c r="F586">
        <v>105500</v>
      </c>
      <c r="G586">
        <v>0.13</v>
      </c>
      <c r="H586">
        <v>4.92</v>
      </c>
      <c r="I586">
        <v>173390</v>
      </c>
      <c r="J586">
        <v>180928</v>
      </c>
      <c r="K586">
        <v>183069</v>
      </c>
      <c r="L586">
        <v>-64.349999999999994</v>
      </c>
      <c r="M586">
        <v>-71.5</v>
      </c>
      <c r="N586">
        <v>-73.53</v>
      </c>
      <c r="O586">
        <v>7.4</v>
      </c>
      <c r="P586" t="b">
        <v>1</v>
      </c>
      <c r="Q586">
        <v>2</v>
      </c>
      <c r="R586">
        <v>17212</v>
      </c>
      <c r="S586">
        <v>29439</v>
      </c>
      <c r="T586">
        <v>71</v>
      </c>
      <c r="U586" t="s">
        <v>2348</v>
      </c>
      <c r="V586" t="s">
        <v>3212</v>
      </c>
      <c r="W586">
        <v>38.555394090302151</v>
      </c>
      <c r="X586">
        <v>1015.5</v>
      </c>
      <c r="Y586" t="s">
        <v>4022</v>
      </c>
      <c r="Z586">
        <v>91.240142071169686</v>
      </c>
      <c r="AA586">
        <v>9738</v>
      </c>
      <c r="AB586">
        <v>21304</v>
      </c>
      <c r="AC586" t="s">
        <v>4867</v>
      </c>
      <c r="AD586">
        <v>67.349999999999994</v>
      </c>
      <c r="AE586" t="s">
        <v>5731</v>
      </c>
      <c r="AF586" t="s">
        <v>6560</v>
      </c>
      <c r="AG586">
        <v>49311</v>
      </c>
      <c r="AH586">
        <v>1896</v>
      </c>
      <c r="AI586">
        <v>297248</v>
      </c>
      <c r="AJ586">
        <v>3.51</v>
      </c>
    </row>
    <row r="587" spans="1:36">
      <c r="A587" s="1" t="s">
        <v>621</v>
      </c>
      <c r="B587" t="s">
        <v>1485</v>
      </c>
      <c r="C587" t="str">
        <f>HYPERLINK("https://finance.naver.com/item/coinfo.nhn?code=001740", "A001740")</f>
        <v>A001740</v>
      </c>
      <c r="D587" t="str">
        <f>HYPERLINK("http://comp.fnguide.com/SVO2/ASP/SVD_Consensus.asp?pGB=1&amp;gicode=A001740&amp;cID=&amp;MenuYn=Y&amp;ReportGB=&amp;NewMenuID=108&amp;stkGb=701", "SK네트웍스")</f>
        <v>SK네트웍스</v>
      </c>
      <c r="E587">
        <v>3</v>
      </c>
      <c r="F587">
        <v>4785</v>
      </c>
      <c r="I587">
        <v>418</v>
      </c>
      <c r="J587">
        <v>6122</v>
      </c>
      <c r="K587">
        <v>7743</v>
      </c>
      <c r="L587">
        <v>91.27</v>
      </c>
      <c r="M587">
        <v>-27.94</v>
      </c>
      <c r="N587">
        <v>-61.82</v>
      </c>
      <c r="O587">
        <v>0.33</v>
      </c>
      <c r="P587" t="b">
        <v>0</v>
      </c>
      <c r="Q587">
        <v>1</v>
      </c>
      <c r="R587">
        <v>-530</v>
      </c>
      <c r="S587">
        <v>426</v>
      </c>
      <c r="T587">
        <v>-180.4</v>
      </c>
      <c r="U587" t="s">
        <v>2349</v>
      </c>
      <c r="V587" t="s">
        <v>3213</v>
      </c>
      <c r="W587">
        <v>46.732129133752693</v>
      </c>
      <c r="X587">
        <v>245.3</v>
      </c>
      <c r="Y587" t="s">
        <v>4023</v>
      </c>
      <c r="Z587">
        <v>-13.43782581288753</v>
      </c>
      <c r="AA587">
        <v>11876</v>
      </c>
      <c r="AB587">
        <v>710735</v>
      </c>
      <c r="AC587" t="s">
        <v>4868</v>
      </c>
      <c r="AD587">
        <v>40.43</v>
      </c>
      <c r="AE587" t="s">
        <v>5732</v>
      </c>
      <c r="AF587" t="s">
        <v>6561</v>
      </c>
      <c r="AG587">
        <v>130542</v>
      </c>
      <c r="AH587">
        <v>1094</v>
      </c>
      <c r="AI587">
        <v>29632966</v>
      </c>
      <c r="AJ587">
        <v>2.02</v>
      </c>
    </row>
    <row r="588" spans="1:36">
      <c r="A588" s="1" t="s">
        <v>622</v>
      </c>
      <c r="B588" t="s">
        <v>1486</v>
      </c>
      <c r="C588" t="str">
        <f>HYPERLINK("https://finance.naver.com/item/coinfo.nhn?code=006120", "A006120")</f>
        <v>A006120</v>
      </c>
      <c r="D588" t="str">
        <f>HYPERLINK("http://comp.fnguide.com/SVO2/ASP/SVD_Consensus.asp?pGB=1&amp;gicode=A006120&amp;cID=&amp;MenuYn=Y&amp;ReportGB=&amp;NewMenuID=108&amp;stkGb=701", "SK디스커버리")</f>
        <v>SK디스커버리</v>
      </c>
      <c r="E588">
        <v>3</v>
      </c>
      <c r="F588">
        <v>64800</v>
      </c>
      <c r="G588">
        <v>0</v>
      </c>
      <c r="H588">
        <v>2.96</v>
      </c>
      <c r="I588">
        <v>184164</v>
      </c>
      <c r="J588">
        <v>126572</v>
      </c>
      <c r="K588">
        <v>110205</v>
      </c>
      <c r="L588">
        <v>-184.2</v>
      </c>
      <c r="M588">
        <v>-95.33</v>
      </c>
      <c r="N588">
        <v>-70.069999999999993</v>
      </c>
      <c r="O588">
        <v>16.53</v>
      </c>
      <c r="P588" t="b">
        <v>1</v>
      </c>
      <c r="Q588">
        <v>0</v>
      </c>
      <c r="R588">
        <v>8844</v>
      </c>
      <c r="U588" t="s">
        <v>2350</v>
      </c>
      <c r="V588" t="s">
        <v>3214</v>
      </c>
      <c r="W588">
        <v>0</v>
      </c>
      <c r="X588">
        <v>115.9</v>
      </c>
      <c r="Y588" t="s">
        <v>4024</v>
      </c>
      <c r="Z588">
        <v>52.808098837472443</v>
      </c>
      <c r="AA588">
        <v>12337</v>
      </c>
      <c r="AB588">
        <v>75574</v>
      </c>
      <c r="AC588" t="s">
        <v>4869</v>
      </c>
      <c r="AD588">
        <v>45.11</v>
      </c>
      <c r="AE588" t="s">
        <v>5733</v>
      </c>
      <c r="AF588" t="s">
        <v>6562</v>
      </c>
      <c r="AG588">
        <v>50211</v>
      </c>
      <c r="AH588">
        <v>1739</v>
      </c>
      <c r="AI588">
        <v>12137</v>
      </c>
      <c r="AJ588">
        <v>2.68</v>
      </c>
    </row>
    <row r="589" spans="1:36">
      <c r="A589" s="1" t="s">
        <v>623</v>
      </c>
      <c r="B589" t="s">
        <v>1487</v>
      </c>
      <c r="C589" t="str">
        <f>HYPERLINK("https://finance.naver.com/item/coinfo.nhn?code=096770", "A096770")</f>
        <v>A096770</v>
      </c>
      <c r="D589" t="str">
        <f>HYPERLINK("http://comp.fnguide.com/SVO2/ASP/SVD_Consensus.asp?pGB=1&amp;gicode=A096770&amp;cID=&amp;MenuYn=Y&amp;ReportGB=&amp;NewMenuID=108&amp;stkGb=701", "SK이노베이션")</f>
        <v>SK이노베이션</v>
      </c>
      <c r="E589">
        <v>3</v>
      </c>
      <c r="F589">
        <v>180500</v>
      </c>
      <c r="G589">
        <v>0</v>
      </c>
      <c r="I589">
        <v>134491</v>
      </c>
      <c r="J589">
        <v>181221</v>
      </c>
      <c r="K589">
        <v>194501</v>
      </c>
      <c r="L589">
        <v>25.49</v>
      </c>
      <c r="M589">
        <v>-0.4</v>
      </c>
      <c r="N589">
        <v>-7.76</v>
      </c>
      <c r="O589">
        <v>5.03</v>
      </c>
      <c r="P589" t="b">
        <v>0</v>
      </c>
      <c r="Q589">
        <v>0</v>
      </c>
      <c r="R589">
        <v>-381</v>
      </c>
      <c r="S589">
        <v>-21991</v>
      </c>
      <c r="T589">
        <v>5671.9</v>
      </c>
      <c r="U589" t="s">
        <v>2351</v>
      </c>
      <c r="V589" t="s">
        <v>3215</v>
      </c>
      <c r="W589">
        <v>0</v>
      </c>
      <c r="X589">
        <v>0</v>
      </c>
      <c r="Y589" t="s">
        <v>4025</v>
      </c>
      <c r="Z589">
        <v>26.557246036227419</v>
      </c>
      <c r="AA589">
        <v>166900</v>
      </c>
      <c r="AB589">
        <v>490022</v>
      </c>
      <c r="AC589" t="s">
        <v>4870</v>
      </c>
      <c r="AD589">
        <v>33.409999999999997</v>
      </c>
      <c r="AE589" t="s">
        <v>5734</v>
      </c>
      <c r="AF589" t="s">
        <v>6563</v>
      </c>
      <c r="AG589">
        <v>498765</v>
      </c>
      <c r="AH589">
        <v>12693</v>
      </c>
      <c r="AI589">
        <v>10130137</v>
      </c>
      <c r="AJ589">
        <v>2</v>
      </c>
    </row>
    <row r="590" spans="1:36">
      <c r="A590" s="1" t="s">
        <v>624</v>
      </c>
      <c r="B590" t="s">
        <v>1488</v>
      </c>
      <c r="C590" t="str">
        <f>HYPERLINK("https://finance.naver.com/item/coinfo.nhn?code=001510", "A001510")</f>
        <v>A001510</v>
      </c>
      <c r="D590" t="str">
        <f>HYPERLINK("http://comp.fnguide.com/SVO2/ASP/SVD_Consensus.asp?pGB=1&amp;gicode=A001510&amp;cID=&amp;MenuYn=Y&amp;ReportGB=&amp;NewMenuID=108&amp;stkGb=701", "SK증권")</f>
        <v>SK증권</v>
      </c>
      <c r="E590">
        <v>3</v>
      </c>
      <c r="F590">
        <v>797</v>
      </c>
      <c r="G590">
        <v>0</v>
      </c>
      <c r="H590">
        <v>9.26</v>
      </c>
      <c r="I590">
        <v>746</v>
      </c>
      <c r="J590">
        <v>1089</v>
      </c>
      <c r="K590">
        <v>1187</v>
      </c>
      <c r="L590">
        <v>6.42</v>
      </c>
      <c r="M590">
        <v>-36.69</v>
      </c>
      <c r="N590">
        <v>-48.94</v>
      </c>
      <c r="O590">
        <v>4.5</v>
      </c>
      <c r="P590" t="b">
        <v>0</v>
      </c>
      <c r="Q590">
        <v>0</v>
      </c>
      <c r="R590">
        <v>66</v>
      </c>
      <c r="U590" t="s">
        <v>2352</v>
      </c>
      <c r="V590" t="s">
        <v>3216</v>
      </c>
      <c r="W590">
        <v>0</v>
      </c>
      <c r="X590">
        <v>1.1000000000000001</v>
      </c>
      <c r="Y590" t="s">
        <v>4026</v>
      </c>
      <c r="Z590">
        <v>3.3486510426291578</v>
      </c>
      <c r="AA590">
        <v>3767</v>
      </c>
      <c r="AB590">
        <v>4446346</v>
      </c>
      <c r="AC590" t="s">
        <v>4871</v>
      </c>
      <c r="AD590">
        <v>19.600000000000001</v>
      </c>
      <c r="AE590" t="s">
        <v>5735</v>
      </c>
      <c r="AF590" t="s">
        <v>6564</v>
      </c>
      <c r="AG590">
        <v>2275</v>
      </c>
      <c r="AH590">
        <v>214</v>
      </c>
      <c r="AI590">
        <v>39683968</v>
      </c>
      <c r="AJ590">
        <v>1.65</v>
      </c>
    </row>
    <row r="591" spans="1:36">
      <c r="A591" s="1" t="s">
        <v>625</v>
      </c>
      <c r="B591" t="s">
        <v>1489</v>
      </c>
      <c r="C591" t="str">
        <f>HYPERLINK("https://finance.naver.com/item/coinfo.nhn?code=017670", "A017670")</f>
        <v>A017670</v>
      </c>
      <c r="D591" t="str">
        <f>HYPERLINK("http://comp.fnguide.com/SVO2/ASP/SVD_Consensus.asp?pGB=1&amp;gicode=A017670&amp;cID=&amp;MenuYn=Y&amp;ReportGB=&amp;NewMenuID=108&amp;stkGb=701", "SK텔레콤")</f>
        <v>SK텔레콤</v>
      </c>
      <c r="E591">
        <v>3</v>
      </c>
      <c r="F591">
        <v>247000</v>
      </c>
      <c r="G591">
        <v>-1.1399999999999999</v>
      </c>
      <c r="H591">
        <v>21.59</v>
      </c>
      <c r="I591">
        <v>392949</v>
      </c>
      <c r="J591">
        <v>350118</v>
      </c>
      <c r="K591">
        <v>337946</v>
      </c>
      <c r="L591">
        <v>-59.09</v>
      </c>
      <c r="M591">
        <v>-41.75</v>
      </c>
      <c r="N591">
        <v>-36.82</v>
      </c>
      <c r="O591">
        <v>9.6999999999999993</v>
      </c>
      <c r="P591" t="b">
        <v>0</v>
      </c>
      <c r="Q591">
        <v>1</v>
      </c>
      <c r="R591">
        <v>11021</v>
      </c>
      <c r="S591">
        <v>17148</v>
      </c>
      <c r="T591">
        <v>55.6</v>
      </c>
      <c r="U591" t="s">
        <v>2353</v>
      </c>
      <c r="V591" t="s">
        <v>3217</v>
      </c>
      <c r="W591">
        <v>-18.896419663193701</v>
      </c>
      <c r="X591">
        <v>22.5</v>
      </c>
      <c r="Y591" t="s">
        <v>4027</v>
      </c>
      <c r="Z591">
        <v>-6.446468634937796</v>
      </c>
      <c r="AA591">
        <v>199442</v>
      </c>
      <c r="AB591">
        <v>177141</v>
      </c>
      <c r="AC591" t="s">
        <v>4872</v>
      </c>
      <c r="AD591">
        <v>26.78</v>
      </c>
      <c r="AE591" t="s">
        <v>5736</v>
      </c>
      <c r="AF591" t="s">
        <v>6565</v>
      </c>
      <c r="AG591">
        <v>177437</v>
      </c>
      <c r="AH591">
        <v>11100</v>
      </c>
      <c r="AI591">
        <v>9398558</v>
      </c>
      <c r="AJ591">
        <v>4.2</v>
      </c>
    </row>
    <row r="592" spans="1:36">
      <c r="A592" s="1" t="s">
        <v>626</v>
      </c>
      <c r="B592" t="s">
        <v>1490</v>
      </c>
      <c r="C592" t="str">
        <f>HYPERLINK("https://finance.naver.com/item/coinfo.nhn?code=077970", "A077970")</f>
        <v>A077970</v>
      </c>
      <c r="D592" t="str">
        <f>HYPERLINK("http://comp.fnguide.com/SVO2/ASP/SVD_Consensus.asp?pGB=1&amp;gicode=A077970&amp;cID=&amp;MenuYn=Y&amp;ReportGB=&amp;NewMenuID=108&amp;stkGb=701", "STX엔진")</f>
        <v>STX엔진</v>
      </c>
      <c r="E592">
        <v>3</v>
      </c>
      <c r="F592">
        <v>7430</v>
      </c>
      <c r="G592">
        <v>0</v>
      </c>
      <c r="H592">
        <v>9.1999999999999993</v>
      </c>
      <c r="I592">
        <v>13328</v>
      </c>
      <c r="J592">
        <v>11522</v>
      </c>
      <c r="K592">
        <v>11009</v>
      </c>
      <c r="L592">
        <v>-79.39</v>
      </c>
      <c r="M592">
        <v>-55.07</v>
      </c>
      <c r="N592">
        <v>-48.17</v>
      </c>
      <c r="O592">
        <v>10.25</v>
      </c>
      <c r="P592" t="b">
        <v>1</v>
      </c>
      <c r="Q592">
        <v>0</v>
      </c>
      <c r="R592">
        <v>737</v>
      </c>
      <c r="U592" t="s">
        <v>2354</v>
      </c>
      <c r="V592" t="s">
        <v>3218</v>
      </c>
      <c r="W592">
        <v>0</v>
      </c>
      <c r="X592">
        <v>0</v>
      </c>
      <c r="Y592" t="s">
        <v>4028</v>
      </c>
      <c r="Z592">
        <v>-27</v>
      </c>
      <c r="AA592">
        <v>1710</v>
      </c>
      <c r="AB592">
        <v>50855</v>
      </c>
      <c r="AC592" t="s">
        <v>4873</v>
      </c>
      <c r="AD592">
        <v>84.42</v>
      </c>
      <c r="AE592" t="s">
        <v>5737</v>
      </c>
      <c r="AF592" t="s">
        <v>6566</v>
      </c>
      <c r="AG592">
        <v>6106</v>
      </c>
      <c r="AH592">
        <v>300</v>
      </c>
      <c r="AI592">
        <v>9297</v>
      </c>
    </row>
    <row r="593" spans="1:36">
      <c r="A593" s="1" t="s">
        <v>627</v>
      </c>
      <c r="B593" t="s">
        <v>1491</v>
      </c>
      <c r="C593" t="str">
        <f>HYPERLINK("https://finance.naver.com/item/coinfo.nhn?code=084870", "A084870")</f>
        <v>A084870</v>
      </c>
      <c r="D593" t="str">
        <f>HYPERLINK("http://comp.fnguide.com/SVO2/ASP/SVD_Consensus.asp?pGB=1&amp;gicode=A084870&amp;cID=&amp;MenuYn=Y&amp;ReportGB=&amp;NewMenuID=108&amp;stkGb=701", "TBH글로벌")</f>
        <v>TBH글로벌</v>
      </c>
      <c r="E593">
        <v>3</v>
      </c>
      <c r="F593">
        <v>1700</v>
      </c>
      <c r="G593">
        <v>0</v>
      </c>
      <c r="I593">
        <v>0</v>
      </c>
      <c r="J593">
        <v>3107</v>
      </c>
      <c r="K593">
        <v>3990</v>
      </c>
      <c r="L593">
        <v>100</v>
      </c>
      <c r="M593">
        <v>-82.76</v>
      </c>
      <c r="N593">
        <v>-134.69999999999999</v>
      </c>
      <c r="O593">
        <v>0</v>
      </c>
      <c r="P593" t="b">
        <v>0</v>
      </c>
      <c r="Q593">
        <v>0</v>
      </c>
      <c r="R593">
        <v>-3711</v>
      </c>
      <c r="U593" t="s">
        <v>2355</v>
      </c>
      <c r="V593" t="s">
        <v>3219</v>
      </c>
      <c r="W593">
        <v>0</v>
      </c>
      <c r="X593">
        <v>0</v>
      </c>
      <c r="Y593" t="s">
        <v>3499</v>
      </c>
      <c r="Z593">
        <v>0</v>
      </c>
      <c r="AA593">
        <v>355</v>
      </c>
      <c r="AB593">
        <v>81668</v>
      </c>
      <c r="AC593" t="s">
        <v>4874</v>
      </c>
      <c r="AD593">
        <v>50.06</v>
      </c>
      <c r="AE593" t="s">
        <v>5738</v>
      </c>
      <c r="AF593" t="s">
        <v>6021</v>
      </c>
      <c r="AG593">
        <v>2108</v>
      </c>
      <c r="AH593">
        <v>44</v>
      </c>
    </row>
    <row r="594" spans="1:36">
      <c r="A594" s="1" t="s">
        <v>628</v>
      </c>
      <c r="B594" t="s">
        <v>1492</v>
      </c>
      <c r="C594" t="str">
        <f>HYPERLINK("https://finance.naver.com/item/coinfo.nhn?code=024070", "A024070")</f>
        <v>A024070</v>
      </c>
      <c r="D594" t="str">
        <f>HYPERLINK("http://comp.fnguide.com/SVO2/ASP/SVD_Consensus.asp?pGB=1&amp;gicode=A024070&amp;cID=&amp;MenuYn=Y&amp;ReportGB=&amp;NewMenuID=108&amp;stkGb=701", "WISCOM")</f>
        <v>WISCOM</v>
      </c>
      <c r="E594">
        <v>3</v>
      </c>
      <c r="F594">
        <v>2540</v>
      </c>
      <c r="G594">
        <v>0</v>
      </c>
      <c r="H594">
        <v>37.89</v>
      </c>
      <c r="I594">
        <v>747</v>
      </c>
      <c r="J594">
        <v>4930</v>
      </c>
      <c r="K594">
        <v>6119</v>
      </c>
      <c r="L594">
        <v>70.599999999999994</v>
      </c>
      <c r="M594">
        <v>-94.08</v>
      </c>
      <c r="N594">
        <v>-140.88999999999999</v>
      </c>
      <c r="O594">
        <v>0.77</v>
      </c>
      <c r="P594" t="b">
        <v>1</v>
      </c>
      <c r="Q594">
        <v>0</v>
      </c>
      <c r="R594">
        <v>70</v>
      </c>
      <c r="U594" t="s">
        <v>2356</v>
      </c>
      <c r="V594" t="s">
        <v>3220</v>
      </c>
      <c r="W594">
        <v>0</v>
      </c>
      <c r="X594">
        <v>0</v>
      </c>
      <c r="Y594" t="s">
        <v>4029</v>
      </c>
      <c r="Z594">
        <v>-21.42303080536222</v>
      </c>
      <c r="AA594">
        <v>389</v>
      </c>
      <c r="AB594">
        <v>48289</v>
      </c>
      <c r="AC594" t="s">
        <v>4875</v>
      </c>
      <c r="AD594">
        <v>50.95</v>
      </c>
      <c r="AE594" t="s">
        <v>5739</v>
      </c>
      <c r="AF594" t="s">
        <v>6567</v>
      </c>
      <c r="AG594">
        <v>1155</v>
      </c>
      <c r="AH594">
        <v>8</v>
      </c>
      <c r="AJ594">
        <v>1.88</v>
      </c>
    </row>
    <row r="595" spans="1:36">
      <c r="A595" s="1" t="s">
        <v>629</v>
      </c>
      <c r="B595" t="s">
        <v>1493</v>
      </c>
      <c r="C595" t="str">
        <f>HYPERLINK("https://finance.naver.com/item/coinfo.nhn?code=000500", "A000500")</f>
        <v>A000500</v>
      </c>
      <c r="D595" t="str">
        <f>HYPERLINK("http://comp.fnguide.com/SVO2/ASP/SVD_Consensus.asp?pGB=1&amp;gicode=A000500&amp;cID=&amp;MenuYn=Y&amp;ReportGB=&amp;NewMenuID=108&amp;stkGb=701", "가온전선")</f>
        <v>가온전선</v>
      </c>
      <c r="E595">
        <v>3</v>
      </c>
      <c r="F595">
        <v>21900</v>
      </c>
      <c r="G595">
        <v>0</v>
      </c>
      <c r="H595">
        <v>17.739999999999998</v>
      </c>
      <c r="I595">
        <v>9568</v>
      </c>
      <c r="J595">
        <v>43101</v>
      </c>
      <c r="K595">
        <v>52630</v>
      </c>
      <c r="L595">
        <v>56.31</v>
      </c>
      <c r="M595">
        <v>-96.81</v>
      </c>
      <c r="N595">
        <v>-140.32</v>
      </c>
      <c r="O595">
        <v>1.1599999999999999</v>
      </c>
      <c r="P595" t="b">
        <v>1</v>
      </c>
      <c r="Q595">
        <v>0</v>
      </c>
      <c r="R595">
        <v>1314</v>
      </c>
      <c r="U595" t="s">
        <v>2357</v>
      </c>
      <c r="V595" t="s">
        <v>3221</v>
      </c>
      <c r="W595">
        <v>0</v>
      </c>
      <c r="X595">
        <v>72.3</v>
      </c>
      <c r="Y595" t="s">
        <v>4030</v>
      </c>
      <c r="Z595">
        <v>36.260420594112432</v>
      </c>
      <c r="AA595">
        <v>911</v>
      </c>
      <c r="AB595">
        <v>5478</v>
      </c>
      <c r="AC595" t="s">
        <v>4876</v>
      </c>
      <c r="AD595">
        <v>46.56</v>
      </c>
      <c r="AE595" t="s">
        <v>5740</v>
      </c>
      <c r="AF595" t="s">
        <v>6568</v>
      </c>
      <c r="AG595">
        <v>8303</v>
      </c>
      <c r="AH595">
        <v>71</v>
      </c>
      <c r="AI595">
        <v>229298</v>
      </c>
      <c r="AJ595">
        <v>2.58</v>
      </c>
    </row>
    <row r="596" spans="1:36">
      <c r="A596" s="1" t="s">
        <v>630</v>
      </c>
      <c r="B596" t="s">
        <v>1494</v>
      </c>
      <c r="C596" t="str">
        <f>HYPERLINK("https://finance.naver.com/item/coinfo.nhn?code=000860", "A000860")</f>
        <v>A000860</v>
      </c>
      <c r="D596" t="str">
        <f>HYPERLINK("http://comp.fnguide.com/SVO2/ASP/SVD_Consensus.asp?pGB=1&amp;gicode=A000860&amp;cID=&amp;MenuYn=Y&amp;ReportGB=&amp;NewMenuID=108&amp;stkGb=701", "강남제비스코")</f>
        <v>강남제비스코</v>
      </c>
      <c r="E596">
        <v>3</v>
      </c>
      <c r="F596">
        <v>21000</v>
      </c>
      <c r="G596">
        <v>0</v>
      </c>
      <c r="H596">
        <v>9.0500000000000007</v>
      </c>
      <c r="I596">
        <v>48824</v>
      </c>
      <c r="J596">
        <v>68192</v>
      </c>
      <c r="K596">
        <v>73697</v>
      </c>
      <c r="L596">
        <v>-132.49</v>
      </c>
      <c r="M596">
        <v>-224.73</v>
      </c>
      <c r="N596">
        <v>-250.94</v>
      </c>
      <c r="O596">
        <v>4.78</v>
      </c>
      <c r="P596" t="b">
        <v>1</v>
      </c>
      <c r="Q596">
        <v>0</v>
      </c>
      <c r="R596">
        <v>2250</v>
      </c>
      <c r="U596" t="s">
        <v>2358</v>
      </c>
      <c r="V596" t="s">
        <v>3222</v>
      </c>
      <c r="W596">
        <v>0</v>
      </c>
      <c r="X596">
        <v>11.1</v>
      </c>
      <c r="Y596" t="s">
        <v>4031</v>
      </c>
      <c r="Z596">
        <v>-16.575904424753809</v>
      </c>
      <c r="AA596">
        <v>1365</v>
      </c>
      <c r="AB596">
        <v>16616</v>
      </c>
      <c r="AC596" t="s">
        <v>4877</v>
      </c>
      <c r="AD596">
        <v>50.74</v>
      </c>
      <c r="AE596" t="s">
        <v>5741</v>
      </c>
      <c r="AF596" t="s">
        <v>6569</v>
      </c>
      <c r="AG596">
        <v>3325</v>
      </c>
      <c r="AH596">
        <v>-20</v>
      </c>
      <c r="AJ596">
        <v>2.46</v>
      </c>
    </row>
    <row r="597" spans="1:36">
      <c r="A597" s="1" t="s">
        <v>631</v>
      </c>
      <c r="B597" t="s">
        <v>1495</v>
      </c>
      <c r="C597" t="str">
        <f>HYPERLINK("https://finance.naver.com/item/coinfo.nhn?code=267290", "A267290")</f>
        <v>A267290</v>
      </c>
      <c r="D597" t="str">
        <f>HYPERLINK("http://comp.fnguide.com/SVO2/ASP/SVD_Consensus.asp?pGB=1&amp;gicode=A267290&amp;cID=&amp;MenuYn=Y&amp;ReportGB=&amp;NewMenuID=108&amp;stkGb=701", "경동도시가스")</f>
        <v>경동도시가스</v>
      </c>
      <c r="E597">
        <v>3</v>
      </c>
      <c r="F597">
        <v>19100</v>
      </c>
      <c r="G597">
        <v>0</v>
      </c>
      <c r="H597">
        <v>5.0999999999999996</v>
      </c>
      <c r="I597">
        <v>53874</v>
      </c>
      <c r="J597">
        <v>56107</v>
      </c>
      <c r="K597">
        <v>56741</v>
      </c>
      <c r="L597">
        <v>-182.06</v>
      </c>
      <c r="M597">
        <v>-193.75</v>
      </c>
      <c r="N597">
        <v>-197.07</v>
      </c>
      <c r="O597">
        <v>7.43</v>
      </c>
      <c r="P597" t="b">
        <v>0</v>
      </c>
      <c r="Q597">
        <v>0</v>
      </c>
      <c r="R597">
        <v>4163</v>
      </c>
      <c r="U597" t="s">
        <v>2359</v>
      </c>
      <c r="V597" t="s">
        <v>3223</v>
      </c>
      <c r="W597">
        <v>0</v>
      </c>
      <c r="X597">
        <v>-37.799999999999997</v>
      </c>
      <c r="Y597" t="s">
        <v>4032</v>
      </c>
      <c r="Z597">
        <v>0</v>
      </c>
      <c r="AA597">
        <v>1126</v>
      </c>
      <c r="AB597">
        <v>16717</v>
      </c>
      <c r="AC597" t="s">
        <v>4878</v>
      </c>
      <c r="AD597">
        <v>52.28</v>
      </c>
      <c r="AE597" t="s">
        <v>5742</v>
      </c>
      <c r="AF597" t="s">
        <v>6570</v>
      </c>
      <c r="AG597">
        <v>14227</v>
      </c>
      <c r="AH597">
        <v>281</v>
      </c>
      <c r="AI597">
        <v>4979</v>
      </c>
      <c r="AJ597">
        <v>4.12</v>
      </c>
    </row>
    <row r="598" spans="1:36">
      <c r="A598" s="1" t="s">
        <v>632</v>
      </c>
      <c r="B598" t="s">
        <v>1496</v>
      </c>
      <c r="C598" t="str">
        <f>HYPERLINK("https://finance.naver.com/item/coinfo.nhn?code=023000", "A023000")</f>
        <v>A023000</v>
      </c>
      <c r="D598" t="str">
        <f>HYPERLINK("http://comp.fnguide.com/SVO2/ASP/SVD_Consensus.asp?pGB=1&amp;gicode=A023000&amp;cID=&amp;MenuYn=Y&amp;ReportGB=&amp;NewMenuID=108&amp;stkGb=701", "삼원강재")</f>
        <v>삼원강재</v>
      </c>
      <c r="E598">
        <v>3</v>
      </c>
      <c r="F598">
        <v>2645</v>
      </c>
      <c r="G598">
        <v>0</v>
      </c>
      <c r="H598">
        <v>11.58</v>
      </c>
      <c r="I598">
        <v>3632</v>
      </c>
      <c r="J598">
        <v>4625</v>
      </c>
      <c r="K598">
        <v>4907</v>
      </c>
      <c r="L598">
        <v>-37.32</v>
      </c>
      <c r="M598">
        <v>-74.849999999999994</v>
      </c>
      <c r="N598">
        <v>-85.51</v>
      </c>
      <c r="O598">
        <v>5.46</v>
      </c>
      <c r="P598" t="b">
        <v>1</v>
      </c>
      <c r="Q598">
        <v>0</v>
      </c>
      <c r="R598">
        <v>261</v>
      </c>
      <c r="U598" t="s">
        <v>2360</v>
      </c>
      <c r="V598" t="s">
        <v>3224</v>
      </c>
      <c r="W598">
        <v>0</v>
      </c>
      <c r="X598">
        <v>-30.3</v>
      </c>
      <c r="Y598" t="s">
        <v>4033</v>
      </c>
      <c r="Z598">
        <v>-14.426071375389331</v>
      </c>
      <c r="AA598">
        <v>1058</v>
      </c>
      <c r="AB598">
        <v>30291</v>
      </c>
      <c r="AC598" t="s">
        <v>4879</v>
      </c>
      <c r="AD598">
        <v>61.19</v>
      </c>
      <c r="AE598" t="s">
        <v>5743</v>
      </c>
      <c r="AF598" t="s">
        <v>6571</v>
      </c>
      <c r="AG598">
        <v>2693</v>
      </c>
      <c r="AH598">
        <v>108</v>
      </c>
      <c r="AI598">
        <v>260044</v>
      </c>
      <c r="AJ598">
        <v>3.81</v>
      </c>
    </row>
    <row r="599" spans="1:36">
      <c r="A599" s="1" t="s">
        <v>633</v>
      </c>
      <c r="B599" t="s">
        <v>1497</v>
      </c>
      <c r="C599" t="str">
        <f>HYPERLINK("https://finance.naver.com/item/coinfo.nhn?code=037440", "A037440")</f>
        <v>A037440</v>
      </c>
      <c r="D599" t="str">
        <f>HYPERLINK("http://comp.fnguide.com/SVO2/ASP/SVD_Consensus.asp?pGB=1&amp;gicode=A037440&amp;cID=&amp;MenuYn=Y&amp;ReportGB=&amp;NewMenuID=108&amp;stkGb=701", "희림")</f>
        <v>희림</v>
      </c>
      <c r="E599">
        <v>3</v>
      </c>
      <c r="F599">
        <v>3920</v>
      </c>
      <c r="G599">
        <v>0</v>
      </c>
      <c r="H599">
        <v>16.2</v>
      </c>
      <c r="I599">
        <v>3875</v>
      </c>
      <c r="J599">
        <v>4084</v>
      </c>
      <c r="K599">
        <v>4143</v>
      </c>
      <c r="L599">
        <v>1.1599999999999999</v>
      </c>
      <c r="M599">
        <v>-4.17</v>
      </c>
      <c r="N599">
        <v>-5.69</v>
      </c>
      <c r="O599">
        <v>7.29</v>
      </c>
      <c r="P599" t="b">
        <v>0</v>
      </c>
      <c r="Q599">
        <v>0</v>
      </c>
      <c r="R599">
        <v>264</v>
      </c>
      <c r="U599" t="s">
        <v>2361</v>
      </c>
      <c r="V599" t="s">
        <v>3225</v>
      </c>
      <c r="W599">
        <v>0</v>
      </c>
      <c r="X599">
        <v>-0.3</v>
      </c>
      <c r="Y599" t="s">
        <v>4034</v>
      </c>
      <c r="Z599">
        <v>9.5390895116942431E-2</v>
      </c>
      <c r="AA599">
        <v>546</v>
      </c>
      <c r="AB599">
        <v>27487</v>
      </c>
      <c r="AC599" t="s">
        <v>4880</v>
      </c>
      <c r="AD599">
        <v>28.42</v>
      </c>
      <c r="AE599" t="s">
        <v>5744</v>
      </c>
      <c r="AF599" t="s">
        <v>6572</v>
      </c>
      <c r="AG599">
        <v>1786</v>
      </c>
      <c r="AH599">
        <v>72</v>
      </c>
      <c r="AI599">
        <v>1297955</v>
      </c>
      <c r="AJ599">
        <v>3.5</v>
      </c>
    </row>
    <row r="600" spans="1:36">
      <c r="A600" s="1" t="s">
        <v>634</v>
      </c>
      <c r="B600" t="s">
        <v>1498</v>
      </c>
      <c r="C600" t="str">
        <f>HYPERLINK("https://finance.naver.com/item/coinfo.nhn?code=004440", "A004440")</f>
        <v>A004440</v>
      </c>
      <c r="D600" t="str">
        <f>HYPERLINK("http://comp.fnguide.com/SVO2/ASP/SVD_Consensus.asp?pGB=1&amp;gicode=A004440&amp;cID=&amp;MenuYn=Y&amp;ReportGB=&amp;NewMenuID=108&amp;stkGb=701", "삼일씨엔에스")</f>
        <v>삼일씨엔에스</v>
      </c>
      <c r="E600">
        <v>3</v>
      </c>
      <c r="F600">
        <v>9160</v>
      </c>
      <c r="G600">
        <v>0</v>
      </c>
      <c r="H600">
        <v>36.159999999999997</v>
      </c>
      <c r="I600">
        <v>2041</v>
      </c>
      <c r="J600">
        <v>13988</v>
      </c>
      <c r="K600">
        <v>17383</v>
      </c>
      <c r="L600">
        <v>77.72</v>
      </c>
      <c r="M600">
        <v>-52.71</v>
      </c>
      <c r="N600">
        <v>-89.77</v>
      </c>
      <c r="O600">
        <v>0.74</v>
      </c>
      <c r="P600" t="b">
        <v>0</v>
      </c>
      <c r="Q600">
        <v>0</v>
      </c>
      <c r="R600">
        <v>211</v>
      </c>
      <c r="U600" t="s">
        <v>2362</v>
      </c>
      <c r="V600" t="s">
        <v>3226</v>
      </c>
      <c r="W600">
        <v>0</v>
      </c>
      <c r="X600">
        <v>0</v>
      </c>
      <c r="Y600" t="s">
        <v>4035</v>
      </c>
      <c r="Z600">
        <v>-67.968140859450571</v>
      </c>
      <c r="AA600">
        <v>1166</v>
      </c>
      <c r="AB600">
        <v>75316</v>
      </c>
      <c r="AC600" t="s">
        <v>4881</v>
      </c>
      <c r="AD600">
        <v>54.34</v>
      </c>
      <c r="AE600" t="s">
        <v>5745</v>
      </c>
      <c r="AF600" t="s">
        <v>6573</v>
      </c>
      <c r="AG600">
        <v>1955</v>
      </c>
      <c r="AH600">
        <v>36</v>
      </c>
      <c r="AJ600">
        <v>0.5</v>
      </c>
    </row>
    <row r="601" spans="1:36">
      <c r="A601" s="1" t="s">
        <v>635</v>
      </c>
      <c r="B601" t="s">
        <v>1499</v>
      </c>
      <c r="C601" t="str">
        <f>HYPERLINK("https://finance.naver.com/item/coinfo.nhn?code=018470", "A018470")</f>
        <v>A018470</v>
      </c>
      <c r="D601" t="str">
        <f>HYPERLINK("http://comp.fnguide.com/SVO2/ASP/SVD_Consensus.asp?pGB=1&amp;gicode=A018470&amp;cID=&amp;MenuYn=Y&amp;ReportGB=&amp;NewMenuID=108&amp;stkGb=701", "조일알미늄")</f>
        <v>조일알미늄</v>
      </c>
      <c r="E601">
        <v>3</v>
      </c>
      <c r="F601">
        <v>750</v>
      </c>
      <c r="G601">
        <v>0</v>
      </c>
      <c r="I601">
        <v>0</v>
      </c>
      <c r="J601">
        <v>973</v>
      </c>
      <c r="K601">
        <v>1250</v>
      </c>
      <c r="L601">
        <v>100</v>
      </c>
      <c r="M601">
        <v>-29.79</v>
      </c>
      <c r="N601">
        <v>-66.67</v>
      </c>
      <c r="O601">
        <v>0</v>
      </c>
      <c r="P601" t="b">
        <v>0</v>
      </c>
      <c r="Q601">
        <v>0</v>
      </c>
      <c r="R601">
        <v>-1093</v>
      </c>
      <c r="U601" t="s">
        <v>2363</v>
      </c>
      <c r="V601" t="s">
        <v>3227</v>
      </c>
      <c r="W601">
        <v>0</v>
      </c>
      <c r="X601">
        <v>0</v>
      </c>
      <c r="Y601" t="s">
        <v>3499</v>
      </c>
      <c r="Z601">
        <v>0</v>
      </c>
      <c r="AA601">
        <v>526</v>
      </c>
      <c r="AB601">
        <v>530626</v>
      </c>
      <c r="AC601" t="s">
        <v>4882</v>
      </c>
      <c r="AD601">
        <v>65.56</v>
      </c>
      <c r="AE601" t="s">
        <v>5746</v>
      </c>
      <c r="AF601" t="s">
        <v>6021</v>
      </c>
      <c r="AG601">
        <v>3118</v>
      </c>
      <c r="AH601">
        <v>-122</v>
      </c>
    </row>
    <row r="602" spans="1:36">
      <c r="A602" s="1" t="s">
        <v>636</v>
      </c>
      <c r="B602" t="s">
        <v>1500</v>
      </c>
      <c r="C602" t="str">
        <f>HYPERLINK("https://finance.naver.com/item/coinfo.nhn?code=035000", "A035000")</f>
        <v>A035000</v>
      </c>
      <c r="D602" t="str">
        <f>HYPERLINK("http://comp.fnguide.com/SVO2/ASP/SVD_Consensus.asp?pGB=1&amp;gicode=A035000&amp;cID=&amp;MenuYn=Y&amp;ReportGB=&amp;NewMenuID=108&amp;stkGb=701", "지투알")</f>
        <v>지투알</v>
      </c>
      <c r="E602">
        <v>3</v>
      </c>
      <c r="F602">
        <v>5820</v>
      </c>
      <c r="G602">
        <v>0</v>
      </c>
      <c r="H602">
        <v>7.11</v>
      </c>
      <c r="I602">
        <v>12296</v>
      </c>
      <c r="J602">
        <v>10203</v>
      </c>
      <c r="K602">
        <v>9608</v>
      </c>
      <c r="L602">
        <v>-111.27</v>
      </c>
      <c r="M602">
        <v>-75.3</v>
      </c>
      <c r="N602">
        <v>-65.08</v>
      </c>
      <c r="O602">
        <v>11.07</v>
      </c>
      <c r="P602" t="b">
        <v>1</v>
      </c>
      <c r="Q602">
        <v>0</v>
      </c>
      <c r="R602">
        <v>921</v>
      </c>
      <c r="U602" t="s">
        <v>2364</v>
      </c>
      <c r="V602" t="s">
        <v>3228</v>
      </c>
      <c r="W602">
        <v>0</v>
      </c>
      <c r="X602">
        <v>0</v>
      </c>
      <c r="Y602" t="s">
        <v>4036</v>
      </c>
      <c r="Z602">
        <v>7.0947072292788071</v>
      </c>
      <c r="AA602">
        <v>964</v>
      </c>
      <c r="AB602">
        <v>67297</v>
      </c>
      <c r="AC602" t="s">
        <v>4883</v>
      </c>
      <c r="AD602">
        <v>35</v>
      </c>
      <c r="AE602" t="s">
        <v>5747</v>
      </c>
      <c r="AF602" t="s">
        <v>6574</v>
      </c>
      <c r="AG602">
        <v>5421</v>
      </c>
      <c r="AH602">
        <v>219</v>
      </c>
      <c r="AI602">
        <v>359765</v>
      </c>
      <c r="AJ602">
        <v>4.58</v>
      </c>
    </row>
    <row r="603" spans="1:36">
      <c r="A603" s="1" t="s">
        <v>637</v>
      </c>
      <c r="B603" t="s">
        <v>1501</v>
      </c>
      <c r="C603" t="str">
        <f>HYPERLINK("https://finance.naver.com/item/coinfo.nhn?code=071320", "A071320")</f>
        <v>A071320</v>
      </c>
      <c r="D603" t="str">
        <f>HYPERLINK("http://comp.fnguide.com/SVO2/ASP/SVD_Consensus.asp?pGB=1&amp;gicode=A071320&amp;cID=&amp;MenuYn=Y&amp;ReportGB=&amp;NewMenuID=108&amp;stkGb=701", "지역난방공사")</f>
        <v>지역난방공사</v>
      </c>
      <c r="E603">
        <v>3</v>
      </c>
      <c r="F603">
        <v>40600</v>
      </c>
      <c r="I603">
        <v>10675</v>
      </c>
      <c r="J603">
        <v>83725</v>
      </c>
      <c r="K603">
        <v>104484</v>
      </c>
      <c r="L603">
        <v>73.709999999999994</v>
      </c>
      <c r="M603">
        <v>-106.22</v>
      </c>
      <c r="N603">
        <v>-157.35</v>
      </c>
      <c r="O603">
        <v>0.64</v>
      </c>
      <c r="P603" t="b">
        <v>0</v>
      </c>
      <c r="Q603">
        <v>2</v>
      </c>
      <c r="R603">
        <v>-2209</v>
      </c>
      <c r="S603">
        <v>4478</v>
      </c>
      <c r="T603">
        <v>-302.7</v>
      </c>
      <c r="U603" t="s">
        <v>2365</v>
      </c>
      <c r="V603" t="s">
        <v>3229</v>
      </c>
      <c r="W603">
        <v>-9.4444510621266353</v>
      </c>
      <c r="X603">
        <v>0</v>
      </c>
      <c r="Y603" t="s">
        <v>4037</v>
      </c>
      <c r="Z603">
        <v>-22.360190623624021</v>
      </c>
      <c r="AA603">
        <v>4701</v>
      </c>
      <c r="AB603">
        <v>14984</v>
      </c>
      <c r="AC603" t="s">
        <v>4884</v>
      </c>
      <c r="AD603">
        <v>75</v>
      </c>
      <c r="AE603" t="s">
        <v>5748</v>
      </c>
      <c r="AF603" t="s">
        <v>6575</v>
      </c>
      <c r="AG603">
        <v>23679</v>
      </c>
      <c r="AH603">
        <v>422</v>
      </c>
    </row>
    <row r="604" spans="1:36">
      <c r="A604" s="1" t="s">
        <v>638</v>
      </c>
      <c r="B604" t="s">
        <v>1502</v>
      </c>
      <c r="C604" t="str">
        <f>HYPERLINK("https://finance.naver.com/item/coinfo.nhn?code=005850", "A005850")</f>
        <v>A005850</v>
      </c>
      <c r="D604" t="str">
        <f>HYPERLINK("http://comp.fnguide.com/SVO2/ASP/SVD_Consensus.asp?pGB=1&amp;gicode=A005850&amp;cID=&amp;MenuYn=Y&amp;ReportGB=&amp;NewMenuID=108&amp;stkGb=701", "에스엘")</f>
        <v>에스엘</v>
      </c>
      <c r="E604">
        <v>3</v>
      </c>
      <c r="F604">
        <v>16300</v>
      </c>
      <c r="G604">
        <v>-0.34</v>
      </c>
      <c r="H604">
        <v>7.53</v>
      </c>
      <c r="I604">
        <v>22769</v>
      </c>
      <c r="J604">
        <v>26843</v>
      </c>
      <c r="K604">
        <v>28001</v>
      </c>
      <c r="L604">
        <v>-39.69</v>
      </c>
      <c r="M604">
        <v>-64.680000000000007</v>
      </c>
      <c r="N604">
        <v>-71.790000000000006</v>
      </c>
      <c r="O604">
        <v>6.12</v>
      </c>
      <c r="P604" t="b">
        <v>1</v>
      </c>
      <c r="Q604">
        <v>0</v>
      </c>
      <c r="R604">
        <v>1921</v>
      </c>
      <c r="S604">
        <v>1343</v>
      </c>
      <c r="T604">
        <v>-30.1</v>
      </c>
      <c r="U604" t="s">
        <v>2366</v>
      </c>
      <c r="V604" t="s">
        <v>3230</v>
      </c>
      <c r="W604">
        <v>-22.361137754328311</v>
      </c>
      <c r="X604">
        <v>-61.8</v>
      </c>
      <c r="Y604" t="s">
        <v>4038</v>
      </c>
      <c r="Z604">
        <v>-18.808065868303188</v>
      </c>
      <c r="AA604">
        <v>7857</v>
      </c>
      <c r="AB604">
        <v>76396</v>
      </c>
      <c r="AC604" t="s">
        <v>4885</v>
      </c>
      <c r="AD604">
        <v>63.48</v>
      </c>
      <c r="AE604" t="s">
        <v>5749</v>
      </c>
      <c r="AF604" t="s">
        <v>6576</v>
      </c>
      <c r="AG604">
        <v>22622</v>
      </c>
      <c r="AH604">
        <v>436</v>
      </c>
      <c r="AI604">
        <v>2147815</v>
      </c>
      <c r="AJ604">
        <v>2.76</v>
      </c>
    </row>
    <row r="605" spans="1:36">
      <c r="A605" s="1" t="s">
        <v>639</v>
      </c>
      <c r="B605" t="s">
        <v>1503</v>
      </c>
      <c r="C605" t="str">
        <f>HYPERLINK("https://finance.naver.com/item/coinfo.nhn?code=078520", "A078520")</f>
        <v>A078520</v>
      </c>
      <c r="D605" t="str">
        <f>HYPERLINK("http://comp.fnguide.com/SVO2/ASP/SVD_Consensus.asp?pGB=1&amp;gicode=A078520&amp;cID=&amp;MenuYn=Y&amp;ReportGB=&amp;NewMenuID=108&amp;stkGb=701", "에이블씨엔씨")</f>
        <v>에이블씨엔씨</v>
      </c>
      <c r="E605">
        <v>3</v>
      </c>
      <c r="F605">
        <v>7420</v>
      </c>
      <c r="G605">
        <v>0</v>
      </c>
      <c r="I605">
        <v>652</v>
      </c>
      <c r="J605">
        <v>5975</v>
      </c>
      <c r="K605">
        <v>7487</v>
      </c>
      <c r="L605">
        <v>91.21</v>
      </c>
      <c r="M605">
        <v>19.48</v>
      </c>
      <c r="N605">
        <v>-0.91</v>
      </c>
      <c r="O605">
        <v>0.55000000000000004</v>
      </c>
      <c r="P605" t="b">
        <v>0</v>
      </c>
      <c r="Q605">
        <v>0</v>
      </c>
      <c r="R605">
        <v>-413</v>
      </c>
      <c r="U605" t="s">
        <v>2367</v>
      </c>
      <c r="V605" t="s">
        <v>3231</v>
      </c>
      <c r="W605">
        <v>0</v>
      </c>
      <c r="X605">
        <v>0</v>
      </c>
      <c r="Y605" t="s">
        <v>4039</v>
      </c>
      <c r="Z605">
        <v>-27.635091377104619</v>
      </c>
      <c r="AA605">
        <v>2006</v>
      </c>
      <c r="AB605">
        <v>89230</v>
      </c>
      <c r="AC605" t="s">
        <v>4886</v>
      </c>
      <c r="AD605">
        <v>64.319999999999993</v>
      </c>
      <c r="AE605" t="s">
        <v>5750</v>
      </c>
      <c r="AF605" t="s">
        <v>6577</v>
      </c>
      <c r="AG605">
        <v>4222</v>
      </c>
      <c r="AH605">
        <v>18</v>
      </c>
      <c r="AI605">
        <v>1019301</v>
      </c>
    </row>
    <row r="606" spans="1:36">
      <c r="A606" s="1" t="s">
        <v>640</v>
      </c>
      <c r="B606" t="s">
        <v>1504</v>
      </c>
      <c r="C606" t="str">
        <f>HYPERLINK("https://finance.naver.com/item/coinfo.nhn?code=015260", "A015260")</f>
        <v>A015260</v>
      </c>
      <c r="D606" t="str">
        <f>HYPERLINK("http://comp.fnguide.com/SVO2/ASP/SVD_Consensus.asp?pGB=1&amp;gicode=A015260&amp;cID=&amp;MenuYn=Y&amp;ReportGB=&amp;NewMenuID=108&amp;stkGb=701", "에이엔피")</f>
        <v>에이엔피</v>
      </c>
      <c r="E606">
        <v>3</v>
      </c>
      <c r="F606">
        <v>1540</v>
      </c>
      <c r="G606">
        <v>0</v>
      </c>
      <c r="I606">
        <v>0</v>
      </c>
      <c r="J606">
        <v>1610</v>
      </c>
      <c r="K606">
        <v>2067</v>
      </c>
      <c r="L606">
        <v>100</v>
      </c>
      <c r="M606">
        <v>-4.54</v>
      </c>
      <c r="N606">
        <v>-34.25</v>
      </c>
      <c r="O606">
        <v>0</v>
      </c>
      <c r="P606" t="b">
        <v>0</v>
      </c>
      <c r="Q606">
        <v>0</v>
      </c>
      <c r="R606">
        <v>-410</v>
      </c>
      <c r="U606" t="s">
        <v>2368</v>
      </c>
      <c r="V606" t="s">
        <v>3232</v>
      </c>
      <c r="W606">
        <v>0</v>
      </c>
      <c r="X606">
        <v>0</v>
      </c>
      <c r="Y606" t="s">
        <v>3499</v>
      </c>
      <c r="Z606">
        <v>0</v>
      </c>
      <c r="AA606">
        <v>336</v>
      </c>
      <c r="AB606">
        <v>3071330</v>
      </c>
      <c r="AC606" t="s">
        <v>4887</v>
      </c>
      <c r="AD606">
        <v>15.26</v>
      </c>
      <c r="AE606" t="s">
        <v>5751</v>
      </c>
      <c r="AF606" t="s">
        <v>6021</v>
      </c>
      <c r="AG606">
        <v>1058</v>
      </c>
      <c r="AH606">
        <v>-66</v>
      </c>
      <c r="AI606">
        <v>532</v>
      </c>
    </row>
    <row r="607" spans="1:36">
      <c r="A607" s="1" t="s">
        <v>641</v>
      </c>
      <c r="B607" t="s">
        <v>1505</v>
      </c>
      <c r="C607" t="str">
        <f>HYPERLINK("https://finance.naver.com/item/coinfo.nhn?code=013870", "A013870")</f>
        <v>A013870</v>
      </c>
      <c r="D607" t="str">
        <f>HYPERLINK("http://comp.fnguide.com/SVO2/ASP/SVD_Consensus.asp?pGB=1&amp;gicode=A013870&amp;cID=&amp;MenuYn=Y&amp;ReportGB=&amp;NewMenuID=108&amp;stkGb=701", "지엠비코리아")</f>
        <v>지엠비코리아</v>
      </c>
      <c r="E607">
        <v>3</v>
      </c>
      <c r="F607">
        <v>7370</v>
      </c>
      <c r="G607">
        <v>0</v>
      </c>
      <c r="H607">
        <v>34.270000000000003</v>
      </c>
      <c r="I607">
        <v>2206</v>
      </c>
      <c r="J607">
        <v>8015</v>
      </c>
      <c r="K607">
        <v>9665</v>
      </c>
      <c r="L607">
        <v>70.069999999999993</v>
      </c>
      <c r="M607">
        <v>-8.75</v>
      </c>
      <c r="N607">
        <v>-31.14</v>
      </c>
      <c r="O607">
        <v>1.48</v>
      </c>
      <c r="P607" t="b">
        <v>0</v>
      </c>
      <c r="Q607">
        <v>0</v>
      </c>
      <c r="R607">
        <v>143</v>
      </c>
      <c r="U607" t="s">
        <v>2369</v>
      </c>
      <c r="V607" t="s">
        <v>3233</v>
      </c>
      <c r="W607">
        <v>0</v>
      </c>
      <c r="X607">
        <v>0</v>
      </c>
      <c r="Y607" t="s">
        <v>4040</v>
      </c>
      <c r="Z607">
        <v>-31.13461144130849</v>
      </c>
      <c r="AA607">
        <v>1406</v>
      </c>
      <c r="AB607">
        <v>105665</v>
      </c>
      <c r="AC607" t="s">
        <v>4888</v>
      </c>
      <c r="AD607">
        <v>58.98</v>
      </c>
      <c r="AE607" t="s">
        <v>5752</v>
      </c>
      <c r="AF607" t="s">
        <v>6578</v>
      </c>
      <c r="AG607">
        <v>4775</v>
      </c>
      <c r="AH607">
        <v>85</v>
      </c>
      <c r="AJ607">
        <v>0.61</v>
      </c>
    </row>
    <row r="608" spans="1:36">
      <c r="A608" s="1" t="s">
        <v>642</v>
      </c>
      <c r="B608" t="s">
        <v>1506</v>
      </c>
      <c r="C608" t="str">
        <f>HYPERLINK("https://finance.naver.com/item/coinfo.nhn?code=002600", "A002600")</f>
        <v>A002600</v>
      </c>
      <c r="D608" t="str">
        <f>HYPERLINK("http://comp.fnguide.com/SVO2/ASP/SVD_Consensus.asp?pGB=1&amp;gicode=A002600&amp;cID=&amp;MenuYn=Y&amp;ReportGB=&amp;NewMenuID=108&amp;stkGb=701", "조흥")</f>
        <v>조흥</v>
      </c>
      <c r="E608">
        <v>3</v>
      </c>
      <c r="F608">
        <v>180500</v>
      </c>
      <c r="G608">
        <v>0</v>
      </c>
      <c r="H608">
        <v>11.43</v>
      </c>
      <c r="I608">
        <v>186657</v>
      </c>
      <c r="J608">
        <v>204212</v>
      </c>
      <c r="K608">
        <v>209200</v>
      </c>
      <c r="L608">
        <v>-3.41</v>
      </c>
      <c r="M608">
        <v>-13.14</v>
      </c>
      <c r="N608">
        <v>-15.9</v>
      </c>
      <c r="O608">
        <v>6.87</v>
      </c>
      <c r="P608" t="b">
        <v>1</v>
      </c>
      <c r="Q608">
        <v>0</v>
      </c>
      <c r="R608">
        <v>13076</v>
      </c>
      <c r="U608" t="s">
        <v>2370</v>
      </c>
      <c r="V608" t="s">
        <v>3234</v>
      </c>
      <c r="W608">
        <v>0</v>
      </c>
      <c r="X608">
        <v>27.5</v>
      </c>
      <c r="Y608" t="s">
        <v>4041</v>
      </c>
      <c r="Z608">
        <v>8.5217124047547443</v>
      </c>
      <c r="AA608">
        <v>1083</v>
      </c>
      <c r="AB608">
        <v>169</v>
      </c>
      <c r="AC608" t="s">
        <v>4889</v>
      </c>
      <c r="AD608">
        <v>67.23</v>
      </c>
      <c r="AE608" t="s">
        <v>5753</v>
      </c>
      <c r="AF608" t="s">
        <v>6579</v>
      </c>
      <c r="AG608">
        <v>1951</v>
      </c>
      <c r="AH608">
        <v>123</v>
      </c>
      <c r="AJ608">
        <v>4.01</v>
      </c>
    </row>
    <row r="609" spans="1:36">
      <c r="A609" s="1" t="s">
        <v>643</v>
      </c>
      <c r="B609" t="s">
        <v>1507</v>
      </c>
      <c r="C609" t="str">
        <f>HYPERLINK("https://finance.naver.com/item/coinfo.nhn?code=009810", "A009810")</f>
        <v>A009810</v>
      </c>
      <c r="D609" t="str">
        <f>HYPERLINK("http://comp.fnguide.com/SVO2/ASP/SVD_Consensus.asp?pGB=1&amp;gicode=A009810&amp;cID=&amp;MenuYn=Y&amp;ReportGB=&amp;NewMenuID=108&amp;stkGb=701", "엔케이물산")</f>
        <v>엔케이물산</v>
      </c>
      <c r="E609">
        <v>3</v>
      </c>
      <c r="F609">
        <v>550</v>
      </c>
      <c r="G609">
        <v>0</v>
      </c>
      <c r="I609">
        <v>0</v>
      </c>
      <c r="J609">
        <v>596</v>
      </c>
      <c r="K609">
        <v>765</v>
      </c>
      <c r="L609">
        <v>100</v>
      </c>
      <c r="M609">
        <v>-8.3800000000000008</v>
      </c>
      <c r="N609">
        <v>-39.17</v>
      </c>
      <c r="O609">
        <v>0</v>
      </c>
      <c r="P609" t="b">
        <v>0</v>
      </c>
      <c r="Q609">
        <v>0</v>
      </c>
      <c r="R609">
        <v>-79</v>
      </c>
      <c r="U609" t="s">
        <v>2371</v>
      </c>
      <c r="V609" t="s">
        <v>3235</v>
      </c>
      <c r="W609">
        <v>0</v>
      </c>
      <c r="X609">
        <v>0</v>
      </c>
      <c r="Y609" t="s">
        <v>3499</v>
      </c>
      <c r="Z609">
        <v>0</v>
      </c>
      <c r="AA609">
        <v>437</v>
      </c>
      <c r="AB609">
        <v>589533</v>
      </c>
      <c r="AC609" t="s">
        <v>4890</v>
      </c>
      <c r="AD609">
        <v>16.62</v>
      </c>
      <c r="AE609" t="s">
        <v>5754</v>
      </c>
      <c r="AF609" t="s">
        <v>6021</v>
      </c>
      <c r="AG609">
        <v>88</v>
      </c>
      <c r="AH609">
        <v>-14</v>
      </c>
    </row>
    <row r="610" spans="1:36">
      <c r="A610" s="1" t="s">
        <v>644</v>
      </c>
      <c r="B610" t="s">
        <v>1508</v>
      </c>
      <c r="C610" t="str">
        <f>HYPERLINK("https://finance.naver.com/item/coinfo.nhn?code=100250", "A100250")</f>
        <v>A100250</v>
      </c>
      <c r="D610" t="str">
        <f>HYPERLINK("http://comp.fnguide.com/SVO2/ASP/SVD_Consensus.asp?pGB=1&amp;gicode=A100250&amp;cID=&amp;MenuYn=Y&amp;ReportGB=&amp;NewMenuID=108&amp;stkGb=701", "진양홀딩스")</f>
        <v>진양홀딩스</v>
      </c>
      <c r="E610">
        <v>3</v>
      </c>
      <c r="F610">
        <v>2880</v>
      </c>
      <c r="G610">
        <v>0</v>
      </c>
      <c r="H610">
        <v>9.65</v>
      </c>
      <c r="I610">
        <v>2236</v>
      </c>
      <c r="J610">
        <v>4270</v>
      </c>
      <c r="K610">
        <v>4848</v>
      </c>
      <c r="L610">
        <v>22.38</v>
      </c>
      <c r="M610">
        <v>-48.27</v>
      </c>
      <c r="N610">
        <v>-68.349999999999994</v>
      </c>
      <c r="O610">
        <v>3.16</v>
      </c>
      <c r="P610" t="b">
        <v>1</v>
      </c>
      <c r="Q610">
        <v>0</v>
      </c>
      <c r="R610">
        <v>271</v>
      </c>
      <c r="U610" t="s">
        <v>2372</v>
      </c>
      <c r="V610" t="s">
        <v>3236</v>
      </c>
      <c r="W610">
        <v>0</v>
      </c>
      <c r="X610">
        <v>210.2</v>
      </c>
      <c r="Y610" t="s">
        <v>4042</v>
      </c>
      <c r="Z610">
        <v>40.698232145431817</v>
      </c>
      <c r="AA610">
        <v>1610</v>
      </c>
      <c r="AB610">
        <v>413805</v>
      </c>
      <c r="AC610" t="s">
        <v>4891</v>
      </c>
      <c r="AD610">
        <v>62.94</v>
      </c>
      <c r="AE610" t="s">
        <v>5755</v>
      </c>
      <c r="AF610" t="s">
        <v>6580</v>
      </c>
      <c r="AG610">
        <v>2253</v>
      </c>
      <c r="AH610">
        <v>129</v>
      </c>
      <c r="AI610">
        <v>1100000</v>
      </c>
      <c r="AJ610">
        <v>6.51</v>
      </c>
    </row>
    <row r="611" spans="1:36">
      <c r="A611" s="1" t="s">
        <v>645</v>
      </c>
      <c r="B611" t="s">
        <v>1509</v>
      </c>
      <c r="C611" t="str">
        <f>HYPERLINK("https://finance.naver.com/item/coinfo.nhn?code=014440", "A014440")</f>
        <v>A014440</v>
      </c>
      <c r="D611" t="str">
        <f>HYPERLINK("http://comp.fnguide.com/SVO2/ASP/SVD_Consensus.asp?pGB=1&amp;gicode=A014440&amp;cID=&amp;MenuYn=Y&amp;ReportGB=&amp;NewMenuID=108&amp;stkGb=701", "영보화학")</f>
        <v>영보화학</v>
      </c>
      <c r="E611">
        <v>3</v>
      </c>
      <c r="F611">
        <v>3640</v>
      </c>
      <c r="G611">
        <v>0</v>
      </c>
      <c r="H611">
        <v>13.61</v>
      </c>
      <c r="I611">
        <v>6575</v>
      </c>
      <c r="J611">
        <v>7108</v>
      </c>
      <c r="K611">
        <v>7260</v>
      </c>
      <c r="L611">
        <v>-80.63</v>
      </c>
      <c r="M611">
        <v>-95.29</v>
      </c>
      <c r="N611">
        <v>-99.45</v>
      </c>
      <c r="O611">
        <v>7</v>
      </c>
      <c r="P611" t="b">
        <v>1</v>
      </c>
      <c r="Q611">
        <v>0</v>
      </c>
      <c r="R611">
        <v>256</v>
      </c>
      <c r="U611" t="s">
        <v>2373</v>
      </c>
      <c r="V611" t="s">
        <v>3237</v>
      </c>
      <c r="W611">
        <v>0</v>
      </c>
      <c r="X611">
        <v>-76.5</v>
      </c>
      <c r="Y611" t="s">
        <v>4043</v>
      </c>
      <c r="Z611">
        <v>-33.304348751832421</v>
      </c>
      <c r="AA611">
        <v>728</v>
      </c>
      <c r="AB611">
        <v>47810</v>
      </c>
      <c r="AC611" t="s">
        <v>4892</v>
      </c>
      <c r="AD611">
        <v>51</v>
      </c>
      <c r="AE611" t="s">
        <v>5756</v>
      </c>
      <c r="AF611" t="s">
        <v>6581</v>
      </c>
      <c r="AG611">
        <v>1312</v>
      </c>
      <c r="AH611">
        <v>84</v>
      </c>
      <c r="AI611">
        <v>500000</v>
      </c>
      <c r="AJ611">
        <v>2.87</v>
      </c>
    </row>
    <row r="612" spans="1:36">
      <c r="A612" s="1" t="s">
        <v>646</v>
      </c>
      <c r="B612" t="s">
        <v>1510</v>
      </c>
      <c r="C612" t="str">
        <f>HYPERLINK("https://finance.naver.com/item/coinfo.nhn?code=111770", "A111770")</f>
        <v>A111770</v>
      </c>
      <c r="D612" t="str">
        <f>HYPERLINK("http://comp.fnguide.com/SVO2/ASP/SVD_Consensus.asp?pGB=1&amp;gicode=A111770&amp;cID=&amp;MenuYn=Y&amp;ReportGB=&amp;NewMenuID=108&amp;stkGb=701", "영원무역")</f>
        <v>영원무역</v>
      </c>
      <c r="E612">
        <v>3</v>
      </c>
      <c r="F612">
        <v>31750</v>
      </c>
      <c r="G612">
        <v>0.51</v>
      </c>
      <c r="H612">
        <v>9.1300000000000008</v>
      </c>
      <c r="I612">
        <v>48112</v>
      </c>
      <c r="J612">
        <v>44450</v>
      </c>
      <c r="K612">
        <v>43409</v>
      </c>
      <c r="L612">
        <v>-51.54</v>
      </c>
      <c r="M612">
        <v>-40</v>
      </c>
      <c r="N612">
        <v>-36.72</v>
      </c>
      <c r="O612">
        <v>9.09</v>
      </c>
      <c r="P612" t="b">
        <v>1</v>
      </c>
      <c r="Q612">
        <v>3</v>
      </c>
      <c r="R612">
        <v>3753</v>
      </c>
      <c r="S612">
        <v>4037</v>
      </c>
      <c r="T612">
        <v>7.6</v>
      </c>
      <c r="U612" t="s">
        <v>2374</v>
      </c>
      <c r="V612" t="s">
        <v>3238</v>
      </c>
      <c r="W612">
        <v>18.073588112062659</v>
      </c>
      <c r="X612">
        <v>-1.7</v>
      </c>
      <c r="Y612" t="s">
        <v>4044</v>
      </c>
      <c r="Z612">
        <v>4.7051340051704527</v>
      </c>
      <c r="AA612">
        <v>14069</v>
      </c>
      <c r="AB612">
        <v>140925</v>
      </c>
      <c r="AC612" t="s">
        <v>4893</v>
      </c>
      <c r="AD612">
        <v>50.74</v>
      </c>
      <c r="AE612" t="s">
        <v>5757</v>
      </c>
      <c r="AF612" t="s">
        <v>6582</v>
      </c>
      <c r="AG612">
        <v>23883</v>
      </c>
      <c r="AH612">
        <v>2376</v>
      </c>
      <c r="AI612">
        <v>445407</v>
      </c>
      <c r="AJ612">
        <v>1.17</v>
      </c>
    </row>
    <row r="613" spans="1:36">
      <c r="A613" s="1" t="s">
        <v>647</v>
      </c>
      <c r="B613" t="s">
        <v>1511</v>
      </c>
      <c r="C613" t="str">
        <f>HYPERLINK("https://finance.naver.com/item/coinfo.nhn?code=009970", "A009970")</f>
        <v>A009970</v>
      </c>
      <c r="D613" t="str">
        <f>HYPERLINK("http://comp.fnguide.com/SVO2/ASP/SVD_Consensus.asp?pGB=1&amp;gicode=A009970&amp;cID=&amp;MenuYn=Y&amp;ReportGB=&amp;NewMenuID=108&amp;stkGb=701", "영원무역홀딩스")</f>
        <v>영원무역홀딩스</v>
      </c>
      <c r="E613">
        <v>3</v>
      </c>
      <c r="F613">
        <v>37900</v>
      </c>
      <c r="G613">
        <v>0</v>
      </c>
      <c r="H613">
        <v>5.43</v>
      </c>
      <c r="I613">
        <v>134331</v>
      </c>
      <c r="J613">
        <v>124838</v>
      </c>
      <c r="K613">
        <v>122140</v>
      </c>
      <c r="L613">
        <v>-254.43</v>
      </c>
      <c r="M613">
        <v>-229.39</v>
      </c>
      <c r="N613">
        <v>-222.27</v>
      </c>
      <c r="O613">
        <v>9</v>
      </c>
      <c r="P613" t="b">
        <v>1</v>
      </c>
      <c r="Q613">
        <v>0</v>
      </c>
      <c r="R613">
        <v>8870</v>
      </c>
      <c r="U613" t="s">
        <v>2375</v>
      </c>
      <c r="V613" t="s">
        <v>3239</v>
      </c>
      <c r="W613">
        <v>0</v>
      </c>
      <c r="X613">
        <v>-7.8</v>
      </c>
      <c r="Y613" t="s">
        <v>4045</v>
      </c>
      <c r="Z613">
        <v>5.6636667611388747</v>
      </c>
      <c r="AA613">
        <v>5168</v>
      </c>
      <c r="AB613">
        <v>12482</v>
      </c>
      <c r="AC613" t="s">
        <v>4894</v>
      </c>
      <c r="AD613">
        <v>46.24</v>
      </c>
      <c r="AE613" t="s">
        <v>5758</v>
      </c>
      <c r="AF613" t="s">
        <v>6583</v>
      </c>
      <c r="AG613">
        <v>27380</v>
      </c>
      <c r="AH613">
        <v>2990</v>
      </c>
      <c r="AI613">
        <v>2030694</v>
      </c>
      <c r="AJ613">
        <v>2.0699999999999998</v>
      </c>
    </row>
    <row r="614" spans="1:36">
      <c r="A614" s="1" t="s">
        <v>648</v>
      </c>
      <c r="B614" t="s">
        <v>1512</v>
      </c>
      <c r="C614" t="str">
        <f>HYPERLINK("https://finance.naver.com/item/coinfo.nhn?code=000670", "A000670")</f>
        <v>A000670</v>
      </c>
      <c r="D614" t="str">
        <f>HYPERLINK("http://comp.fnguide.com/SVO2/ASP/SVD_Consensus.asp?pGB=1&amp;gicode=A000670&amp;cID=&amp;MenuYn=Y&amp;ReportGB=&amp;NewMenuID=108&amp;stkGb=701", "영풍")</f>
        <v>영풍</v>
      </c>
      <c r="E614">
        <v>3</v>
      </c>
      <c r="F614">
        <v>536000</v>
      </c>
      <c r="G614">
        <v>0</v>
      </c>
      <c r="H614">
        <v>5.0999999999999996</v>
      </c>
      <c r="I614">
        <v>1517235</v>
      </c>
      <c r="J614">
        <v>1743423</v>
      </c>
      <c r="K614">
        <v>1807701</v>
      </c>
      <c r="L614">
        <v>-183.07</v>
      </c>
      <c r="M614">
        <v>-225.27</v>
      </c>
      <c r="N614">
        <v>-237.26</v>
      </c>
      <c r="O614">
        <v>6.36</v>
      </c>
      <c r="P614" t="b">
        <v>1</v>
      </c>
      <c r="Q614">
        <v>0</v>
      </c>
      <c r="R614">
        <v>126504</v>
      </c>
      <c r="U614" t="s">
        <v>2376</v>
      </c>
      <c r="V614" t="s">
        <v>3240</v>
      </c>
      <c r="W614">
        <v>0</v>
      </c>
      <c r="X614">
        <v>-26</v>
      </c>
      <c r="Y614" t="s">
        <v>4046</v>
      </c>
      <c r="Z614">
        <v>6.0093571376616186</v>
      </c>
      <c r="AA614">
        <v>9873</v>
      </c>
      <c r="AB614">
        <v>1949</v>
      </c>
      <c r="AC614" t="s">
        <v>4895</v>
      </c>
      <c r="AD614">
        <v>78.33</v>
      </c>
      <c r="AE614" t="s">
        <v>5759</v>
      </c>
      <c r="AF614" t="s">
        <v>6584</v>
      </c>
      <c r="AG614">
        <v>30841</v>
      </c>
      <c r="AH614">
        <v>844</v>
      </c>
      <c r="AI614">
        <v>121906</v>
      </c>
      <c r="AJ614">
        <v>1.55</v>
      </c>
    </row>
    <row r="615" spans="1:36">
      <c r="A615" s="1" t="s">
        <v>649</v>
      </c>
      <c r="B615" t="s">
        <v>1513</v>
      </c>
      <c r="C615" t="str">
        <f>HYPERLINK("https://finance.naver.com/item/coinfo.nhn?code=120030", "A120030")</f>
        <v>A120030</v>
      </c>
      <c r="D615" t="str">
        <f>HYPERLINK("http://comp.fnguide.com/SVO2/ASP/SVD_Consensus.asp?pGB=1&amp;gicode=A120030&amp;cID=&amp;MenuYn=Y&amp;ReportGB=&amp;NewMenuID=108&amp;stkGb=701", "조선선재")</f>
        <v>조선선재</v>
      </c>
      <c r="E615">
        <v>3</v>
      </c>
      <c r="F615">
        <v>107500</v>
      </c>
      <c r="G615">
        <v>0</v>
      </c>
      <c r="H615">
        <v>8.11</v>
      </c>
      <c r="I615">
        <v>169173</v>
      </c>
      <c r="J615">
        <v>131073</v>
      </c>
      <c r="K615">
        <v>120246</v>
      </c>
      <c r="L615">
        <v>-57.37</v>
      </c>
      <c r="M615">
        <v>-21.93</v>
      </c>
      <c r="N615">
        <v>-11.86</v>
      </c>
      <c r="O615">
        <v>12.69</v>
      </c>
      <c r="P615" t="b">
        <v>1</v>
      </c>
      <c r="Q615">
        <v>0</v>
      </c>
      <c r="R615">
        <v>10187</v>
      </c>
      <c r="U615" t="s">
        <v>2377</v>
      </c>
      <c r="V615" t="s">
        <v>3241</v>
      </c>
      <c r="W615">
        <v>0</v>
      </c>
      <c r="X615">
        <v>-12.9</v>
      </c>
      <c r="Y615" t="s">
        <v>4047</v>
      </c>
      <c r="Z615">
        <v>-5.1761203423303366</v>
      </c>
      <c r="AA615">
        <v>1352</v>
      </c>
      <c r="AB615">
        <v>5027</v>
      </c>
      <c r="AC615" t="s">
        <v>4896</v>
      </c>
      <c r="AD615">
        <v>51.84</v>
      </c>
      <c r="AE615" t="s">
        <v>5760</v>
      </c>
      <c r="AF615" t="s">
        <v>6585</v>
      </c>
      <c r="AG615">
        <v>640</v>
      </c>
      <c r="AH615">
        <v>141</v>
      </c>
      <c r="AI615">
        <v>213717</v>
      </c>
      <c r="AJ615">
        <v>1.82</v>
      </c>
    </row>
    <row r="616" spans="1:36">
      <c r="A616" s="1" t="s">
        <v>650</v>
      </c>
      <c r="B616" t="s">
        <v>1514</v>
      </c>
      <c r="C616" t="str">
        <f>HYPERLINK("https://finance.naver.com/item/coinfo.nhn?code=006740", "A006740")</f>
        <v>A006740</v>
      </c>
      <c r="D616" t="str">
        <f>HYPERLINK("http://comp.fnguide.com/SVO2/ASP/SVD_Consensus.asp?pGB=1&amp;gicode=A006740&amp;cID=&amp;MenuYn=Y&amp;ReportGB=&amp;NewMenuID=108&amp;stkGb=701", "영풍제지")</f>
        <v>영풍제지</v>
      </c>
      <c r="E616">
        <v>3</v>
      </c>
      <c r="F616">
        <v>6500</v>
      </c>
      <c r="G616">
        <v>0</v>
      </c>
      <c r="H616">
        <v>7.45</v>
      </c>
      <c r="I616">
        <v>7941</v>
      </c>
      <c r="J616">
        <v>7255</v>
      </c>
      <c r="K616">
        <v>7060</v>
      </c>
      <c r="L616">
        <v>-22.17</v>
      </c>
      <c r="M616">
        <v>-11.61</v>
      </c>
      <c r="N616">
        <v>-8.61</v>
      </c>
      <c r="O616">
        <v>9.27</v>
      </c>
      <c r="P616" t="b">
        <v>1</v>
      </c>
      <c r="Q616">
        <v>0</v>
      </c>
      <c r="R616">
        <v>418</v>
      </c>
      <c r="U616" t="s">
        <v>2378</v>
      </c>
      <c r="V616" t="s">
        <v>3242</v>
      </c>
      <c r="W616">
        <v>0</v>
      </c>
      <c r="X616">
        <v>-4.8</v>
      </c>
      <c r="Y616" t="s">
        <v>4048</v>
      </c>
      <c r="Z616">
        <v>12.6233358007017</v>
      </c>
      <c r="AA616">
        <v>1443</v>
      </c>
      <c r="AB616">
        <v>1085244</v>
      </c>
      <c r="AC616" t="s">
        <v>4897</v>
      </c>
      <c r="AD616">
        <v>54.44</v>
      </c>
      <c r="AE616" t="s">
        <v>5761</v>
      </c>
      <c r="AF616" t="s">
        <v>6586</v>
      </c>
      <c r="AG616">
        <v>997</v>
      </c>
      <c r="AH616">
        <v>109</v>
      </c>
      <c r="AI616">
        <v>4627676</v>
      </c>
      <c r="AJ616">
        <v>1.28</v>
      </c>
    </row>
    <row r="617" spans="1:36">
      <c r="A617" s="1" t="s">
        <v>651</v>
      </c>
      <c r="B617" t="s">
        <v>1515</v>
      </c>
      <c r="C617" t="str">
        <f>HYPERLINK("https://finance.naver.com/item/coinfo.nhn?code=012160", "A012160")</f>
        <v>A012160</v>
      </c>
      <c r="D617" t="str">
        <f>HYPERLINK("http://comp.fnguide.com/SVO2/ASP/SVD_Consensus.asp?pGB=1&amp;gicode=A012160&amp;cID=&amp;MenuYn=Y&amp;ReportGB=&amp;NewMenuID=108&amp;stkGb=701", "영흥")</f>
        <v>영흥</v>
      </c>
      <c r="E617">
        <v>3</v>
      </c>
      <c r="F617">
        <v>1200</v>
      </c>
      <c r="G617">
        <v>0</v>
      </c>
      <c r="H617">
        <v>92.09</v>
      </c>
      <c r="I617">
        <v>113</v>
      </c>
      <c r="J617">
        <v>1734</v>
      </c>
      <c r="K617">
        <v>2195</v>
      </c>
      <c r="L617">
        <v>90.57</v>
      </c>
      <c r="M617">
        <v>-44.51</v>
      </c>
      <c r="N617">
        <v>-82.89</v>
      </c>
      <c r="O617">
        <v>0.32</v>
      </c>
      <c r="P617" t="b">
        <v>0</v>
      </c>
      <c r="Q617">
        <v>0</v>
      </c>
      <c r="R617">
        <v>12</v>
      </c>
      <c r="U617" t="s">
        <v>2379</v>
      </c>
      <c r="V617" t="s">
        <v>3243</v>
      </c>
      <c r="W617">
        <v>0</v>
      </c>
      <c r="X617">
        <v>0</v>
      </c>
      <c r="Y617" t="s">
        <v>4049</v>
      </c>
      <c r="Z617">
        <v>-93.5</v>
      </c>
      <c r="AA617">
        <v>1030</v>
      </c>
      <c r="AB617">
        <v>559020</v>
      </c>
      <c r="AC617" t="s">
        <v>4898</v>
      </c>
      <c r="AD617">
        <v>29.78</v>
      </c>
      <c r="AE617" t="s">
        <v>5762</v>
      </c>
      <c r="AF617" t="s">
        <v>6587</v>
      </c>
      <c r="AG617">
        <v>1975</v>
      </c>
      <c r="AH617">
        <v>34</v>
      </c>
      <c r="AI617">
        <v>31808526</v>
      </c>
      <c r="AJ617">
        <v>2.62</v>
      </c>
    </row>
    <row r="618" spans="1:36">
      <c r="A618" s="1" t="s">
        <v>652</v>
      </c>
      <c r="B618" t="s">
        <v>1516</v>
      </c>
      <c r="C618" t="str">
        <f>HYPERLINK("https://finance.naver.com/item/coinfo.nhn?code=088790", "A088790")</f>
        <v>A088790</v>
      </c>
      <c r="D618" t="str">
        <f>HYPERLINK("http://comp.fnguide.com/SVO2/ASP/SVD_Consensus.asp?pGB=1&amp;gicode=A088790&amp;cID=&amp;MenuYn=Y&amp;ReportGB=&amp;NewMenuID=108&amp;stkGb=701", "진도")</f>
        <v>진도</v>
      </c>
      <c r="E618">
        <v>3</v>
      </c>
      <c r="F618">
        <v>3980</v>
      </c>
      <c r="G618">
        <v>0</v>
      </c>
      <c r="I618">
        <v>3442</v>
      </c>
      <c r="J618">
        <v>6209</v>
      </c>
      <c r="K618">
        <v>6996</v>
      </c>
      <c r="L618">
        <v>13.52</v>
      </c>
      <c r="M618">
        <v>-56.01</v>
      </c>
      <c r="N618">
        <v>-75.78</v>
      </c>
      <c r="O618">
        <v>3.4</v>
      </c>
      <c r="P618" t="b">
        <v>0</v>
      </c>
      <c r="Q618">
        <v>0</v>
      </c>
      <c r="R618">
        <v>-219</v>
      </c>
      <c r="U618" t="s">
        <v>2380</v>
      </c>
      <c r="V618" t="s">
        <v>3244</v>
      </c>
      <c r="W618">
        <v>0</v>
      </c>
      <c r="X618">
        <v>0</v>
      </c>
      <c r="Y618" t="s">
        <v>4050</v>
      </c>
      <c r="Z618">
        <v>14.453017572242871</v>
      </c>
      <c r="AA618">
        <v>495</v>
      </c>
      <c r="AB618">
        <v>610338</v>
      </c>
      <c r="AC618" t="s">
        <v>4899</v>
      </c>
      <c r="AD618">
        <v>50.85</v>
      </c>
      <c r="AE618" t="s">
        <v>5763</v>
      </c>
      <c r="AF618" t="s">
        <v>6588</v>
      </c>
      <c r="AG618">
        <v>779</v>
      </c>
      <c r="AH618">
        <v>-29</v>
      </c>
      <c r="AJ618">
        <v>2.7</v>
      </c>
    </row>
    <row r="619" spans="1:36">
      <c r="A619" s="1" t="s">
        <v>653</v>
      </c>
      <c r="B619" t="s">
        <v>1517</v>
      </c>
      <c r="C619" t="str">
        <f>HYPERLINK("https://finance.naver.com/item/coinfo.nhn?code=161000", "A161000")</f>
        <v>A161000</v>
      </c>
      <c r="D619" t="str">
        <f>HYPERLINK("http://comp.fnguide.com/SVO2/ASP/SVD_Consensus.asp?pGB=1&amp;gicode=A161000&amp;cID=&amp;MenuYn=Y&amp;ReportGB=&amp;NewMenuID=108&amp;stkGb=701", "애경유화")</f>
        <v>애경유화</v>
      </c>
      <c r="E619">
        <v>3</v>
      </c>
      <c r="F619">
        <v>9240</v>
      </c>
      <c r="G619">
        <v>-0.76</v>
      </c>
      <c r="H619">
        <v>8.61</v>
      </c>
      <c r="I619">
        <v>19758</v>
      </c>
      <c r="J619">
        <v>14793</v>
      </c>
      <c r="K619">
        <v>13383</v>
      </c>
      <c r="L619">
        <v>-113.83</v>
      </c>
      <c r="M619">
        <v>-60.1</v>
      </c>
      <c r="N619">
        <v>-44.83</v>
      </c>
      <c r="O619">
        <v>13.63</v>
      </c>
      <c r="P619" t="b">
        <v>1</v>
      </c>
      <c r="Q619">
        <v>1</v>
      </c>
      <c r="R619">
        <v>952</v>
      </c>
      <c r="S619">
        <v>1414</v>
      </c>
      <c r="T619">
        <v>48.5</v>
      </c>
      <c r="U619" t="s">
        <v>2381</v>
      </c>
      <c r="V619" t="s">
        <v>3245</v>
      </c>
      <c r="W619">
        <v>-11.38294718695732</v>
      </c>
      <c r="X619">
        <v>-2.5</v>
      </c>
      <c r="Y619" t="s">
        <v>4051</v>
      </c>
      <c r="Z619">
        <v>0.97370886731560358</v>
      </c>
      <c r="AA619">
        <v>2961</v>
      </c>
      <c r="AB619">
        <v>222563</v>
      </c>
      <c r="AC619" t="s">
        <v>4900</v>
      </c>
      <c r="AD619">
        <v>49.47</v>
      </c>
      <c r="AE619" t="s">
        <v>5764</v>
      </c>
      <c r="AF619" t="s">
        <v>6589</v>
      </c>
      <c r="AG619">
        <v>10170</v>
      </c>
      <c r="AH619">
        <v>469</v>
      </c>
      <c r="AI619">
        <v>475850</v>
      </c>
      <c r="AJ619">
        <v>4.2699999999999996</v>
      </c>
    </row>
    <row r="620" spans="1:36">
      <c r="A620" s="1" t="s">
        <v>654</v>
      </c>
      <c r="B620" t="s">
        <v>1518</v>
      </c>
      <c r="C620" t="str">
        <f>HYPERLINK("https://finance.naver.com/item/coinfo.nhn?code=001800", "A001800")</f>
        <v>A001800</v>
      </c>
      <c r="D620" t="str">
        <f>HYPERLINK("http://comp.fnguide.com/SVO2/ASP/SVD_Consensus.asp?pGB=1&amp;gicode=A001800&amp;cID=&amp;MenuYn=Y&amp;ReportGB=&amp;NewMenuID=108&amp;stkGb=701", "오리온홀딩스")</f>
        <v>오리온홀딩스</v>
      </c>
      <c r="E620">
        <v>3</v>
      </c>
      <c r="F620">
        <v>13800</v>
      </c>
      <c r="G620">
        <v>0</v>
      </c>
      <c r="H620">
        <v>23.05</v>
      </c>
      <c r="I620">
        <v>66913</v>
      </c>
      <c r="J620">
        <v>45918</v>
      </c>
      <c r="K620">
        <v>39951</v>
      </c>
      <c r="L620">
        <v>-384.87</v>
      </c>
      <c r="M620">
        <v>-232.74</v>
      </c>
      <c r="N620">
        <v>-189.5</v>
      </c>
      <c r="O620">
        <v>16.59</v>
      </c>
      <c r="P620" t="b">
        <v>0</v>
      </c>
      <c r="Q620">
        <v>0</v>
      </c>
      <c r="R620">
        <v>772</v>
      </c>
      <c r="U620" t="s">
        <v>2382</v>
      </c>
      <c r="V620" t="s">
        <v>3246</v>
      </c>
      <c r="W620">
        <v>0</v>
      </c>
      <c r="X620">
        <v>50.8</v>
      </c>
      <c r="Y620" t="s">
        <v>4052</v>
      </c>
      <c r="Z620">
        <v>-15.341600402863969</v>
      </c>
      <c r="AA620">
        <v>8645</v>
      </c>
      <c r="AB620">
        <v>216953</v>
      </c>
      <c r="AC620" t="s">
        <v>4901</v>
      </c>
      <c r="AD620">
        <v>63.85</v>
      </c>
      <c r="AE620" t="s">
        <v>5765</v>
      </c>
      <c r="AF620" t="s">
        <v>6590</v>
      </c>
      <c r="AG620">
        <v>21036</v>
      </c>
      <c r="AH620">
        <v>2667</v>
      </c>
      <c r="AI620">
        <v>2488769</v>
      </c>
      <c r="AJ620">
        <v>3.65</v>
      </c>
    </row>
    <row r="621" spans="1:36">
      <c r="A621" s="1" t="s">
        <v>655</v>
      </c>
      <c r="B621" t="s">
        <v>1519</v>
      </c>
      <c r="C621" t="str">
        <f>HYPERLINK("https://finance.naver.com/item/coinfo.nhn?code=183190", "A183190")</f>
        <v>A183190</v>
      </c>
      <c r="D621" t="str">
        <f>HYPERLINK("http://comp.fnguide.com/SVO2/ASP/SVD_Consensus.asp?pGB=1&amp;gicode=A183190&amp;cID=&amp;MenuYn=Y&amp;ReportGB=&amp;NewMenuID=108&amp;stkGb=701", "아세아시멘트")</f>
        <v>아세아시멘트</v>
      </c>
      <c r="E621">
        <v>3</v>
      </c>
      <c r="F621">
        <v>71900</v>
      </c>
      <c r="G621">
        <v>0</v>
      </c>
      <c r="H621">
        <v>10.62</v>
      </c>
      <c r="I621">
        <v>98563</v>
      </c>
      <c r="J621">
        <v>162577</v>
      </c>
      <c r="K621">
        <v>180769</v>
      </c>
      <c r="L621">
        <v>-37.08</v>
      </c>
      <c r="M621">
        <v>-126.12</v>
      </c>
      <c r="N621">
        <v>-151.41999999999999</v>
      </c>
      <c r="O621">
        <v>3.82</v>
      </c>
      <c r="P621" t="b">
        <v>1</v>
      </c>
      <c r="Q621">
        <v>0</v>
      </c>
      <c r="R621">
        <v>7157</v>
      </c>
      <c r="U621" t="s">
        <v>2383</v>
      </c>
      <c r="V621" t="s">
        <v>3247</v>
      </c>
      <c r="W621">
        <v>0</v>
      </c>
      <c r="X621">
        <v>-53.8</v>
      </c>
      <c r="Y621" t="s">
        <v>4053</v>
      </c>
      <c r="Z621">
        <v>-24.286707903477581</v>
      </c>
      <c r="AA621">
        <v>2801</v>
      </c>
      <c r="AB621">
        <v>7919</v>
      </c>
      <c r="AC621" t="s">
        <v>4902</v>
      </c>
      <c r="AD621">
        <v>61.36</v>
      </c>
      <c r="AE621" t="s">
        <v>5766</v>
      </c>
      <c r="AF621" t="s">
        <v>6591</v>
      </c>
      <c r="AG621">
        <v>8368</v>
      </c>
      <c r="AH621">
        <v>808</v>
      </c>
      <c r="AI621">
        <v>1327</v>
      </c>
      <c r="AJ621">
        <v>1.97</v>
      </c>
    </row>
    <row r="622" spans="1:36">
      <c r="A622" s="1" t="s">
        <v>656</v>
      </c>
      <c r="B622" t="s">
        <v>1520</v>
      </c>
      <c r="C622" t="str">
        <f>HYPERLINK("https://finance.naver.com/item/coinfo.nhn?code=023810", "A023810")</f>
        <v>A023810</v>
      </c>
      <c r="D622" t="str">
        <f>HYPERLINK("http://comp.fnguide.com/SVO2/ASP/SVD_Consensus.asp?pGB=1&amp;gicode=A023810&amp;cID=&amp;MenuYn=Y&amp;ReportGB=&amp;NewMenuID=108&amp;stkGb=701", "인팩")</f>
        <v>인팩</v>
      </c>
      <c r="E622">
        <v>3</v>
      </c>
      <c r="F622">
        <v>5990</v>
      </c>
      <c r="G622">
        <v>0</v>
      </c>
      <c r="I622">
        <v>642</v>
      </c>
      <c r="J622">
        <v>5899</v>
      </c>
      <c r="K622">
        <v>7393</v>
      </c>
      <c r="L622">
        <v>89.28</v>
      </c>
      <c r="M622">
        <v>1.51</v>
      </c>
      <c r="N622">
        <v>-23.43</v>
      </c>
      <c r="O622">
        <v>0.54</v>
      </c>
      <c r="P622" t="b">
        <v>0</v>
      </c>
      <c r="Q622">
        <v>0</v>
      </c>
      <c r="R622">
        <v>-617</v>
      </c>
      <c r="U622" t="s">
        <v>2384</v>
      </c>
      <c r="V622" t="s">
        <v>3248</v>
      </c>
      <c r="W622">
        <v>0</v>
      </c>
      <c r="X622">
        <v>0</v>
      </c>
      <c r="Y622" t="s">
        <v>4054</v>
      </c>
      <c r="Z622">
        <v>-11.7</v>
      </c>
      <c r="AA622">
        <v>599</v>
      </c>
      <c r="AB622">
        <v>17862</v>
      </c>
      <c r="AC622" t="s">
        <v>4903</v>
      </c>
      <c r="AD622">
        <v>51.68</v>
      </c>
      <c r="AE622" t="s">
        <v>5767</v>
      </c>
      <c r="AF622" t="s">
        <v>6592</v>
      </c>
      <c r="AG622">
        <v>3608</v>
      </c>
      <c r="AH622">
        <v>-4</v>
      </c>
      <c r="AJ622">
        <v>3.23</v>
      </c>
    </row>
    <row r="623" spans="1:36">
      <c r="A623" s="1" t="s">
        <v>657</v>
      </c>
      <c r="B623" t="s">
        <v>1521</v>
      </c>
      <c r="C623" t="str">
        <f>HYPERLINK("https://finance.naver.com/item/coinfo.nhn?code=055550", "A055550")</f>
        <v>A055550</v>
      </c>
      <c r="D623" t="str">
        <f>HYPERLINK("http://comp.fnguide.com/SVO2/ASP/SVD_Consensus.asp?pGB=1&amp;gicode=A055550&amp;cID=&amp;MenuYn=Y&amp;ReportGB=&amp;NewMenuID=108&amp;stkGb=701", "신한지주")</f>
        <v>신한지주</v>
      </c>
      <c r="E623">
        <v>3</v>
      </c>
      <c r="F623">
        <v>33300</v>
      </c>
      <c r="G623">
        <v>1.82</v>
      </c>
      <c r="H623">
        <v>6.19</v>
      </c>
      <c r="I623">
        <v>87281</v>
      </c>
      <c r="J623">
        <v>80403</v>
      </c>
      <c r="K623">
        <v>78448</v>
      </c>
      <c r="L623">
        <v>-162.1</v>
      </c>
      <c r="M623">
        <v>-141.44999999999999</v>
      </c>
      <c r="N623">
        <v>-135.58000000000001</v>
      </c>
      <c r="O623">
        <v>9.14</v>
      </c>
      <c r="P623" t="b">
        <v>1</v>
      </c>
      <c r="Q623">
        <v>0</v>
      </c>
      <c r="R623">
        <v>7004</v>
      </c>
      <c r="S623">
        <v>6798</v>
      </c>
      <c r="T623">
        <v>-2.9</v>
      </c>
      <c r="U623" t="s">
        <v>2385</v>
      </c>
      <c r="V623" t="s">
        <v>3249</v>
      </c>
      <c r="W623">
        <v>3.392112803732128</v>
      </c>
      <c r="X623">
        <v>2.5</v>
      </c>
      <c r="Y623" t="s">
        <v>4055</v>
      </c>
      <c r="Z623">
        <v>2.5999610136341111</v>
      </c>
      <c r="AA623">
        <v>172003</v>
      </c>
      <c r="AB623">
        <v>2853145</v>
      </c>
      <c r="AC623" t="s">
        <v>4904</v>
      </c>
      <c r="AD623">
        <v>9.84</v>
      </c>
      <c r="AE623" t="s">
        <v>5768</v>
      </c>
      <c r="AF623" t="s">
        <v>6593</v>
      </c>
      <c r="AG623">
        <v>157074</v>
      </c>
      <c r="AH623">
        <v>50463</v>
      </c>
      <c r="AI623">
        <v>3926</v>
      </c>
      <c r="AJ623">
        <v>4.2699999999999996</v>
      </c>
    </row>
    <row r="624" spans="1:36">
      <c r="A624" s="1" t="s">
        <v>658</v>
      </c>
      <c r="B624" t="s">
        <v>1522</v>
      </c>
      <c r="C624" t="str">
        <f>HYPERLINK("https://finance.naver.com/item/coinfo.nhn?code=120110", "A120110")</f>
        <v>A120110</v>
      </c>
      <c r="D624" t="str">
        <f>HYPERLINK("http://comp.fnguide.com/SVO2/ASP/SVD_Consensus.asp?pGB=1&amp;gicode=A120110&amp;cID=&amp;MenuYn=Y&amp;ReportGB=&amp;NewMenuID=108&amp;stkGb=701", "코오롱인더")</f>
        <v>코오롱인더</v>
      </c>
      <c r="E624">
        <v>3</v>
      </c>
      <c r="F624">
        <v>40050</v>
      </c>
      <c r="G624">
        <v>12.43</v>
      </c>
      <c r="H624">
        <v>45.55</v>
      </c>
      <c r="I624">
        <v>27149</v>
      </c>
      <c r="J624">
        <v>55770</v>
      </c>
      <c r="K624">
        <v>63903</v>
      </c>
      <c r="L624">
        <v>32.21</v>
      </c>
      <c r="M624">
        <v>-39.25</v>
      </c>
      <c r="N624">
        <v>-59.56</v>
      </c>
      <c r="O624">
        <v>2.89</v>
      </c>
      <c r="P624" t="b">
        <v>0</v>
      </c>
      <c r="Q624">
        <v>1</v>
      </c>
      <c r="R624">
        <v>1092</v>
      </c>
      <c r="S624">
        <v>5382</v>
      </c>
      <c r="T624">
        <v>392.9</v>
      </c>
      <c r="U624" t="s">
        <v>2386</v>
      </c>
      <c r="V624" t="s">
        <v>3250</v>
      </c>
      <c r="W624">
        <v>3.664205727064096</v>
      </c>
      <c r="X624">
        <v>235.8</v>
      </c>
      <c r="Y624" t="s">
        <v>4056</v>
      </c>
      <c r="Z624">
        <v>-11.976991579897531</v>
      </c>
      <c r="AA624">
        <v>10805</v>
      </c>
      <c r="AB624">
        <v>144212</v>
      </c>
      <c r="AC624" t="s">
        <v>4905</v>
      </c>
      <c r="AD624">
        <v>37.14</v>
      </c>
      <c r="AE624" t="s">
        <v>5769</v>
      </c>
      <c r="AF624" t="s">
        <v>6594</v>
      </c>
      <c r="AG624">
        <v>44072</v>
      </c>
      <c r="AH624">
        <v>1729</v>
      </c>
      <c r="AJ624">
        <v>1.81</v>
      </c>
    </row>
    <row r="625" spans="1:36">
      <c r="A625" s="1" t="s">
        <v>659</v>
      </c>
      <c r="B625" t="s">
        <v>1523</v>
      </c>
      <c r="C625" t="str">
        <f>HYPERLINK("https://finance.naver.com/item/coinfo.nhn?code=001770", "A001770")</f>
        <v>A001770</v>
      </c>
      <c r="D625" t="str">
        <f>HYPERLINK("http://comp.fnguide.com/SVO2/ASP/SVD_Consensus.asp?pGB=1&amp;gicode=A001770&amp;cID=&amp;MenuYn=Y&amp;ReportGB=&amp;NewMenuID=108&amp;stkGb=701", "신화실업")</f>
        <v>신화실업</v>
      </c>
      <c r="E625">
        <v>3</v>
      </c>
      <c r="F625">
        <v>20350</v>
      </c>
      <c r="G625">
        <v>0</v>
      </c>
      <c r="H625">
        <v>24.08</v>
      </c>
      <c r="I625">
        <v>16386</v>
      </c>
      <c r="J625">
        <v>23465</v>
      </c>
      <c r="K625">
        <v>25476</v>
      </c>
      <c r="L625">
        <v>19.48</v>
      </c>
      <c r="M625">
        <v>-15.31</v>
      </c>
      <c r="N625">
        <v>-25.19</v>
      </c>
      <c r="O625">
        <v>4.62</v>
      </c>
      <c r="P625" t="b">
        <v>0</v>
      </c>
      <c r="Q625">
        <v>0</v>
      </c>
      <c r="R625">
        <v>793</v>
      </c>
      <c r="U625" t="s">
        <v>2387</v>
      </c>
      <c r="V625" t="s">
        <v>3251</v>
      </c>
      <c r="W625">
        <v>0</v>
      </c>
      <c r="X625">
        <v>-82.4</v>
      </c>
      <c r="Y625" t="s">
        <v>4057</v>
      </c>
      <c r="Z625">
        <v>-38.538991903008238</v>
      </c>
      <c r="AA625">
        <v>247</v>
      </c>
      <c r="AB625">
        <v>7642</v>
      </c>
      <c r="AC625" t="s">
        <v>4906</v>
      </c>
      <c r="AD625">
        <v>51.86</v>
      </c>
      <c r="AE625" t="s">
        <v>5770</v>
      </c>
      <c r="AF625" t="s">
        <v>6595</v>
      </c>
      <c r="AG625">
        <v>741</v>
      </c>
      <c r="AH625">
        <v>10</v>
      </c>
      <c r="AJ625">
        <v>0.52</v>
      </c>
    </row>
    <row r="626" spans="1:36">
      <c r="A626" s="1" t="s">
        <v>660</v>
      </c>
      <c r="B626" t="s">
        <v>1524</v>
      </c>
      <c r="C626" t="str">
        <f>HYPERLINK("https://finance.naver.com/item/coinfo.nhn?code=102280", "A102280")</f>
        <v>A102280</v>
      </c>
      <c r="D626" t="str">
        <f>HYPERLINK("http://comp.fnguide.com/SVO2/ASP/SVD_Consensus.asp?pGB=1&amp;gicode=A102280&amp;cID=&amp;MenuYn=Y&amp;ReportGB=&amp;NewMenuID=108&amp;stkGb=701", "쌍방울")</f>
        <v>쌍방울</v>
      </c>
      <c r="E626">
        <v>3</v>
      </c>
      <c r="F626">
        <v>620</v>
      </c>
      <c r="G626">
        <v>0</v>
      </c>
      <c r="I626">
        <v>878</v>
      </c>
      <c r="J626">
        <v>767</v>
      </c>
      <c r="K626">
        <v>735</v>
      </c>
      <c r="L626">
        <v>-41.55</v>
      </c>
      <c r="M626">
        <v>-23.65</v>
      </c>
      <c r="N626">
        <v>-18.559999999999999</v>
      </c>
      <c r="O626">
        <v>10.050000000000001</v>
      </c>
      <c r="P626" t="b">
        <v>0</v>
      </c>
      <c r="Q626">
        <v>0</v>
      </c>
      <c r="R626">
        <v>-250</v>
      </c>
      <c r="U626" t="s">
        <v>2388</v>
      </c>
      <c r="V626" t="s">
        <v>3252</v>
      </c>
      <c r="W626">
        <v>0</v>
      </c>
      <c r="X626">
        <v>0</v>
      </c>
      <c r="Y626" t="s">
        <v>3499</v>
      </c>
      <c r="Z626">
        <v>0</v>
      </c>
      <c r="AA626">
        <v>1484</v>
      </c>
      <c r="AB626">
        <v>1791003</v>
      </c>
      <c r="AC626" t="s">
        <v>4907</v>
      </c>
      <c r="AD626">
        <v>13.21</v>
      </c>
      <c r="AE626" t="s">
        <v>5771</v>
      </c>
      <c r="AF626" t="s">
        <v>6596</v>
      </c>
      <c r="AG626">
        <v>965</v>
      </c>
      <c r="AH626">
        <v>-103</v>
      </c>
      <c r="AI626">
        <v>12030</v>
      </c>
    </row>
    <row r="627" spans="1:36">
      <c r="A627" s="1" t="s">
        <v>661</v>
      </c>
      <c r="B627" t="s">
        <v>1525</v>
      </c>
      <c r="C627" t="str">
        <f>HYPERLINK("https://finance.naver.com/item/coinfo.nhn?code=004920", "A004920")</f>
        <v>A004920</v>
      </c>
      <c r="D627" t="str">
        <f>HYPERLINK("http://comp.fnguide.com/SVO2/ASP/SVD_Consensus.asp?pGB=1&amp;gicode=A004920&amp;cID=&amp;MenuYn=Y&amp;ReportGB=&amp;NewMenuID=108&amp;stkGb=701", "씨아이테크")</f>
        <v>씨아이테크</v>
      </c>
      <c r="E627">
        <v>3</v>
      </c>
      <c r="F627">
        <v>881</v>
      </c>
      <c r="G627">
        <v>0</v>
      </c>
      <c r="I627">
        <v>0</v>
      </c>
      <c r="J627">
        <v>695</v>
      </c>
      <c r="K627">
        <v>893</v>
      </c>
      <c r="L627">
        <v>100</v>
      </c>
      <c r="M627">
        <v>21.09</v>
      </c>
      <c r="N627">
        <v>-1.33</v>
      </c>
      <c r="O627">
        <v>0</v>
      </c>
      <c r="P627" t="b">
        <v>0</v>
      </c>
      <c r="Q627">
        <v>0</v>
      </c>
      <c r="R627">
        <v>-237</v>
      </c>
      <c r="U627" t="s">
        <v>2389</v>
      </c>
      <c r="V627" t="s">
        <v>3253</v>
      </c>
      <c r="W627">
        <v>0</v>
      </c>
      <c r="X627">
        <v>0</v>
      </c>
      <c r="Y627" t="s">
        <v>3499</v>
      </c>
      <c r="Z627">
        <v>0</v>
      </c>
      <c r="AA627">
        <v>221</v>
      </c>
      <c r="AB627">
        <v>150736</v>
      </c>
      <c r="AC627" t="s">
        <v>4908</v>
      </c>
      <c r="AD627">
        <v>36.799999999999997</v>
      </c>
      <c r="AE627" t="s">
        <v>5772</v>
      </c>
      <c r="AF627" t="s">
        <v>6021</v>
      </c>
      <c r="AG627">
        <v>407</v>
      </c>
      <c r="AH627">
        <v>-31</v>
      </c>
      <c r="AI627">
        <v>686535</v>
      </c>
    </row>
    <row r="628" spans="1:36">
      <c r="A628" s="1" t="s">
        <v>662</v>
      </c>
      <c r="B628" t="s">
        <v>1526</v>
      </c>
      <c r="C628" t="str">
        <f>HYPERLINK("https://finance.naver.com/item/coinfo.nhn?code=002030", "A002030")</f>
        <v>A002030</v>
      </c>
      <c r="D628" t="str">
        <f>HYPERLINK("http://comp.fnguide.com/SVO2/ASP/SVD_Consensus.asp?pGB=1&amp;gicode=A002030&amp;cID=&amp;MenuYn=Y&amp;ReportGB=&amp;NewMenuID=108&amp;stkGb=701", "아세아")</f>
        <v>아세아</v>
      </c>
      <c r="E628">
        <v>3</v>
      </c>
      <c r="F628">
        <v>87900</v>
      </c>
      <c r="G628">
        <v>0</v>
      </c>
      <c r="H628">
        <v>4.7</v>
      </c>
      <c r="I628">
        <v>351248</v>
      </c>
      <c r="J628">
        <v>392687</v>
      </c>
      <c r="K628">
        <v>404464</v>
      </c>
      <c r="L628">
        <v>-299.60000000000002</v>
      </c>
      <c r="M628">
        <v>-346.74</v>
      </c>
      <c r="N628">
        <v>-360.14</v>
      </c>
      <c r="O628">
        <v>6.64</v>
      </c>
      <c r="P628" t="b">
        <v>1</v>
      </c>
      <c r="Q628">
        <v>0</v>
      </c>
      <c r="R628">
        <v>22002</v>
      </c>
      <c r="U628" t="s">
        <v>2390</v>
      </c>
      <c r="V628" t="s">
        <v>3254</v>
      </c>
      <c r="W628">
        <v>0</v>
      </c>
      <c r="X628">
        <v>-33.1</v>
      </c>
      <c r="Y628" t="s">
        <v>4058</v>
      </c>
      <c r="Z628">
        <v>38.455064767783057</v>
      </c>
      <c r="AA628">
        <v>1926</v>
      </c>
      <c r="AB628">
        <v>7226</v>
      </c>
      <c r="AC628" t="s">
        <v>4909</v>
      </c>
      <c r="AD628">
        <v>43.07</v>
      </c>
      <c r="AE628" t="s">
        <v>5773</v>
      </c>
      <c r="AF628" t="s">
        <v>6597</v>
      </c>
      <c r="AG628">
        <v>15424</v>
      </c>
      <c r="AH628">
        <v>1581</v>
      </c>
      <c r="AI628">
        <v>341322</v>
      </c>
      <c r="AJ628">
        <v>1.69</v>
      </c>
    </row>
    <row r="629" spans="1:36">
      <c r="A629" s="1" t="s">
        <v>663</v>
      </c>
      <c r="B629" t="s">
        <v>1527</v>
      </c>
      <c r="C629" t="str">
        <f>HYPERLINK("https://finance.naver.com/item/coinfo.nhn?code=002310", "A002310")</f>
        <v>A002310</v>
      </c>
      <c r="D629" t="str">
        <f>HYPERLINK("http://comp.fnguide.com/SVO2/ASP/SVD_Consensus.asp?pGB=1&amp;gicode=A002310&amp;cID=&amp;MenuYn=Y&amp;ReportGB=&amp;NewMenuID=108&amp;stkGb=701", "아세아제지")</f>
        <v>아세아제지</v>
      </c>
      <c r="E629">
        <v>3</v>
      </c>
      <c r="F629">
        <v>37050</v>
      </c>
      <c r="G629">
        <v>0</v>
      </c>
      <c r="H629">
        <v>4.37</v>
      </c>
      <c r="I629">
        <v>90088</v>
      </c>
      <c r="J629">
        <v>75177</v>
      </c>
      <c r="K629">
        <v>70939</v>
      </c>
      <c r="L629">
        <v>-143.15</v>
      </c>
      <c r="M629">
        <v>-102.91</v>
      </c>
      <c r="N629">
        <v>-91.47</v>
      </c>
      <c r="O629">
        <v>10.95</v>
      </c>
      <c r="P629" t="b">
        <v>1</v>
      </c>
      <c r="Q629">
        <v>0</v>
      </c>
      <c r="R629">
        <v>6860</v>
      </c>
      <c r="U629" t="s">
        <v>2391</v>
      </c>
      <c r="V629" t="s">
        <v>3255</v>
      </c>
      <c r="W629">
        <v>0</v>
      </c>
      <c r="X629">
        <v>-29.4</v>
      </c>
      <c r="Y629" t="s">
        <v>4059</v>
      </c>
      <c r="Z629">
        <v>20.244227355839168</v>
      </c>
      <c r="AA629">
        <v>3318</v>
      </c>
      <c r="AB629">
        <v>61721</v>
      </c>
      <c r="AC629" t="s">
        <v>4910</v>
      </c>
      <c r="AD629">
        <v>50.07</v>
      </c>
      <c r="AE629" t="s">
        <v>5774</v>
      </c>
      <c r="AF629" t="s">
        <v>6598</v>
      </c>
      <c r="AG629">
        <v>6977</v>
      </c>
      <c r="AH629">
        <v>711</v>
      </c>
      <c r="AJ629">
        <v>2</v>
      </c>
    </row>
    <row r="630" spans="1:36">
      <c r="A630" s="1" t="s">
        <v>664</v>
      </c>
      <c r="B630" t="s">
        <v>1528</v>
      </c>
      <c r="C630" t="str">
        <f>HYPERLINK("https://finance.naver.com/item/coinfo.nhn?code=006380", "A006380")</f>
        <v>A006380</v>
      </c>
      <c r="D630" t="str">
        <f>HYPERLINK("http://comp.fnguide.com/SVO2/ASP/SVD_Consensus.asp?pGB=1&amp;gicode=A006380&amp;cID=&amp;MenuYn=Y&amp;ReportGB=&amp;NewMenuID=108&amp;stkGb=701", "카프로")</f>
        <v>카프로</v>
      </c>
      <c r="E630">
        <v>3</v>
      </c>
      <c r="F630">
        <v>3695</v>
      </c>
      <c r="G630">
        <v>0</v>
      </c>
      <c r="I630">
        <v>1194</v>
      </c>
      <c r="J630">
        <v>3251</v>
      </c>
      <c r="K630">
        <v>3835</v>
      </c>
      <c r="L630">
        <v>67.69</v>
      </c>
      <c r="M630">
        <v>12.02</v>
      </c>
      <c r="N630">
        <v>-3.8</v>
      </c>
      <c r="O630">
        <v>2.06</v>
      </c>
      <c r="P630" t="b">
        <v>0</v>
      </c>
      <c r="Q630">
        <v>0</v>
      </c>
      <c r="R630">
        <v>-2070</v>
      </c>
      <c r="U630" t="s">
        <v>2392</v>
      </c>
      <c r="V630" t="s">
        <v>3256</v>
      </c>
      <c r="W630">
        <v>0</v>
      </c>
      <c r="X630">
        <v>0</v>
      </c>
      <c r="Y630" t="s">
        <v>4060</v>
      </c>
      <c r="Z630">
        <v>-18.70000000000001</v>
      </c>
      <c r="AA630">
        <v>1478</v>
      </c>
      <c r="AB630">
        <v>293326</v>
      </c>
      <c r="AC630" t="s">
        <v>4911</v>
      </c>
      <c r="AD630">
        <v>12.75</v>
      </c>
      <c r="AE630" t="s">
        <v>5775</v>
      </c>
      <c r="AF630" t="s">
        <v>6599</v>
      </c>
      <c r="AG630">
        <v>4402</v>
      </c>
      <c r="AH630">
        <v>-474</v>
      </c>
    </row>
    <row r="631" spans="1:36">
      <c r="A631" s="1" t="s">
        <v>665</v>
      </c>
      <c r="B631" t="s">
        <v>1529</v>
      </c>
      <c r="C631" t="str">
        <f>HYPERLINK("https://finance.naver.com/item/coinfo.nhn?code=122900", "A122900")</f>
        <v>A122900</v>
      </c>
      <c r="D631" t="str">
        <f>HYPERLINK("http://comp.fnguide.com/SVO2/ASP/SVD_Consensus.asp?pGB=1&amp;gicode=A122900&amp;cID=&amp;MenuYn=Y&amp;ReportGB=&amp;NewMenuID=108&amp;stkGb=701", "아이마켓코리아")</f>
        <v>아이마켓코리아</v>
      </c>
      <c r="E631">
        <v>3</v>
      </c>
      <c r="F631">
        <v>9400</v>
      </c>
      <c r="G631">
        <v>0</v>
      </c>
      <c r="H631">
        <v>23.27</v>
      </c>
      <c r="I631">
        <v>5234</v>
      </c>
      <c r="J631">
        <v>9086</v>
      </c>
      <c r="K631">
        <v>10180</v>
      </c>
      <c r="L631">
        <v>44.32</v>
      </c>
      <c r="M631">
        <v>3.35</v>
      </c>
      <c r="N631">
        <v>-8.3000000000000007</v>
      </c>
      <c r="O631">
        <v>3.57</v>
      </c>
      <c r="P631" t="b">
        <v>1</v>
      </c>
      <c r="Q631">
        <v>0</v>
      </c>
      <c r="R631">
        <v>447</v>
      </c>
      <c r="U631" t="s">
        <v>2393</v>
      </c>
      <c r="V631" t="s">
        <v>3257</v>
      </c>
      <c r="W631">
        <v>0</v>
      </c>
      <c r="X631">
        <v>0.1</v>
      </c>
      <c r="Y631" t="s">
        <v>4061</v>
      </c>
      <c r="Z631">
        <v>-17.280755579141388</v>
      </c>
      <c r="AA631">
        <v>3327</v>
      </c>
      <c r="AB631">
        <v>121599</v>
      </c>
      <c r="AC631" t="s">
        <v>4912</v>
      </c>
      <c r="AD631">
        <v>40.76</v>
      </c>
      <c r="AE631" t="s">
        <v>5776</v>
      </c>
      <c r="AF631" t="s">
        <v>6600</v>
      </c>
      <c r="AG631">
        <v>29238</v>
      </c>
      <c r="AH631">
        <v>520</v>
      </c>
      <c r="AI631">
        <v>3929000</v>
      </c>
      <c r="AJ631">
        <v>5.77</v>
      </c>
    </row>
    <row r="632" spans="1:36">
      <c r="A632" s="1" t="s">
        <v>666</v>
      </c>
      <c r="B632" t="s">
        <v>1530</v>
      </c>
      <c r="C632" t="str">
        <f>HYPERLINK("https://finance.naver.com/item/coinfo.nhn?code=002020", "A002020")</f>
        <v>A002020</v>
      </c>
      <c r="D632" t="str">
        <f>HYPERLINK("http://comp.fnguide.com/SVO2/ASP/SVD_Consensus.asp?pGB=1&amp;gicode=A002020&amp;cID=&amp;MenuYn=Y&amp;ReportGB=&amp;NewMenuID=108&amp;stkGb=701", "코오롱")</f>
        <v>코오롱</v>
      </c>
      <c r="E632">
        <v>3</v>
      </c>
      <c r="F632">
        <v>21800</v>
      </c>
      <c r="G632">
        <v>0</v>
      </c>
      <c r="I632">
        <v>12713</v>
      </c>
      <c r="J632">
        <v>33688</v>
      </c>
      <c r="K632">
        <v>39649</v>
      </c>
      <c r="L632">
        <v>41.69</v>
      </c>
      <c r="M632">
        <v>-54.53</v>
      </c>
      <c r="N632">
        <v>-81.88</v>
      </c>
      <c r="O632">
        <v>2.12</v>
      </c>
      <c r="P632" t="b">
        <v>0</v>
      </c>
      <c r="Q632">
        <v>0</v>
      </c>
      <c r="R632">
        <v>-1244</v>
      </c>
      <c r="U632" t="s">
        <v>2394</v>
      </c>
      <c r="V632" t="s">
        <v>3258</v>
      </c>
      <c r="W632">
        <v>0</v>
      </c>
      <c r="X632">
        <v>3715.7</v>
      </c>
      <c r="Y632" t="s">
        <v>4062</v>
      </c>
      <c r="Z632">
        <v>1168.0441553826111</v>
      </c>
      <c r="AA632">
        <v>2753</v>
      </c>
      <c r="AB632">
        <v>58770</v>
      </c>
      <c r="AC632" t="s">
        <v>4913</v>
      </c>
      <c r="AD632">
        <v>52.63</v>
      </c>
      <c r="AE632" t="s">
        <v>5777</v>
      </c>
      <c r="AF632" t="s">
        <v>6601</v>
      </c>
      <c r="AG632">
        <v>44060</v>
      </c>
      <c r="AH632">
        <v>1245</v>
      </c>
      <c r="AJ632">
        <v>2.85</v>
      </c>
    </row>
    <row r="633" spans="1:36">
      <c r="A633" s="1" t="s">
        <v>667</v>
      </c>
      <c r="B633" t="s">
        <v>1531</v>
      </c>
      <c r="C633" t="str">
        <f>HYPERLINK("https://finance.naver.com/item/coinfo.nhn?code=044820", "A044820")</f>
        <v>A044820</v>
      </c>
      <c r="D633" t="str">
        <f>HYPERLINK("http://comp.fnguide.com/SVO2/ASP/SVD_Consensus.asp?pGB=1&amp;gicode=A044820&amp;cID=&amp;MenuYn=Y&amp;ReportGB=&amp;NewMenuID=108&amp;stkGb=701", "코스맥스비티아이")</f>
        <v>코스맥스비티아이</v>
      </c>
      <c r="E633">
        <v>3</v>
      </c>
      <c r="F633">
        <v>17000</v>
      </c>
      <c r="G633">
        <v>0</v>
      </c>
      <c r="H633">
        <v>323.72000000000003</v>
      </c>
      <c r="I633">
        <v>5533</v>
      </c>
      <c r="J633">
        <v>21593</v>
      </c>
      <c r="K633">
        <v>26156</v>
      </c>
      <c r="L633">
        <v>67.45</v>
      </c>
      <c r="M633">
        <v>-27.02</v>
      </c>
      <c r="N633">
        <v>-53.86</v>
      </c>
      <c r="O633">
        <v>1.36</v>
      </c>
      <c r="P633" t="b">
        <v>0</v>
      </c>
      <c r="Q633">
        <v>0</v>
      </c>
      <c r="R633">
        <v>42</v>
      </c>
      <c r="U633" t="s">
        <v>2395</v>
      </c>
      <c r="V633" t="s">
        <v>3259</v>
      </c>
      <c r="W633">
        <v>0</v>
      </c>
      <c r="X633">
        <v>97.1</v>
      </c>
      <c r="Y633" t="s">
        <v>4063</v>
      </c>
      <c r="Z633">
        <v>-37.136309556247937</v>
      </c>
      <c r="AA633">
        <v>1633</v>
      </c>
      <c r="AB633">
        <v>32272</v>
      </c>
      <c r="AC633" t="s">
        <v>4914</v>
      </c>
      <c r="AD633">
        <v>61.04</v>
      </c>
      <c r="AE633" t="s">
        <v>5778</v>
      </c>
      <c r="AF633" t="s">
        <v>6602</v>
      </c>
      <c r="AG633">
        <v>4684</v>
      </c>
      <c r="AH633">
        <v>-73</v>
      </c>
      <c r="AI633">
        <v>49082</v>
      </c>
      <c r="AJ633">
        <v>1.86</v>
      </c>
    </row>
    <row r="634" spans="1:36">
      <c r="A634" s="1" t="s">
        <v>668</v>
      </c>
      <c r="B634" t="s">
        <v>1532</v>
      </c>
      <c r="C634" t="str">
        <f>HYPERLINK("https://finance.naver.com/item/coinfo.nhn?code=003690", "A003690")</f>
        <v>A003690</v>
      </c>
      <c r="D634" t="str">
        <f>HYPERLINK("http://comp.fnguide.com/SVO2/ASP/SVD_Consensus.asp?pGB=1&amp;gicode=A003690&amp;cID=&amp;MenuYn=Y&amp;ReportGB=&amp;NewMenuID=108&amp;stkGb=701", "코리안리")</f>
        <v>코리안리</v>
      </c>
      <c r="E634">
        <v>3</v>
      </c>
      <c r="F634">
        <v>8530</v>
      </c>
      <c r="G634">
        <v>0</v>
      </c>
      <c r="H634">
        <v>5.81</v>
      </c>
      <c r="I634">
        <v>20013</v>
      </c>
      <c r="J634">
        <v>22421</v>
      </c>
      <c r="K634">
        <v>23105</v>
      </c>
      <c r="L634">
        <v>-134.61000000000001</v>
      </c>
      <c r="M634">
        <v>-162.85</v>
      </c>
      <c r="N634">
        <v>-170.87</v>
      </c>
      <c r="O634">
        <v>6.62</v>
      </c>
      <c r="P634" t="b">
        <v>1</v>
      </c>
      <c r="Q634">
        <v>0</v>
      </c>
      <c r="R634">
        <v>1568</v>
      </c>
      <c r="U634" t="s">
        <v>2396</v>
      </c>
      <c r="V634" t="s">
        <v>3260</v>
      </c>
      <c r="W634">
        <v>0</v>
      </c>
      <c r="X634">
        <v>7.1</v>
      </c>
      <c r="Y634" t="s">
        <v>4064</v>
      </c>
      <c r="Z634">
        <v>6.7531348493093057</v>
      </c>
      <c r="AA634">
        <v>10267</v>
      </c>
      <c r="AB634">
        <v>626366</v>
      </c>
      <c r="AC634" t="s">
        <v>4915</v>
      </c>
      <c r="AD634">
        <v>22.74</v>
      </c>
      <c r="AE634" t="s">
        <v>5779</v>
      </c>
      <c r="AF634" t="s">
        <v>6603</v>
      </c>
      <c r="AG634">
        <v>80515</v>
      </c>
      <c r="AH634">
        <v>2498</v>
      </c>
      <c r="AI634">
        <v>18100000</v>
      </c>
      <c r="AJ634">
        <v>5.49</v>
      </c>
    </row>
    <row r="635" spans="1:36">
      <c r="A635" s="1" t="s">
        <v>669</v>
      </c>
      <c r="B635" t="s">
        <v>1533</v>
      </c>
      <c r="C635" t="str">
        <f>HYPERLINK("https://finance.naver.com/item/coinfo.nhn?code=029460", "A029460")</f>
        <v>A029460</v>
      </c>
      <c r="D635" t="str">
        <f>HYPERLINK("http://comp.fnguide.com/SVO2/ASP/SVD_Consensus.asp?pGB=1&amp;gicode=A029460&amp;cID=&amp;MenuYn=Y&amp;ReportGB=&amp;NewMenuID=108&amp;stkGb=701", "케이씨")</f>
        <v>케이씨</v>
      </c>
      <c r="E635">
        <v>3</v>
      </c>
      <c r="F635">
        <v>26100</v>
      </c>
      <c r="G635">
        <v>0</v>
      </c>
      <c r="H635">
        <v>5.01</v>
      </c>
      <c r="I635">
        <v>151594</v>
      </c>
      <c r="J635">
        <v>82144</v>
      </c>
      <c r="K635">
        <v>62408</v>
      </c>
      <c r="L635">
        <v>-480.82</v>
      </c>
      <c r="M635">
        <v>-214.73</v>
      </c>
      <c r="N635">
        <v>-139.11000000000001</v>
      </c>
      <c r="O635">
        <v>33.28</v>
      </c>
      <c r="P635" t="b">
        <v>1</v>
      </c>
      <c r="Q635">
        <v>0</v>
      </c>
      <c r="R635">
        <v>3722</v>
      </c>
      <c r="U635" t="s">
        <v>2397</v>
      </c>
      <c r="V635" t="s">
        <v>3261</v>
      </c>
      <c r="W635">
        <v>0</v>
      </c>
      <c r="X635">
        <v>14.7</v>
      </c>
      <c r="Y635" t="s">
        <v>4065</v>
      </c>
      <c r="Z635">
        <v>27.14754635543952</v>
      </c>
      <c r="AA635">
        <v>3538</v>
      </c>
      <c r="AB635">
        <v>99493</v>
      </c>
      <c r="AC635" t="s">
        <v>4916</v>
      </c>
      <c r="AD635">
        <v>40.67</v>
      </c>
      <c r="AE635" t="s">
        <v>5780</v>
      </c>
      <c r="AF635" t="s">
        <v>6604</v>
      </c>
      <c r="AG635">
        <v>5119</v>
      </c>
      <c r="AH635">
        <v>676</v>
      </c>
      <c r="AI635">
        <v>1116836</v>
      </c>
      <c r="AJ635">
        <v>1.34</v>
      </c>
    </row>
    <row r="636" spans="1:36">
      <c r="A636" s="1" t="s">
        <v>670</v>
      </c>
      <c r="B636" t="s">
        <v>1534</v>
      </c>
      <c r="C636" t="str">
        <f>HYPERLINK("https://finance.naver.com/item/coinfo.nhn?code=033660", "A033660")</f>
        <v>A033660</v>
      </c>
      <c r="D636" t="str">
        <f>HYPERLINK("http://comp.fnguide.com/SVO2/ASP/SVD_Consensus.asp?pGB=1&amp;gicode=A033660&amp;cID=&amp;MenuYn=Y&amp;ReportGB=&amp;NewMenuID=108&amp;stkGb=701", "아주캐피탈")</f>
        <v>아주캐피탈</v>
      </c>
      <c r="E636">
        <v>3</v>
      </c>
      <c r="F636">
        <v>12850</v>
      </c>
      <c r="G636">
        <v>0.23</v>
      </c>
      <c r="H636">
        <v>7.05</v>
      </c>
      <c r="I636">
        <v>21910</v>
      </c>
      <c r="J636">
        <v>17555</v>
      </c>
      <c r="K636">
        <v>16318</v>
      </c>
      <c r="L636">
        <v>-70.5</v>
      </c>
      <c r="M636">
        <v>-36.619999999999997</v>
      </c>
      <c r="N636">
        <v>-26.99</v>
      </c>
      <c r="O636">
        <v>11.86</v>
      </c>
      <c r="P636" t="b">
        <v>1</v>
      </c>
      <c r="Q636">
        <v>3</v>
      </c>
      <c r="R636">
        <v>1765</v>
      </c>
      <c r="S636">
        <v>1998</v>
      </c>
      <c r="T636">
        <v>13.2</v>
      </c>
      <c r="U636" t="s">
        <v>2398</v>
      </c>
      <c r="V636" t="s">
        <v>3262</v>
      </c>
      <c r="W636">
        <v>30.24672450725792</v>
      </c>
      <c r="Y636" t="s">
        <v>3605</v>
      </c>
      <c r="Z636">
        <v>5.3230441831680464</v>
      </c>
      <c r="AA636">
        <v>7395</v>
      </c>
      <c r="AB636">
        <v>65690</v>
      </c>
      <c r="AC636" t="s">
        <v>4917</v>
      </c>
      <c r="AD636">
        <v>74.05</v>
      </c>
      <c r="AE636" t="s">
        <v>5781</v>
      </c>
      <c r="AF636" t="s">
        <v>6605</v>
      </c>
      <c r="AG636">
        <v>2293</v>
      </c>
      <c r="AH636">
        <v>1338</v>
      </c>
      <c r="AI636">
        <v>2067090</v>
      </c>
      <c r="AJ636">
        <v>5.22</v>
      </c>
    </row>
    <row r="637" spans="1:36">
      <c r="A637" s="1" t="s">
        <v>671</v>
      </c>
      <c r="B637" t="s">
        <v>1535</v>
      </c>
      <c r="C637" t="str">
        <f>HYPERLINK("https://finance.naver.com/item/coinfo.nhn?code=001620", "A001620")</f>
        <v>A001620</v>
      </c>
      <c r="D637" t="str">
        <f>HYPERLINK("http://comp.fnguide.com/SVO2/ASP/SVD_Consensus.asp?pGB=1&amp;gicode=A001620&amp;cID=&amp;MenuYn=Y&amp;ReportGB=&amp;NewMenuID=108&amp;stkGb=701", "케이비아이동국실업")</f>
        <v>케이비아이동국실업</v>
      </c>
      <c r="E637">
        <v>3</v>
      </c>
      <c r="F637">
        <v>684</v>
      </c>
      <c r="G637">
        <v>0</v>
      </c>
      <c r="I637">
        <v>0</v>
      </c>
      <c r="J637">
        <v>1603</v>
      </c>
      <c r="K637">
        <v>2059</v>
      </c>
      <c r="L637">
        <v>100</v>
      </c>
      <c r="M637">
        <v>-134.41999999999999</v>
      </c>
      <c r="N637">
        <v>-201.04</v>
      </c>
      <c r="O637">
        <v>0</v>
      </c>
      <c r="P637" t="b">
        <v>0</v>
      </c>
      <c r="Q637">
        <v>0</v>
      </c>
      <c r="R637">
        <v>-32</v>
      </c>
      <c r="U637" t="s">
        <v>2399</v>
      </c>
      <c r="V637" t="s">
        <v>3263</v>
      </c>
      <c r="W637">
        <v>0</v>
      </c>
      <c r="X637">
        <v>0</v>
      </c>
      <c r="Y637" t="s">
        <v>4066</v>
      </c>
      <c r="Z637">
        <v>229.5</v>
      </c>
      <c r="AA637">
        <v>452</v>
      </c>
      <c r="AB637">
        <v>81603</v>
      </c>
      <c r="AC637" t="s">
        <v>4918</v>
      </c>
      <c r="AD637">
        <v>48.26</v>
      </c>
      <c r="AE637" t="s">
        <v>5782</v>
      </c>
      <c r="AF637" t="s">
        <v>6021</v>
      </c>
      <c r="AG637">
        <v>6156</v>
      </c>
      <c r="AH637">
        <v>-140</v>
      </c>
    </row>
    <row r="638" spans="1:36">
      <c r="A638" s="1" t="s">
        <v>672</v>
      </c>
      <c r="B638" t="s">
        <v>1536</v>
      </c>
      <c r="C638" t="str">
        <f>HYPERLINK("https://finance.naver.com/item/coinfo.nhn?code=015360", "A015360")</f>
        <v>A015360</v>
      </c>
      <c r="D638" t="str">
        <f>HYPERLINK("http://comp.fnguide.com/SVO2/ASP/SVD_Consensus.asp?pGB=1&amp;gicode=A015360&amp;cID=&amp;MenuYn=Y&amp;ReportGB=&amp;NewMenuID=108&amp;stkGb=701", "예스코홀딩스")</f>
        <v>예스코홀딩스</v>
      </c>
      <c r="E638">
        <v>3</v>
      </c>
      <c r="F638">
        <v>36750</v>
      </c>
      <c r="G638">
        <v>0</v>
      </c>
      <c r="H638">
        <v>11.41</v>
      </c>
      <c r="I638">
        <v>39144</v>
      </c>
      <c r="J638">
        <v>93294</v>
      </c>
      <c r="K638">
        <v>108683</v>
      </c>
      <c r="L638">
        <v>-6.52</v>
      </c>
      <c r="M638">
        <v>-153.86000000000001</v>
      </c>
      <c r="N638">
        <v>-195.74</v>
      </c>
      <c r="O638">
        <v>2.41</v>
      </c>
      <c r="P638" t="b">
        <v>0</v>
      </c>
      <c r="Q638">
        <v>0</v>
      </c>
      <c r="R638">
        <v>3278</v>
      </c>
      <c r="U638" t="s">
        <v>2400</v>
      </c>
      <c r="V638" t="s">
        <v>3264</v>
      </c>
      <c r="W638">
        <v>0</v>
      </c>
      <c r="X638">
        <v>0</v>
      </c>
      <c r="Y638" t="s">
        <v>4067</v>
      </c>
      <c r="Z638">
        <v>19.70079364816257</v>
      </c>
      <c r="AA638">
        <v>2205</v>
      </c>
      <c r="AB638">
        <v>2572</v>
      </c>
      <c r="AC638" t="s">
        <v>4919</v>
      </c>
      <c r="AD638">
        <v>39.369999999999997</v>
      </c>
      <c r="AE638" t="s">
        <v>5783</v>
      </c>
      <c r="AF638" t="s">
        <v>6606</v>
      </c>
      <c r="AG638">
        <v>11082</v>
      </c>
      <c r="AH638">
        <v>221</v>
      </c>
      <c r="AI638">
        <v>1734211</v>
      </c>
      <c r="AJ638">
        <v>4.68</v>
      </c>
    </row>
    <row r="639" spans="1:36">
      <c r="A639" s="1" t="s">
        <v>673</v>
      </c>
      <c r="B639" t="s">
        <v>1537</v>
      </c>
      <c r="C639" t="str">
        <f>HYPERLINK("https://finance.naver.com/item/coinfo.nhn?code=000480", "A000480")</f>
        <v>A000480</v>
      </c>
      <c r="D639" t="str">
        <f>HYPERLINK("http://comp.fnguide.com/SVO2/ASP/SVD_Consensus.asp?pGB=1&amp;gicode=A000480&amp;cID=&amp;MenuYn=Y&amp;ReportGB=&amp;NewMenuID=108&amp;stkGb=701", "조선내화")</f>
        <v>조선내화</v>
      </c>
      <c r="E639">
        <v>3</v>
      </c>
      <c r="F639">
        <v>86800</v>
      </c>
      <c r="G639">
        <v>0</v>
      </c>
      <c r="H639">
        <v>14.59</v>
      </c>
      <c r="I639">
        <v>129386</v>
      </c>
      <c r="J639">
        <v>162810</v>
      </c>
      <c r="K639">
        <v>172308</v>
      </c>
      <c r="L639">
        <v>-49.06</v>
      </c>
      <c r="M639">
        <v>-87.57</v>
      </c>
      <c r="N639">
        <v>-98.51</v>
      </c>
      <c r="O639">
        <v>5.55</v>
      </c>
      <c r="P639" t="b">
        <v>1</v>
      </c>
      <c r="Q639">
        <v>0</v>
      </c>
      <c r="R639">
        <v>6088</v>
      </c>
      <c r="U639" t="s">
        <v>2401</v>
      </c>
      <c r="V639" t="s">
        <v>3265</v>
      </c>
      <c r="W639">
        <v>0</v>
      </c>
      <c r="X639">
        <v>79.3</v>
      </c>
      <c r="Y639" t="s">
        <v>4068</v>
      </c>
      <c r="Z639">
        <v>22.851866526274531</v>
      </c>
      <c r="AA639">
        <v>3472</v>
      </c>
      <c r="AB639">
        <v>1105</v>
      </c>
      <c r="AC639" t="s">
        <v>4920</v>
      </c>
      <c r="AD639">
        <v>61.41</v>
      </c>
      <c r="AE639" t="s">
        <v>5784</v>
      </c>
      <c r="AF639" t="s">
        <v>6607</v>
      </c>
      <c r="AG639">
        <v>7572</v>
      </c>
      <c r="AH639">
        <v>213</v>
      </c>
      <c r="AI639">
        <v>800000</v>
      </c>
      <c r="AJ639">
        <v>4.5</v>
      </c>
    </row>
    <row r="640" spans="1:36">
      <c r="A640" s="1" t="s">
        <v>674</v>
      </c>
      <c r="B640" t="s">
        <v>1538</v>
      </c>
      <c r="C640" t="str">
        <f>HYPERLINK("https://finance.naver.com/item/coinfo.nhn?code=192400", "A192400")</f>
        <v>A192400</v>
      </c>
      <c r="D640" t="str">
        <f>HYPERLINK("http://comp.fnguide.com/SVO2/ASP/SVD_Consensus.asp?pGB=1&amp;gicode=A192400&amp;cID=&amp;MenuYn=Y&amp;ReportGB=&amp;NewMenuID=108&amp;stkGb=701", "쿠쿠홀딩스")</f>
        <v>쿠쿠홀딩스</v>
      </c>
      <c r="E640">
        <v>3</v>
      </c>
      <c r="F640">
        <v>101000</v>
      </c>
      <c r="G640">
        <v>0</v>
      </c>
      <c r="H640">
        <v>9.4</v>
      </c>
      <c r="I640">
        <v>384679</v>
      </c>
      <c r="J640">
        <v>218442</v>
      </c>
      <c r="K640">
        <v>171201</v>
      </c>
      <c r="L640">
        <v>-280.87</v>
      </c>
      <c r="M640">
        <v>-116.28</v>
      </c>
      <c r="N640">
        <v>-69.510000000000005</v>
      </c>
      <c r="O640">
        <v>28.18</v>
      </c>
      <c r="P640" t="b">
        <v>0</v>
      </c>
      <c r="Q640">
        <v>0</v>
      </c>
      <c r="R640">
        <v>11168</v>
      </c>
      <c r="U640" t="s">
        <v>2402</v>
      </c>
      <c r="V640" t="s">
        <v>3266</v>
      </c>
      <c r="W640">
        <v>0</v>
      </c>
      <c r="X640">
        <v>38</v>
      </c>
      <c r="Y640" t="s">
        <v>4069</v>
      </c>
      <c r="Z640">
        <v>15.132555890982569</v>
      </c>
      <c r="AA640">
        <v>7184</v>
      </c>
      <c r="AB640">
        <v>5342</v>
      </c>
      <c r="AC640" t="s">
        <v>4921</v>
      </c>
      <c r="AD640">
        <v>69.069999999999993</v>
      </c>
      <c r="AE640" t="s">
        <v>5785</v>
      </c>
      <c r="AF640" t="s">
        <v>6608</v>
      </c>
      <c r="AG640">
        <v>5283</v>
      </c>
      <c r="AH640">
        <v>745</v>
      </c>
      <c r="AI640">
        <v>896760</v>
      </c>
      <c r="AJ640">
        <v>2.86</v>
      </c>
    </row>
    <row r="641" spans="1:36">
      <c r="A641" s="1" t="s">
        <v>675</v>
      </c>
      <c r="B641" t="s">
        <v>1539</v>
      </c>
      <c r="C641" t="str">
        <f>HYPERLINK("https://finance.naver.com/item/coinfo.nhn?code=008500", "A008500")</f>
        <v>A008500</v>
      </c>
      <c r="D641" t="str">
        <f>HYPERLINK("http://comp.fnguide.com/SVO2/ASP/SVD_Consensus.asp?pGB=1&amp;gicode=A008500&amp;cID=&amp;MenuYn=Y&amp;ReportGB=&amp;NewMenuID=108&amp;stkGb=701", "일정실업")</f>
        <v>일정실업</v>
      </c>
      <c r="E641">
        <v>3</v>
      </c>
      <c r="F641">
        <v>17550</v>
      </c>
      <c r="G641">
        <v>0</v>
      </c>
      <c r="I641">
        <v>0</v>
      </c>
      <c r="J641">
        <v>15021</v>
      </c>
      <c r="K641">
        <v>19290</v>
      </c>
      <c r="L641">
        <v>100</v>
      </c>
      <c r="M641">
        <v>14.41</v>
      </c>
      <c r="N641">
        <v>-9.91</v>
      </c>
      <c r="O641">
        <v>0</v>
      </c>
      <c r="P641" t="b">
        <v>0</v>
      </c>
      <c r="Q641">
        <v>0</v>
      </c>
      <c r="R641">
        <v>-11334</v>
      </c>
      <c r="U641" t="s">
        <v>2403</v>
      </c>
      <c r="V641" t="s">
        <v>3267</v>
      </c>
      <c r="W641">
        <v>0</v>
      </c>
      <c r="X641">
        <v>0</v>
      </c>
      <c r="Y641" t="s">
        <v>4070</v>
      </c>
      <c r="Z641">
        <v>-55.500000000000007</v>
      </c>
      <c r="AA641">
        <v>211</v>
      </c>
      <c r="AB641">
        <v>4863</v>
      </c>
      <c r="AC641" t="s">
        <v>4922</v>
      </c>
      <c r="AD641">
        <v>66.61</v>
      </c>
      <c r="AE641" t="s">
        <v>5786</v>
      </c>
      <c r="AF641" t="s">
        <v>6021</v>
      </c>
      <c r="AG641">
        <v>398</v>
      </c>
      <c r="AH641">
        <v>-163</v>
      </c>
      <c r="AI641">
        <v>18383</v>
      </c>
    </row>
    <row r="642" spans="1:36">
      <c r="A642" s="1" t="s">
        <v>676</v>
      </c>
      <c r="B642" t="s">
        <v>1540</v>
      </c>
      <c r="C642" t="str">
        <f>HYPERLINK("https://finance.naver.com/item/coinfo.nhn?code=003470", "A003470")</f>
        <v>A003470</v>
      </c>
      <c r="D642" t="str">
        <f>HYPERLINK("http://comp.fnguide.com/SVO2/ASP/SVD_Consensus.asp?pGB=1&amp;gicode=A003470&amp;cID=&amp;MenuYn=Y&amp;ReportGB=&amp;NewMenuID=108&amp;stkGb=701", "유안타증권")</f>
        <v>유안타증권</v>
      </c>
      <c r="E642">
        <v>3</v>
      </c>
      <c r="F642">
        <v>3040</v>
      </c>
      <c r="G642">
        <v>0</v>
      </c>
      <c r="H642">
        <v>7.52</v>
      </c>
      <c r="I642">
        <v>6158</v>
      </c>
      <c r="J642">
        <v>6399</v>
      </c>
      <c r="K642">
        <v>6468</v>
      </c>
      <c r="L642">
        <v>-102.58</v>
      </c>
      <c r="M642">
        <v>-110.51</v>
      </c>
      <c r="N642">
        <v>-112.76</v>
      </c>
      <c r="O642">
        <v>7.45</v>
      </c>
      <c r="P642" t="b">
        <v>0</v>
      </c>
      <c r="Q642">
        <v>0</v>
      </c>
      <c r="R642">
        <v>381</v>
      </c>
      <c r="U642" t="s">
        <v>2404</v>
      </c>
      <c r="V642" t="s">
        <v>3268</v>
      </c>
      <c r="W642">
        <v>0</v>
      </c>
      <c r="X642">
        <v>6.4</v>
      </c>
      <c r="Y642" t="s">
        <v>4071</v>
      </c>
      <c r="Z642">
        <v>6.3622383236059177</v>
      </c>
      <c r="AA642">
        <v>6068</v>
      </c>
      <c r="AB642">
        <v>625786</v>
      </c>
      <c r="AC642" t="s">
        <v>4923</v>
      </c>
      <c r="AD642">
        <v>57.43</v>
      </c>
      <c r="AE642" t="s">
        <v>5787</v>
      </c>
      <c r="AF642" t="s">
        <v>6609</v>
      </c>
      <c r="AG642">
        <v>3797</v>
      </c>
      <c r="AH642">
        <v>718</v>
      </c>
      <c r="AI642">
        <v>6916471</v>
      </c>
    </row>
    <row r="643" spans="1:36">
      <c r="A643" s="1" t="s">
        <v>677</v>
      </c>
      <c r="B643" t="s">
        <v>1541</v>
      </c>
      <c r="C643" t="str">
        <f>HYPERLINK("https://finance.naver.com/item/coinfo.nhn?code=103590", "A103590")</f>
        <v>A103590</v>
      </c>
      <c r="D643" t="str">
        <f>HYPERLINK("http://comp.fnguide.com/SVO2/ASP/SVD_Consensus.asp?pGB=1&amp;gicode=A103590&amp;cID=&amp;MenuYn=Y&amp;ReportGB=&amp;NewMenuID=108&amp;stkGb=701", "일진전기")</f>
        <v>일진전기</v>
      </c>
      <c r="E643">
        <v>3</v>
      </c>
      <c r="F643">
        <v>3160</v>
      </c>
      <c r="G643">
        <v>0</v>
      </c>
      <c r="H643">
        <v>31.12</v>
      </c>
      <c r="I643">
        <v>614</v>
      </c>
      <c r="J643">
        <v>5173</v>
      </c>
      <c r="K643">
        <v>6469</v>
      </c>
      <c r="L643">
        <v>80.569999999999993</v>
      </c>
      <c r="M643">
        <v>-63.72</v>
      </c>
      <c r="N643">
        <v>-104.72</v>
      </c>
      <c r="O643">
        <v>0.59</v>
      </c>
      <c r="P643" t="b">
        <v>0</v>
      </c>
      <c r="Q643">
        <v>0</v>
      </c>
      <c r="R643">
        <v>97</v>
      </c>
      <c r="U643" t="s">
        <v>2405</v>
      </c>
      <c r="V643" t="s">
        <v>3269</v>
      </c>
      <c r="W643">
        <v>0</v>
      </c>
      <c r="X643">
        <v>-56.9</v>
      </c>
      <c r="Y643" t="s">
        <v>4072</v>
      </c>
      <c r="Z643">
        <v>-72.93156820205499</v>
      </c>
      <c r="AA643">
        <v>1172</v>
      </c>
      <c r="AB643">
        <v>115598</v>
      </c>
      <c r="AC643" t="s">
        <v>4924</v>
      </c>
      <c r="AD643">
        <v>59.73</v>
      </c>
      <c r="AE643" t="s">
        <v>5788</v>
      </c>
      <c r="AF643" t="s">
        <v>6610</v>
      </c>
      <c r="AG643">
        <v>6683</v>
      </c>
      <c r="AH643">
        <v>114</v>
      </c>
      <c r="AI643">
        <v>8121</v>
      </c>
    </row>
    <row r="644" spans="1:36">
      <c r="A644" s="1" t="s">
        <v>678</v>
      </c>
      <c r="B644" t="s">
        <v>1542</v>
      </c>
      <c r="C644" t="str">
        <f>HYPERLINK("https://finance.naver.com/item/coinfo.nhn?code=011690", "A011690")</f>
        <v>A011690</v>
      </c>
      <c r="D644" t="str">
        <f>HYPERLINK("http://comp.fnguide.com/SVO2/ASP/SVD_Consensus.asp?pGB=1&amp;gicode=A011690&amp;cID=&amp;MenuYn=Y&amp;ReportGB=&amp;NewMenuID=108&amp;stkGb=701", "유양디앤유")</f>
        <v>유양디앤유</v>
      </c>
      <c r="E644">
        <v>3</v>
      </c>
      <c r="F644">
        <v>1220</v>
      </c>
      <c r="G644">
        <v>0</v>
      </c>
      <c r="I644">
        <v>184</v>
      </c>
      <c r="J644">
        <v>1261</v>
      </c>
      <c r="K644">
        <v>1567</v>
      </c>
      <c r="L644">
        <v>84.92</v>
      </c>
      <c r="M644">
        <v>-3.39</v>
      </c>
      <c r="N644">
        <v>-28.48</v>
      </c>
      <c r="O644">
        <v>0.74</v>
      </c>
      <c r="P644" t="b">
        <v>0</v>
      </c>
      <c r="Q644">
        <v>0</v>
      </c>
      <c r="R644">
        <v>-164</v>
      </c>
      <c r="U644" t="s">
        <v>2406</v>
      </c>
      <c r="V644" t="s">
        <v>3270</v>
      </c>
      <c r="W644">
        <v>0</v>
      </c>
      <c r="X644">
        <v>0</v>
      </c>
      <c r="Y644" t="s">
        <v>3499</v>
      </c>
      <c r="Z644">
        <v>0</v>
      </c>
      <c r="AA644">
        <v>714</v>
      </c>
      <c r="AB644">
        <v>0</v>
      </c>
      <c r="AC644" t="s">
        <v>4925</v>
      </c>
      <c r="AD644">
        <v>4.92</v>
      </c>
      <c r="AE644" t="s">
        <v>5789</v>
      </c>
      <c r="AF644" t="s">
        <v>6611</v>
      </c>
      <c r="AG644">
        <v>1083</v>
      </c>
      <c r="AH644">
        <v>-51</v>
      </c>
    </row>
    <row r="645" spans="1:36">
      <c r="A645" s="1" t="s">
        <v>679</v>
      </c>
      <c r="B645" t="s">
        <v>1543</v>
      </c>
      <c r="C645" t="str">
        <f>HYPERLINK("https://finance.naver.com/item/coinfo.nhn?code=001200", "A001200")</f>
        <v>A001200</v>
      </c>
      <c r="D645" t="str">
        <f>HYPERLINK("http://comp.fnguide.com/SVO2/ASP/SVD_Consensus.asp?pGB=1&amp;gicode=A001200&amp;cID=&amp;MenuYn=Y&amp;ReportGB=&amp;NewMenuID=108&amp;stkGb=701", "유진투자증권")</f>
        <v>유진투자증권</v>
      </c>
      <c r="E645">
        <v>3</v>
      </c>
      <c r="F645">
        <v>3930</v>
      </c>
      <c r="G645">
        <v>0</v>
      </c>
      <c r="H645">
        <v>5.37</v>
      </c>
      <c r="I645">
        <v>6535</v>
      </c>
      <c r="J645">
        <v>7666</v>
      </c>
      <c r="K645">
        <v>7987</v>
      </c>
      <c r="L645">
        <v>-66.290000000000006</v>
      </c>
      <c r="M645">
        <v>-95.06</v>
      </c>
      <c r="N645">
        <v>-103.24</v>
      </c>
      <c r="O645">
        <v>6.17</v>
      </c>
      <c r="P645" t="b">
        <v>1</v>
      </c>
      <c r="Q645">
        <v>0</v>
      </c>
      <c r="R645">
        <v>427</v>
      </c>
      <c r="U645" t="s">
        <v>2407</v>
      </c>
      <c r="V645" t="s">
        <v>3271</v>
      </c>
      <c r="W645">
        <v>0</v>
      </c>
      <c r="X645">
        <v>9.5</v>
      </c>
      <c r="Y645" t="s">
        <v>4073</v>
      </c>
      <c r="Z645">
        <v>7.3306305624527557</v>
      </c>
      <c r="AA645">
        <v>3807</v>
      </c>
      <c r="AB645">
        <v>304147</v>
      </c>
      <c r="AC645" t="s">
        <v>4926</v>
      </c>
      <c r="AD645">
        <v>29.03</v>
      </c>
      <c r="AE645" t="s">
        <v>5790</v>
      </c>
      <c r="AF645" t="s">
        <v>6612</v>
      </c>
      <c r="AG645">
        <v>2460</v>
      </c>
      <c r="AH645">
        <v>582</v>
      </c>
      <c r="AI645">
        <v>3027273</v>
      </c>
      <c r="AJ645">
        <v>3.06</v>
      </c>
    </row>
    <row r="646" spans="1:36">
      <c r="A646" s="1" t="s">
        <v>680</v>
      </c>
      <c r="B646" t="s">
        <v>1544</v>
      </c>
      <c r="C646" t="str">
        <f>HYPERLINK("https://finance.naver.com/item/coinfo.nhn?code=003460", "A003460")</f>
        <v>A003460</v>
      </c>
      <c r="D646" t="str">
        <f>HYPERLINK("http://comp.fnguide.com/SVO2/ASP/SVD_Consensus.asp?pGB=1&amp;gicode=A003460&amp;cID=&amp;MenuYn=Y&amp;ReportGB=&amp;NewMenuID=108&amp;stkGb=701", "유화증권")</f>
        <v>유화증권</v>
      </c>
      <c r="E646">
        <v>3</v>
      </c>
      <c r="F646">
        <v>2395</v>
      </c>
      <c r="G646">
        <v>0</v>
      </c>
      <c r="H646">
        <v>29.45</v>
      </c>
      <c r="I646">
        <v>1771</v>
      </c>
      <c r="J646">
        <v>6735</v>
      </c>
      <c r="K646">
        <v>8145</v>
      </c>
      <c r="L646">
        <v>26.05</v>
      </c>
      <c r="M646">
        <v>-181.19</v>
      </c>
      <c r="N646">
        <v>-240.09</v>
      </c>
      <c r="O646">
        <v>1.4</v>
      </c>
      <c r="P646" t="b">
        <v>0</v>
      </c>
      <c r="Q646">
        <v>0</v>
      </c>
      <c r="R646">
        <v>84</v>
      </c>
      <c r="U646" t="s">
        <v>2408</v>
      </c>
      <c r="V646" t="s">
        <v>3272</v>
      </c>
      <c r="W646">
        <v>0</v>
      </c>
      <c r="X646">
        <v>1.6</v>
      </c>
      <c r="Y646" t="s">
        <v>4074</v>
      </c>
      <c r="Z646">
        <v>1.5398699490502881</v>
      </c>
      <c r="AA646">
        <v>1358</v>
      </c>
      <c r="AB646">
        <v>16011</v>
      </c>
      <c r="AC646" t="s">
        <v>4927</v>
      </c>
      <c r="AD646">
        <v>48.86</v>
      </c>
      <c r="AE646" t="s">
        <v>5791</v>
      </c>
      <c r="AF646" t="s">
        <v>6613</v>
      </c>
      <c r="AG646">
        <v>160</v>
      </c>
      <c r="AH646">
        <v>62</v>
      </c>
      <c r="AI646">
        <v>10946410</v>
      </c>
      <c r="AJ646">
        <v>4.8600000000000003</v>
      </c>
    </row>
    <row r="647" spans="1:36">
      <c r="A647" s="1" t="s">
        <v>681</v>
      </c>
      <c r="B647" t="s">
        <v>1545</v>
      </c>
      <c r="C647" t="str">
        <f>HYPERLINK("https://finance.naver.com/item/coinfo.nhn?code=008250", "A008250")</f>
        <v>A008250</v>
      </c>
      <c r="D647" t="str">
        <f>HYPERLINK("http://comp.fnguide.com/SVO2/ASP/SVD_Consensus.asp?pGB=1&amp;gicode=A008250&amp;cID=&amp;MenuYn=Y&amp;ReportGB=&amp;NewMenuID=108&amp;stkGb=701", "이건산업")</f>
        <v>이건산업</v>
      </c>
      <c r="E647">
        <v>3</v>
      </c>
      <c r="F647">
        <v>9850</v>
      </c>
      <c r="G647">
        <v>0</v>
      </c>
      <c r="H647">
        <v>104.16</v>
      </c>
      <c r="I647">
        <v>4273</v>
      </c>
      <c r="J647">
        <v>11749</v>
      </c>
      <c r="K647">
        <v>13874</v>
      </c>
      <c r="L647">
        <v>56.62</v>
      </c>
      <c r="M647">
        <v>-19.28</v>
      </c>
      <c r="N647">
        <v>-40.85</v>
      </c>
      <c r="O647">
        <v>2.0299999999999998</v>
      </c>
      <c r="P647" t="b">
        <v>0</v>
      </c>
      <c r="Q647">
        <v>0</v>
      </c>
      <c r="R647">
        <v>71</v>
      </c>
      <c r="U647" t="s">
        <v>2409</v>
      </c>
      <c r="V647" t="s">
        <v>3273</v>
      </c>
      <c r="W647">
        <v>0</v>
      </c>
      <c r="X647">
        <v>57.3</v>
      </c>
      <c r="Y647" t="s">
        <v>4075</v>
      </c>
      <c r="Z647">
        <v>-9.0933536237528205</v>
      </c>
      <c r="AA647">
        <v>1079</v>
      </c>
      <c r="AB647">
        <v>618053</v>
      </c>
      <c r="AC647" t="s">
        <v>4928</v>
      </c>
      <c r="AD647">
        <v>35.68</v>
      </c>
      <c r="AE647" t="s">
        <v>5792</v>
      </c>
      <c r="AF647" t="s">
        <v>6614</v>
      </c>
      <c r="AG647">
        <v>2797</v>
      </c>
      <c r="AH647">
        <v>96</v>
      </c>
      <c r="AI647">
        <v>263108</v>
      </c>
      <c r="AJ647">
        <v>2.69</v>
      </c>
    </row>
    <row r="648" spans="1:36">
      <c r="A648" s="1" t="s">
        <v>682</v>
      </c>
      <c r="B648" t="s">
        <v>1546</v>
      </c>
      <c r="C648" t="str">
        <f>HYPERLINK("https://finance.naver.com/item/coinfo.nhn?code=025820", "A025820")</f>
        <v>A025820</v>
      </c>
      <c r="D648" t="str">
        <f>HYPERLINK("http://comp.fnguide.com/SVO2/ASP/SVD_Consensus.asp?pGB=1&amp;gicode=A025820&amp;cID=&amp;MenuYn=Y&amp;ReportGB=&amp;NewMenuID=108&amp;stkGb=701", "이구산업")</f>
        <v>이구산업</v>
      </c>
      <c r="E648">
        <v>3</v>
      </c>
      <c r="F648">
        <v>1870</v>
      </c>
      <c r="G648">
        <v>0</v>
      </c>
      <c r="I648">
        <v>676</v>
      </c>
      <c r="J648">
        <v>2090</v>
      </c>
      <c r="K648">
        <v>2492</v>
      </c>
      <c r="L648">
        <v>63.86</v>
      </c>
      <c r="M648">
        <v>-11.77</v>
      </c>
      <c r="N648">
        <v>-33.26</v>
      </c>
      <c r="O648">
        <v>1.77</v>
      </c>
      <c r="P648" t="b">
        <v>0</v>
      </c>
      <c r="Q648">
        <v>0</v>
      </c>
      <c r="R648">
        <v>-100</v>
      </c>
      <c r="U648" t="s">
        <v>2410</v>
      </c>
      <c r="V648" t="s">
        <v>3274</v>
      </c>
      <c r="W648">
        <v>0</v>
      </c>
      <c r="X648">
        <v>0</v>
      </c>
      <c r="Y648" t="s">
        <v>4076</v>
      </c>
      <c r="Z648">
        <v>150</v>
      </c>
      <c r="AA648">
        <v>625</v>
      </c>
      <c r="AB648">
        <v>265234</v>
      </c>
      <c r="AC648" t="s">
        <v>4929</v>
      </c>
      <c r="AD648">
        <v>51.4</v>
      </c>
      <c r="AE648" t="s">
        <v>5793</v>
      </c>
      <c r="AF648" t="s">
        <v>6615</v>
      </c>
      <c r="AG648">
        <v>2103</v>
      </c>
      <c r="AH648">
        <v>6</v>
      </c>
      <c r="AI648">
        <v>1211</v>
      </c>
      <c r="AJ648">
        <v>1.69</v>
      </c>
    </row>
    <row r="649" spans="1:36">
      <c r="A649" s="1" t="s">
        <v>683</v>
      </c>
      <c r="B649" t="s">
        <v>1547</v>
      </c>
      <c r="C649" t="str">
        <f>HYPERLINK("https://finance.naver.com/item/coinfo.nhn?code=139480", "A139480")</f>
        <v>A139480</v>
      </c>
      <c r="D649" t="str">
        <f>HYPERLINK("http://comp.fnguide.com/SVO2/ASP/SVD_Consensus.asp?pGB=1&amp;gicode=A139480&amp;cID=&amp;MenuYn=Y&amp;ReportGB=&amp;NewMenuID=108&amp;stkGb=701", "이마트")</f>
        <v>이마트</v>
      </c>
      <c r="E649">
        <v>3</v>
      </c>
      <c r="F649">
        <v>151000</v>
      </c>
      <c r="G649">
        <v>-3.64</v>
      </c>
      <c r="H649">
        <v>15.2</v>
      </c>
      <c r="I649">
        <v>184873</v>
      </c>
      <c r="J649">
        <v>270195</v>
      </c>
      <c r="K649">
        <v>294442</v>
      </c>
      <c r="L649">
        <v>-22.43</v>
      </c>
      <c r="M649">
        <v>-78.94</v>
      </c>
      <c r="N649">
        <v>-94.99</v>
      </c>
      <c r="O649">
        <v>4.49</v>
      </c>
      <c r="P649" t="b">
        <v>1</v>
      </c>
      <c r="Q649">
        <v>1</v>
      </c>
      <c r="R649">
        <v>8391</v>
      </c>
      <c r="S649">
        <v>19427</v>
      </c>
      <c r="T649">
        <v>131.5</v>
      </c>
      <c r="U649" t="s">
        <v>2411</v>
      </c>
      <c r="V649" t="s">
        <v>3275</v>
      </c>
      <c r="W649">
        <v>-4.1724086952239396</v>
      </c>
      <c r="X649">
        <v>212</v>
      </c>
      <c r="Y649" t="s">
        <v>4077</v>
      </c>
      <c r="Z649">
        <v>9.9035566663592256</v>
      </c>
      <c r="AA649">
        <v>42092</v>
      </c>
      <c r="AB649">
        <v>85019</v>
      </c>
      <c r="AC649" t="s">
        <v>4930</v>
      </c>
      <c r="AD649">
        <v>28.56</v>
      </c>
      <c r="AE649" t="s">
        <v>5794</v>
      </c>
      <c r="AF649" t="s">
        <v>6616</v>
      </c>
      <c r="AG649">
        <v>190629</v>
      </c>
      <c r="AH649">
        <v>1507</v>
      </c>
      <c r="AI649">
        <v>911640</v>
      </c>
      <c r="AJ649">
        <v>1.57</v>
      </c>
    </row>
    <row r="650" spans="1:36">
      <c r="A650" s="1" t="s">
        <v>684</v>
      </c>
      <c r="B650" t="s">
        <v>1548</v>
      </c>
      <c r="C650" t="str">
        <f>HYPERLINK("https://finance.naver.com/item/coinfo.nhn?code=002920", "A002920")</f>
        <v>A002920</v>
      </c>
      <c r="D650" t="str">
        <f>HYPERLINK("http://comp.fnguide.com/SVO2/ASP/SVD_Consensus.asp?pGB=1&amp;gicode=A002920&amp;cID=&amp;MenuYn=Y&amp;ReportGB=&amp;NewMenuID=108&amp;stkGb=701", "유성기업")</f>
        <v>유성기업</v>
      </c>
      <c r="E650">
        <v>3</v>
      </c>
      <c r="F650">
        <v>2820</v>
      </c>
      <c r="G650">
        <v>0</v>
      </c>
      <c r="H650">
        <v>3.97</v>
      </c>
      <c r="I650">
        <v>5552</v>
      </c>
      <c r="J650">
        <v>8686</v>
      </c>
      <c r="K650">
        <v>9577</v>
      </c>
      <c r="L650">
        <v>-96.89</v>
      </c>
      <c r="M650">
        <v>-208.03</v>
      </c>
      <c r="N650">
        <v>-239.61</v>
      </c>
      <c r="O650">
        <v>4.0999999999999996</v>
      </c>
      <c r="P650" t="b">
        <v>1</v>
      </c>
      <c r="Q650">
        <v>0</v>
      </c>
      <c r="R650">
        <v>670</v>
      </c>
      <c r="U650" t="s">
        <v>2412</v>
      </c>
      <c r="V650" t="s">
        <v>3276</v>
      </c>
      <c r="W650">
        <v>0</v>
      </c>
      <c r="X650">
        <v>-91.3</v>
      </c>
      <c r="Y650" t="s">
        <v>4078</v>
      </c>
      <c r="Z650">
        <v>-33.88664134019799</v>
      </c>
      <c r="AA650">
        <v>732</v>
      </c>
      <c r="AB650">
        <v>223081</v>
      </c>
      <c r="AC650" t="s">
        <v>4931</v>
      </c>
      <c r="AD650">
        <v>48.78</v>
      </c>
      <c r="AE650" t="s">
        <v>5795</v>
      </c>
      <c r="AF650" t="s">
        <v>6617</v>
      </c>
      <c r="AG650">
        <v>2596</v>
      </c>
      <c r="AH650">
        <v>122</v>
      </c>
      <c r="AI650">
        <v>300000</v>
      </c>
      <c r="AJ650">
        <v>7.52</v>
      </c>
    </row>
    <row r="651" spans="1:36">
      <c r="A651" s="1" t="s">
        <v>685</v>
      </c>
      <c r="B651" t="s">
        <v>1549</v>
      </c>
      <c r="C651" t="str">
        <f>HYPERLINK("https://finance.naver.com/item/coinfo.nhn?code=015020", "A015020")</f>
        <v>A015020</v>
      </c>
      <c r="D651" t="str">
        <f>HYPERLINK("http://comp.fnguide.com/SVO2/ASP/SVD_Consensus.asp?pGB=1&amp;gicode=A015020&amp;cID=&amp;MenuYn=Y&amp;ReportGB=&amp;NewMenuID=108&amp;stkGb=701", "이스타코")</f>
        <v>이스타코</v>
      </c>
      <c r="E651">
        <v>3</v>
      </c>
      <c r="F651">
        <v>677</v>
      </c>
      <c r="G651">
        <v>0</v>
      </c>
      <c r="H651">
        <v>2.77</v>
      </c>
      <c r="I651">
        <v>2021</v>
      </c>
      <c r="J651">
        <v>1561</v>
      </c>
      <c r="K651">
        <v>1431</v>
      </c>
      <c r="L651">
        <v>-198.47</v>
      </c>
      <c r="M651">
        <v>-130.63999999999999</v>
      </c>
      <c r="N651">
        <v>-111.36</v>
      </c>
      <c r="O651">
        <v>12.76</v>
      </c>
      <c r="P651" t="b">
        <v>1</v>
      </c>
      <c r="Q651">
        <v>0</v>
      </c>
      <c r="R651">
        <v>256</v>
      </c>
      <c r="U651" t="s">
        <v>2413</v>
      </c>
      <c r="V651" t="s">
        <v>3277</v>
      </c>
      <c r="W651">
        <v>0</v>
      </c>
      <c r="X651">
        <v>-98</v>
      </c>
      <c r="Y651" t="s">
        <v>4079</v>
      </c>
      <c r="Z651">
        <v>-98</v>
      </c>
      <c r="AA651">
        <v>290</v>
      </c>
      <c r="AB651">
        <v>441013</v>
      </c>
      <c r="AC651" t="s">
        <v>4932</v>
      </c>
      <c r="AD651">
        <v>39.42</v>
      </c>
      <c r="AE651" t="s">
        <v>5796</v>
      </c>
      <c r="AF651" t="s">
        <v>6618</v>
      </c>
      <c r="AG651">
        <v>238</v>
      </c>
      <c r="AH651">
        <v>39</v>
      </c>
      <c r="AI651">
        <v>3960641</v>
      </c>
    </row>
    <row r="652" spans="1:36">
      <c r="A652" s="1" t="s">
        <v>686</v>
      </c>
      <c r="B652" t="s">
        <v>1550</v>
      </c>
      <c r="C652" t="str">
        <f>HYPERLINK("https://finance.naver.com/item/coinfo.nhn?code=003200", "A003200")</f>
        <v>A003200</v>
      </c>
      <c r="D652" t="str">
        <f>HYPERLINK("http://comp.fnguide.com/SVO2/ASP/SVD_Consensus.asp?pGB=1&amp;gicode=A003200&amp;cID=&amp;MenuYn=Y&amp;ReportGB=&amp;NewMenuID=108&amp;stkGb=701", "일신방직")</f>
        <v>일신방직</v>
      </c>
      <c r="E652">
        <v>3</v>
      </c>
      <c r="F652">
        <v>81700</v>
      </c>
      <c r="G652">
        <v>0</v>
      </c>
      <c r="H652">
        <v>24.35</v>
      </c>
      <c r="I652">
        <v>74767</v>
      </c>
      <c r="J652">
        <v>216788</v>
      </c>
      <c r="K652">
        <v>257147</v>
      </c>
      <c r="L652">
        <v>8.49</v>
      </c>
      <c r="M652">
        <v>-165.35</v>
      </c>
      <c r="N652">
        <v>-214.75</v>
      </c>
      <c r="O652">
        <v>1.91</v>
      </c>
      <c r="P652" t="b">
        <v>1</v>
      </c>
      <c r="Q652">
        <v>0</v>
      </c>
      <c r="R652">
        <v>2940</v>
      </c>
      <c r="U652" t="s">
        <v>2414</v>
      </c>
      <c r="V652" t="s">
        <v>3278</v>
      </c>
      <c r="W652">
        <v>0</v>
      </c>
      <c r="X652">
        <v>-70.7</v>
      </c>
      <c r="Y652" t="s">
        <v>4080</v>
      </c>
      <c r="Z652">
        <v>-35.992832803095297</v>
      </c>
      <c r="AA652">
        <v>1961</v>
      </c>
      <c r="AB652">
        <v>7506</v>
      </c>
      <c r="AC652" t="s">
        <v>4933</v>
      </c>
      <c r="AD652">
        <v>50.73</v>
      </c>
      <c r="AE652" t="s">
        <v>5797</v>
      </c>
      <c r="AF652" t="s">
        <v>6619</v>
      </c>
      <c r="AG652">
        <v>4962</v>
      </c>
      <c r="AH652">
        <v>136</v>
      </c>
      <c r="AI652">
        <v>135919</v>
      </c>
      <c r="AJ652">
        <v>2.09</v>
      </c>
    </row>
    <row r="653" spans="1:36">
      <c r="A653" s="1" t="s">
        <v>687</v>
      </c>
      <c r="B653" t="s">
        <v>1551</v>
      </c>
      <c r="C653" t="str">
        <f>HYPERLINK("https://finance.naver.com/item/coinfo.nhn?code=003120", "A003120")</f>
        <v>A003120</v>
      </c>
      <c r="D653" t="str">
        <f>HYPERLINK("http://comp.fnguide.com/SVO2/ASP/SVD_Consensus.asp?pGB=1&amp;gicode=A003120&amp;cID=&amp;MenuYn=Y&amp;ReportGB=&amp;NewMenuID=108&amp;stkGb=701", "일성신약")</f>
        <v>일성신약</v>
      </c>
      <c r="E653">
        <v>3</v>
      </c>
      <c r="F653">
        <v>83500</v>
      </c>
      <c r="G653">
        <v>0</v>
      </c>
      <c r="H653">
        <v>32.5</v>
      </c>
      <c r="I653">
        <v>40995</v>
      </c>
      <c r="J653">
        <v>151864</v>
      </c>
      <c r="K653">
        <v>183370</v>
      </c>
      <c r="L653">
        <v>50.9</v>
      </c>
      <c r="M653">
        <v>-81.87</v>
      </c>
      <c r="N653">
        <v>-119.61</v>
      </c>
      <c r="O653">
        <v>1.45</v>
      </c>
      <c r="P653" t="b">
        <v>1</v>
      </c>
      <c r="Q653">
        <v>0</v>
      </c>
      <c r="R653">
        <v>2526</v>
      </c>
      <c r="U653" t="s">
        <v>2415</v>
      </c>
      <c r="V653" t="s">
        <v>3279</v>
      </c>
      <c r="W653">
        <v>0</v>
      </c>
      <c r="X653">
        <v>-64.8</v>
      </c>
      <c r="Y653" t="s">
        <v>4081</v>
      </c>
      <c r="Z653">
        <v>-52.762968866507052</v>
      </c>
      <c r="AA653">
        <v>2221</v>
      </c>
      <c r="AB653">
        <v>10159</v>
      </c>
      <c r="AC653" t="s">
        <v>4934</v>
      </c>
      <c r="AD653">
        <v>31.89</v>
      </c>
      <c r="AE653" t="s">
        <v>5798</v>
      </c>
      <c r="AF653" t="s">
        <v>6620</v>
      </c>
      <c r="AG653">
        <v>484</v>
      </c>
      <c r="AH653">
        <v>-13</v>
      </c>
      <c r="AI653">
        <v>1126232</v>
      </c>
      <c r="AJ653">
        <v>0.91</v>
      </c>
    </row>
    <row r="654" spans="1:36">
      <c r="A654" s="1" t="s">
        <v>688</v>
      </c>
      <c r="B654" t="s">
        <v>1552</v>
      </c>
      <c r="C654" t="str">
        <f>HYPERLINK("https://finance.naver.com/item/coinfo.nhn?code=084680", "A084680")</f>
        <v>A084680</v>
      </c>
      <c r="D654" t="str">
        <f>HYPERLINK("http://comp.fnguide.com/SVO2/ASP/SVD_Consensus.asp?pGB=1&amp;gicode=A084680&amp;cID=&amp;MenuYn=Y&amp;ReportGB=&amp;NewMenuID=108&amp;stkGb=701", "이월드")</f>
        <v>이월드</v>
      </c>
      <c r="E654">
        <v>3</v>
      </c>
      <c r="F654">
        <v>3120</v>
      </c>
      <c r="G654">
        <v>0</v>
      </c>
      <c r="H654">
        <v>56.23</v>
      </c>
      <c r="I654">
        <v>2330</v>
      </c>
      <c r="J654">
        <v>3193</v>
      </c>
      <c r="K654">
        <v>3439</v>
      </c>
      <c r="L654">
        <v>25.32</v>
      </c>
      <c r="M654">
        <v>-2.35</v>
      </c>
      <c r="N654">
        <v>-10.220000000000001</v>
      </c>
      <c r="O654">
        <v>4.91</v>
      </c>
      <c r="P654" t="b">
        <v>0</v>
      </c>
      <c r="Q654">
        <v>0</v>
      </c>
      <c r="R654">
        <v>95</v>
      </c>
      <c r="U654" t="s">
        <v>2416</v>
      </c>
      <c r="V654" t="s">
        <v>3280</v>
      </c>
      <c r="W654">
        <v>0</v>
      </c>
      <c r="X654">
        <v>0</v>
      </c>
      <c r="Y654" t="s">
        <v>4082</v>
      </c>
      <c r="Z654">
        <v>60.576310344448771</v>
      </c>
      <c r="AA654">
        <v>3218</v>
      </c>
      <c r="AB654">
        <v>259864</v>
      </c>
      <c r="AC654" t="s">
        <v>4935</v>
      </c>
      <c r="AD654">
        <v>67.36</v>
      </c>
      <c r="AE654" t="s">
        <v>5799</v>
      </c>
      <c r="AF654" t="s">
        <v>6621</v>
      </c>
      <c r="AG654">
        <v>1832</v>
      </c>
      <c r="AH654">
        <v>174</v>
      </c>
      <c r="AI654">
        <v>355773</v>
      </c>
    </row>
    <row r="655" spans="1:36">
      <c r="A655" s="1" t="s">
        <v>689</v>
      </c>
      <c r="B655" t="s">
        <v>1553</v>
      </c>
      <c r="C655" t="str">
        <f>HYPERLINK("https://finance.naver.com/item/coinfo.nhn?code=013360", "A013360")</f>
        <v>A013360</v>
      </c>
      <c r="D655" t="str">
        <f>HYPERLINK("http://comp.fnguide.com/SVO2/ASP/SVD_Consensus.asp?pGB=1&amp;gicode=A013360&amp;cID=&amp;MenuYn=Y&amp;ReportGB=&amp;NewMenuID=108&amp;stkGb=701", "일성건설")</f>
        <v>일성건설</v>
      </c>
      <c r="E655">
        <v>3</v>
      </c>
      <c r="F655">
        <v>1125</v>
      </c>
      <c r="G655">
        <v>0</v>
      </c>
      <c r="H655">
        <v>36.96</v>
      </c>
      <c r="I655">
        <v>416</v>
      </c>
      <c r="J655">
        <v>1181</v>
      </c>
      <c r="K655">
        <v>1399</v>
      </c>
      <c r="L655">
        <v>63.05</v>
      </c>
      <c r="M655">
        <v>-5</v>
      </c>
      <c r="N655">
        <v>-24.34</v>
      </c>
      <c r="O655">
        <v>1.96</v>
      </c>
      <c r="P655" t="b">
        <v>0</v>
      </c>
      <c r="Q655">
        <v>0</v>
      </c>
      <c r="R655">
        <v>34</v>
      </c>
      <c r="U655" t="s">
        <v>2417</v>
      </c>
      <c r="V655" t="s">
        <v>3281</v>
      </c>
      <c r="W655">
        <v>0</v>
      </c>
      <c r="X655">
        <v>7.8</v>
      </c>
      <c r="Y655" t="s">
        <v>4083</v>
      </c>
      <c r="Z655">
        <v>-22.909742203284519</v>
      </c>
      <c r="AA655">
        <v>608</v>
      </c>
      <c r="AB655">
        <v>1391769</v>
      </c>
      <c r="AC655" t="s">
        <v>4936</v>
      </c>
      <c r="AD655">
        <v>63.89</v>
      </c>
      <c r="AE655" t="s">
        <v>5800</v>
      </c>
      <c r="AF655" t="s">
        <v>6622</v>
      </c>
      <c r="AG655">
        <v>3758</v>
      </c>
      <c r="AH655">
        <v>74</v>
      </c>
      <c r="AJ655">
        <v>1.18</v>
      </c>
    </row>
    <row r="656" spans="1:36">
      <c r="A656" s="1" t="s">
        <v>690</v>
      </c>
      <c r="B656" t="s">
        <v>1554</v>
      </c>
      <c r="C656" t="str">
        <f>HYPERLINK("https://finance.naver.com/item/coinfo.nhn?code=000760", "A000760")</f>
        <v>A000760</v>
      </c>
      <c r="D656" t="str">
        <f>HYPERLINK("http://comp.fnguide.com/SVO2/ASP/SVD_Consensus.asp?pGB=1&amp;gicode=A000760&amp;cID=&amp;MenuYn=Y&amp;ReportGB=&amp;NewMenuID=108&amp;stkGb=701", "이화산업")</f>
        <v>이화산업</v>
      </c>
      <c r="E656">
        <v>3</v>
      </c>
      <c r="F656">
        <v>16000</v>
      </c>
      <c r="G656">
        <v>0</v>
      </c>
      <c r="I656">
        <v>0</v>
      </c>
      <c r="J656">
        <v>21854</v>
      </c>
      <c r="K656">
        <v>28064</v>
      </c>
      <c r="L656">
        <v>100</v>
      </c>
      <c r="M656">
        <v>-36.58</v>
      </c>
      <c r="N656">
        <v>-75.400000000000006</v>
      </c>
      <c r="O656">
        <v>0</v>
      </c>
      <c r="P656" t="b">
        <v>0</v>
      </c>
      <c r="Q656">
        <v>0</v>
      </c>
      <c r="R656">
        <v>-1615</v>
      </c>
      <c r="U656" t="s">
        <v>2418</v>
      </c>
      <c r="V656" t="s">
        <v>3282</v>
      </c>
      <c r="W656">
        <v>0</v>
      </c>
      <c r="X656">
        <v>0</v>
      </c>
      <c r="Y656" t="s">
        <v>3499</v>
      </c>
      <c r="Z656">
        <v>0</v>
      </c>
      <c r="AA656">
        <v>448</v>
      </c>
      <c r="AB656">
        <v>293</v>
      </c>
      <c r="AC656" t="s">
        <v>4937</v>
      </c>
      <c r="AD656">
        <v>72.81</v>
      </c>
      <c r="AE656" t="s">
        <v>5801</v>
      </c>
      <c r="AF656" t="s">
        <v>6021</v>
      </c>
      <c r="AG656">
        <v>617</v>
      </c>
      <c r="AH656">
        <v>-17</v>
      </c>
    </row>
    <row r="657" spans="1:36">
      <c r="A657" s="1" t="s">
        <v>691</v>
      </c>
      <c r="B657" t="s">
        <v>1555</v>
      </c>
      <c r="C657" t="str">
        <f>HYPERLINK("https://finance.naver.com/item/coinfo.nhn?code=034590", "A034590")</f>
        <v>A034590</v>
      </c>
      <c r="D657" t="str">
        <f>HYPERLINK("http://comp.fnguide.com/SVO2/ASP/SVD_Consensus.asp?pGB=1&amp;gicode=A034590&amp;cID=&amp;MenuYn=Y&amp;ReportGB=&amp;NewMenuID=108&amp;stkGb=701", "인천도시가스")</f>
        <v>인천도시가스</v>
      </c>
      <c r="E657">
        <v>3</v>
      </c>
      <c r="F657">
        <v>26150</v>
      </c>
      <c r="G657">
        <v>0</v>
      </c>
      <c r="H657">
        <v>11.73</v>
      </c>
      <c r="I657">
        <v>41650</v>
      </c>
      <c r="J657">
        <v>43594</v>
      </c>
      <c r="K657">
        <v>44147</v>
      </c>
      <c r="L657">
        <v>-59.27</v>
      </c>
      <c r="M657">
        <v>-66.709999999999994</v>
      </c>
      <c r="N657">
        <v>-68.819999999999993</v>
      </c>
      <c r="O657">
        <v>7.37</v>
      </c>
      <c r="P657" t="b">
        <v>0</v>
      </c>
      <c r="Q657">
        <v>0</v>
      </c>
      <c r="R657">
        <v>2448</v>
      </c>
      <c r="U657" t="s">
        <v>2419</v>
      </c>
      <c r="V657" t="s">
        <v>3283</v>
      </c>
      <c r="W657">
        <v>0</v>
      </c>
      <c r="X657">
        <v>-7.3</v>
      </c>
      <c r="Y657" t="s">
        <v>4084</v>
      </c>
      <c r="Z657">
        <v>6.7600430471569828</v>
      </c>
      <c r="AA657">
        <v>1144</v>
      </c>
      <c r="AB657">
        <v>4322</v>
      </c>
      <c r="AC657" t="s">
        <v>4938</v>
      </c>
      <c r="AD657">
        <v>68.459999999999994</v>
      </c>
      <c r="AE657" t="s">
        <v>5802</v>
      </c>
      <c r="AF657" t="s">
        <v>6623</v>
      </c>
      <c r="AG657">
        <v>5735</v>
      </c>
      <c r="AH657">
        <v>120</v>
      </c>
      <c r="AI657">
        <v>252755</v>
      </c>
      <c r="AJ657">
        <v>4.3600000000000003</v>
      </c>
    </row>
    <row r="658" spans="1:36">
      <c r="A658" s="1" t="s">
        <v>692</v>
      </c>
      <c r="B658" t="s">
        <v>1556</v>
      </c>
      <c r="C658" t="str">
        <f>HYPERLINK("https://finance.naver.com/item/coinfo.nhn?code=000700", "A000700")</f>
        <v>A000700</v>
      </c>
      <c r="D658" t="str">
        <f>HYPERLINK("http://comp.fnguide.com/SVO2/ASP/SVD_Consensus.asp?pGB=1&amp;gicode=A000700&amp;cID=&amp;MenuYn=Y&amp;ReportGB=&amp;NewMenuID=108&amp;stkGb=701", "유수홀딩스")</f>
        <v>유수홀딩스</v>
      </c>
      <c r="E658">
        <v>3</v>
      </c>
      <c r="F658">
        <v>5850</v>
      </c>
      <c r="G658">
        <v>0</v>
      </c>
      <c r="H658">
        <v>42.59</v>
      </c>
      <c r="I658">
        <v>2710</v>
      </c>
      <c r="J658">
        <v>6538</v>
      </c>
      <c r="K658">
        <v>7626</v>
      </c>
      <c r="L658">
        <v>53.68</v>
      </c>
      <c r="M658">
        <v>-11.76</v>
      </c>
      <c r="N658">
        <v>-30.35</v>
      </c>
      <c r="O658">
        <v>2.37</v>
      </c>
      <c r="P658" t="b">
        <v>0</v>
      </c>
      <c r="Q658">
        <v>0</v>
      </c>
      <c r="R658">
        <v>156</v>
      </c>
      <c r="U658" t="s">
        <v>2420</v>
      </c>
      <c r="V658" t="s">
        <v>3284</v>
      </c>
      <c r="W658">
        <v>0</v>
      </c>
      <c r="X658">
        <v>147.5</v>
      </c>
      <c r="Y658" t="s">
        <v>4085</v>
      </c>
      <c r="Z658">
        <v>5.7686153828251818</v>
      </c>
      <c r="AA658">
        <v>1523</v>
      </c>
      <c r="AB658">
        <v>33748</v>
      </c>
      <c r="AC658" t="s">
        <v>4939</v>
      </c>
      <c r="AD658">
        <v>47.05</v>
      </c>
      <c r="AE658" t="s">
        <v>5803</v>
      </c>
      <c r="AF658" t="s">
        <v>6624</v>
      </c>
      <c r="AG658">
        <v>3661</v>
      </c>
      <c r="AH658">
        <v>-78</v>
      </c>
      <c r="AI658">
        <v>1063588</v>
      </c>
    </row>
    <row r="659" spans="1:36">
      <c r="A659" s="1" t="s">
        <v>693</v>
      </c>
      <c r="B659" t="s">
        <v>1557</v>
      </c>
      <c r="C659" t="str">
        <f>HYPERLINK("https://finance.naver.com/item/coinfo.nhn?code=011330", "A011330")</f>
        <v>A011330</v>
      </c>
      <c r="D659" t="str">
        <f>HYPERLINK("http://comp.fnguide.com/SVO2/ASP/SVD_Consensus.asp?pGB=1&amp;gicode=A011330&amp;cID=&amp;MenuYn=Y&amp;ReportGB=&amp;NewMenuID=108&amp;stkGb=701", "유니켐")</f>
        <v>유니켐</v>
      </c>
      <c r="E659">
        <v>3</v>
      </c>
      <c r="F659">
        <v>1410</v>
      </c>
      <c r="G659">
        <v>0</v>
      </c>
      <c r="H659">
        <v>8.1199999999999992</v>
      </c>
      <c r="I659">
        <v>3303</v>
      </c>
      <c r="J659">
        <v>2055</v>
      </c>
      <c r="K659">
        <v>1700</v>
      </c>
      <c r="L659">
        <v>-134.24</v>
      </c>
      <c r="M659">
        <v>-45.73</v>
      </c>
      <c r="N659">
        <v>-20.58</v>
      </c>
      <c r="O659">
        <v>21.34</v>
      </c>
      <c r="P659" t="b">
        <v>1</v>
      </c>
      <c r="Q659">
        <v>0</v>
      </c>
      <c r="R659">
        <v>223</v>
      </c>
      <c r="U659" t="s">
        <v>2421</v>
      </c>
      <c r="V659" t="s">
        <v>3285</v>
      </c>
      <c r="W659">
        <v>0</v>
      </c>
      <c r="X659">
        <v>-38.799999999999997</v>
      </c>
      <c r="Y659" t="s">
        <v>4086</v>
      </c>
      <c r="Z659">
        <v>40.236708554216243</v>
      </c>
      <c r="AA659">
        <v>969</v>
      </c>
      <c r="AB659">
        <v>237336</v>
      </c>
      <c r="AC659" t="s">
        <v>4940</v>
      </c>
      <c r="AD659">
        <v>18.61</v>
      </c>
      <c r="AE659" t="s">
        <v>5804</v>
      </c>
      <c r="AF659" t="s">
        <v>6625</v>
      </c>
      <c r="AG659">
        <v>1088</v>
      </c>
      <c r="AH659">
        <v>179</v>
      </c>
      <c r="AI659">
        <v>907818</v>
      </c>
    </row>
    <row r="660" spans="1:36">
      <c r="A660" s="1" t="s">
        <v>694</v>
      </c>
      <c r="B660" t="s">
        <v>1558</v>
      </c>
      <c r="C660" t="str">
        <f>HYPERLINK("https://finance.naver.com/item/coinfo.nhn?code=004700", "A004700")</f>
        <v>A004700</v>
      </c>
      <c r="D660" t="str">
        <f>HYPERLINK("http://comp.fnguide.com/SVO2/ASP/SVD_Consensus.asp?pGB=1&amp;gicode=A004700&amp;cID=&amp;MenuYn=Y&amp;ReportGB=&amp;NewMenuID=108&amp;stkGb=701", "조광피혁")</f>
        <v>조광피혁</v>
      </c>
      <c r="E660">
        <v>3</v>
      </c>
      <c r="F660">
        <v>57700</v>
      </c>
      <c r="G660">
        <v>0</v>
      </c>
      <c r="H660">
        <v>17.88</v>
      </c>
      <c r="I660">
        <v>63364</v>
      </c>
      <c r="J660">
        <v>71810</v>
      </c>
      <c r="K660">
        <v>74210</v>
      </c>
      <c r="L660">
        <v>-9.82</v>
      </c>
      <c r="M660">
        <v>-24.45</v>
      </c>
      <c r="N660">
        <v>-28.61</v>
      </c>
      <c r="O660">
        <v>6.5</v>
      </c>
      <c r="P660" t="b">
        <v>1</v>
      </c>
      <c r="Q660">
        <v>0</v>
      </c>
      <c r="R660">
        <v>2181</v>
      </c>
      <c r="U660" t="s">
        <v>2422</v>
      </c>
      <c r="V660" t="s">
        <v>3286</v>
      </c>
      <c r="W660">
        <v>0</v>
      </c>
      <c r="X660">
        <v>43.8</v>
      </c>
      <c r="Y660" t="s">
        <v>4087</v>
      </c>
      <c r="Z660">
        <v>23.488739509985599</v>
      </c>
      <c r="AA660">
        <v>3837</v>
      </c>
      <c r="AB660">
        <v>16882</v>
      </c>
      <c r="AC660" t="s">
        <v>4941</v>
      </c>
      <c r="AD660">
        <v>26.24</v>
      </c>
      <c r="AE660" t="s">
        <v>5805</v>
      </c>
      <c r="AF660" t="s">
        <v>6626</v>
      </c>
      <c r="AG660">
        <v>1082</v>
      </c>
      <c r="AH660">
        <v>158</v>
      </c>
      <c r="AI660">
        <v>3096215</v>
      </c>
    </row>
    <row r="661" spans="1:36">
      <c r="A661" s="1" t="s">
        <v>695</v>
      </c>
      <c r="B661" t="s">
        <v>1559</v>
      </c>
      <c r="C661" t="str">
        <f>HYPERLINK("https://finance.naver.com/item/coinfo.nhn?code=017370", "A017370")</f>
        <v>A017370</v>
      </c>
      <c r="D661" t="str">
        <f>HYPERLINK("http://comp.fnguide.com/SVO2/ASP/SVD_Consensus.asp?pGB=1&amp;gicode=A017370&amp;cID=&amp;MenuYn=Y&amp;ReportGB=&amp;NewMenuID=108&amp;stkGb=701", "우신시스템")</f>
        <v>우신시스템</v>
      </c>
      <c r="E661">
        <v>3</v>
      </c>
      <c r="F661">
        <v>3500</v>
      </c>
      <c r="G661">
        <v>0</v>
      </c>
      <c r="H661">
        <v>15.8</v>
      </c>
      <c r="I661">
        <v>2268</v>
      </c>
      <c r="J661">
        <v>5086</v>
      </c>
      <c r="K661">
        <v>5887</v>
      </c>
      <c r="L661">
        <v>35.21</v>
      </c>
      <c r="M661">
        <v>-45.32</v>
      </c>
      <c r="N661">
        <v>-68.209999999999994</v>
      </c>
      <c r="O661">
        <v>2.59</v>
      </c>
      <c r="P661" t="b">
        <v>1</v>
      </c>
      <c r="Q661">
        <v>0</v>
      </c>
      <c r="R661">
        <v>316</v>
      </c>
      <c r="U661" t="s">
        <v>2423</v>
      </c>
      <c r="V661" t="s">
        <v>3287</v>
      </c>
      <c r="W661">
        <v>0</v>
      </c>
      <c r="X661">
        <v>0</v>
      </c>
      <c r="Y661" t="s">
        <v>4088</v>
      </c>
      <c r="Z661">
        <v>-43.599999999999987</v>
      </c>
      <c r="AA661">
        <v>641</v>
      </c>
      <c r="AB661">
        <v>109046</v>
      </c>
      <c r="AC661" t="s">
        <v>4942</v>
      </c>
      <c r="AD661">
        <v>37.31</v>
      </c>
      <c r="AE661" t="s">
        <v>5806</v>
      </c>
      <c r="AF661" t="s">
        <v>6627</v>
      </c>
      <c r="AG661">
        <v>3004</v>
      </c>
      <c r="AH661">
        <v>13</v>
      </c>
      <c r="AI661">
        <v>1916503</v>
      </c>
    </row>
    <row r="662" spans="1:36">
      <c r="A662" s="1" t="s">
        <v>696</v>
      </c>
      <c r="B662" t="s">
        <v>1560</v>
      </c>
      <c r="C662" t="str">
        <f>HYPERLINK("https://finance.naver.com/item/coinfo.nhn?code=070960", "A070960")</f>
        <v>A070960</v>
      </c>
      <c r="D662" t="str">
        <f>HYPERLINK("http://comp.fnguide.com/SVO2/ASP/SVD_Consensus.asp?pGB=1&amp;gicode=A070960&amp;cID=&amp;MenuYn=Y&amp;ReportGB=&amp;NewMenuID=108&amp;stkGb=701", "용평리조트")</f>
        <v>용평리조트</v>
      </c>
      <c r="E662">
        <v>3</v>
      </c>
      <c r="F662">
        <v>4085</v>
      </c>
      <c r="G662">
        <v>0</v>
      </c>
      <c r="I662">
        <v>1583</v>
      </c>
      <c r="J662">
        <v>5578</v>
      </c>
      <c r="K662">
        <v>6713</v>
      </c>
      <c r="L662">
        <v>61.25</v>
      </c>
      <c r="M662">
        <v>-36.549999999999997</v>
      </c>
      <c r="N662">
        <v>-64.34</v>
      </c>
      <c r="O662">
        <v>1.53</v>
      </c>
      <c r="P662" t="b">
        <v>0</v>
      </c>
      <c r="Q662">
        <v>0</v>
      </c>
      <c r="R662">
        <v>-287</v>
      </c>
      <c r="U662" t="s">
        <v>2424</v>
      </c>
      <c r="V662" t="s">
        <v>3288</v>
      </c>
      <c r="W662">
        <v>0</v>
      </c>
      <c r="X662">
        <v>0</v>
      </c>
      <c r="Y662" t="s">
        <v>4089</v>
      </c>
      <c r="Z662">
        <v>-11.52923638015311</v>
      </c>
      <c r="AA662">
        <v>1966</v>
      </c>
      <c r="AB662">
        <v>214346</v>
      </c>
      <c r="AC662" t="s">
        <v>4943</v>
      </c>
      <c r="AD662">
        <v>48.84</v>
      </c>
      <c r="AE662" t="s">
        <v>5807</v>
      </c>
      <c r="AF662" t="s">
        <v>6628</v>
      </c>
      <c r="AG662">
        <v>1294</v>
      </c>
      <c r="AH662">
        <v>-41</v>
      </c>
    </row>
    <row r="663" spans="1:36">
      <c r="A663" s="1" t="s">
        <v>697</v>
      </c>
      <c r="B663" t="s">
        <v>1561</v>
      </c>
      <c r="C663" t="str">
        <f>HYPERLINK("https://finance.naver.com/item/coinfo.nhn?code=316140", "A316140")</f>
        <v>A316140</v>
      </c>
      <c r="D663" t="str">
        <f>HYPERLINK("http://comp.fnguide.com/SVO2/ASP/SVD_Consensus.asp?pGB=1&amp;gicode=A316140&amp;cID=&amp;MenuYn=Y&amp;ReportGB=&amp;NewMenuID=108&amp;stkGb=701", "우리금융지주")</f>
        <v>우리금융지주</v>
      </c>
      <c r="E663">
        <v>3</v>
      </c>
      <c r="F663">
        <v>10150</v>
      </c>
      <c r="G663">
        <v>0</v>
      </c>
      <c r="H663">
        <v>4.29</v>
      </c>
      <c r="I663">
        <v>0</v>
      </c>
      <c r="J663">
        <v>17919</v>
      </c>
      <c r="K663">
        <v>23011</v>
      </c>
      <c r="L663">
        <v>100</v>
      </c>
      <c r="M663">
        <v>-76.540000000000006</v>
      </c>
      <c r="N663">
        <v>-126.71</v>
      </c>
      <c r="O663">
        <v>0</v>
      </c>
      <c r="P663" t="b">
        <v>1</v>
      </c>
      <c r="Q663">
        <v>0</v>
      </c>
      <c r="R663">
        <v>2701</v>
      </c>
      <c r="S663">
        <v>1993</v>
      </c>
      <c r="T663">
        <v>-26.2</v>
      </c>
      <c r="U663" t="s">
        <v>2425</v>
      </c>
      <c r="V663" t="s">
        <v>3289</v>
      </c>
      <c r="W663">
        <v>0</v>
      </c>
      <c r="X663">
        <v>2.1</v>
      </c>
      <c r="Y663" t="s">
        <v>4090</v>
      </c>
      <c r="Z663">
        <v>0</v>
      </c>
      <c r="AA663">
        <v>73310</v>
      </c>
      <c r="AB663">
        <v>1884212</v>
      </c>
      <c r="AC663" t="s">
        <v>4944</v>
      </c>
      <c r="AD663">
        <v>17.25</v>
      </c>
      <c r="AE663" t="s">
        <v>5808</v>
      </c>
      <c r="AF663" t="s">
        <v>6629</v>
      </c>
      <c r="AG663">
        <v>105768</v>
      </c>
      <c r="AH663">
        <v>28000</v>
      </c>
      <c r="AI663">
        <v>2</v>
      </c>
      <c r="AJ663">
        <v>6.03</v>
      </c>
    </row>
    <row r="664" spans="1:36">
      <c r="A664" s="1" t="s">
        <v>698</v>
      </c>
      <c r="B664" t="s">
        <v>1562</v>
      </c>
      <c r="C664" t="str">
        <f>HYPERLINK("https://finance.naver.com/item/coinfo.nhn?code=004910", "A004910")</f>
        <v>A004910</v>
      </c>
      <c r="D664" t="str">
        <f>HYPERLINK("http://comp.fnguide.com/SVO2/ASP/SVD_Consensus.asp?pGB=1&amp;gicode=A004910&amp;cID=&amp;MenuYn=Y&amp;ReportGB=&amp;NewMenuID=108&amp;stkGb=701", "조광페인트")</f>
        <v>조광페인트</v>
      </c>
      <c r="E664">
        <v>3</v>
      </c>
      <c r="F664">
        <v>6430</v>
      </c>
      <c r="G664">
        <v>0</v>
      </c>
      <c r="I664">
        <v>846</v>
      </c>
      <c r="J664">
        <v>10612</v>
      </c>
      <c r="K664">
        <v>13387</v>
      </c>
      <c r="L664">
        <v>86.84</v>
      </c>
      <c r="M664">
        <v>-65.03</v>
      </c>
      <c r="N664">
        <v>-108.2</v>
      </c>
      <c r="O664">
        <v>0.39</v>
      </c>
      <c r="P664" t="b">
        <v>0</v>
      </c>
      <c r="Q664">
        <v>0</v>
      </c>
      <c r="R664">
        <v>-181</v>
      </c>
      <c r="U664" t="s">
        <v>2426</v>
      </c>
      <c r="V664" t="s">
        <v>3290</v>
      </c>
      <c r="W664">
        <v>0</v>
      </c>
      <c r="X664">
        <v>589</v>
      </c>
      <c r="Y664" t="s">
        <v>4091</v>
      </c>
      <c r="Z664">
        <v>15.313717321285321</v>
      </c>
      <c r="AA664">
        <v>823</v>
      </c>
      <c r="AB664">
        <v>120300</v>
      </c>
      <c r="AC664" t="s">
        <v>4945</v>
      </c>
      <c r="AD664">
        <v>37.78</v>
      </c>
      <c r="AE664" t="s">
        <v>5809</v>
      </c>
      <c r="AF664" t="s">
        <v>6630</v>
      </c>
      <c r="AG664">
        <v>2034</v>
      </c>
      <c r="AH664">
        <v>-4</v>
      </c>
      <c r="AI664">
        <v>2687000</v>
      </c>
      <c r="AJ664">
        <v>3.64</v>
      </c>
    </row>
    <row r="665" spans="1:36">
      <c r="A665" s="1" t="s">
        <v>699</v>
      </c>
      <c r="B665" t="s">
        <v>1563</v>
      </c>
      <c r="C665" t="str">
        <f>HYPERLINK("https://finance.naver.com/item/coinfo.nhn?code=006220", "A006220")</f>
        <v>A006220</v>
      </c>
      <c r="D665" t="str">
        <f>HYPERLINK("http://comp.fnguide.com/SVO2/ASP/SVD_Consensus.asp?pGB=1&amp;gicode=A006220&amp;cID=&amp;MenuYn=Y&amp;ReportGB=&amp;NewMenuID=108&amp;stkGb=701", "제주은행")</f>
        <v>제주은행</v>
      </c>
      <c r="E665">
        <v>3</v>
      </c>
      <c r="F665">
        <v>3380</v>
      </c>
      <c r="G665">
        <v>0</v>
      </c>
      <c r="H665">
        <v>4.66</v>
      </c>
      <c r="I665">
        <v>11891</v>
      </c>
      <c r="J665">
        <v>14057</v>
      </c>
      <c r="K665">
        <v>14672</v>
      </c>
      <c r="L665">
        <v>-251.81</v>
      </c>
      <c r="M665">
        <v>-315.89</v>
      </c>
      <c r="N665">
        <v>-334.1</v>
      </c>
      <c r="O665">
        <v>6.09</v>
      </c>
      <c r="P665" t="b">
        <v>0</v>
      </c>
      <c r="Q665">
        <v>0</v>
      </c>
      <c r="R665">
        <v>869</v>
      </c>
      <c r="U665" t="s">
        <v>2427</v>
      </c>
      <c r="V665" t="s">
        <v>3291</v>
      </c>
      <c r="W665">
        <v>0</v>
      </c>
      <c r="X665">
        <v>2</v>
      </c>
      <c r="Y665" t="s">
        <v>4092</v>
      </c>
      <c r="Z665">
        <v>2.339831735155351</v>
      </c>
      <c r="AA665">
        <v>1086</v>
      </c>
      <c r="AB665">
        <v>22299</v>
      </c>
      <c r="AC665" t="s">
        <v>4946</v>
      </c>
      <c r="AD665">
        <v>75.31</v>
      </c>
      <c r="AE665" t="s">
        <v>5810</v>
      </c>
      <c r="AF665" t="s">
        <v>6631</v>
      </c>
      <c r="AG665">
        <v>2013</v>
      </c>
      <c r="AH665">
        <v>372</v>
      </c>
      <c r="AJ665">
        <v>2.4700000000000002</v>
      </c>
    </row>
    <row r="666" spans="1:36">
      <c r="A666" s="1" t="s">
        <v>700</v>
      </c>
      <c r="B666" t="s">
        <v>1564</v>
      </c>
      <c r="C666" t="str">
        <f>HYPERLINK("https://finance.naver.com/item/coinfo.nhn?code=002620", "A002620")</f>
        <v>A002620</v>
      </c>
      <c r="D666" t="str">
        <f>HYPERLINK("http://comp.fnguide.com/SVO2/ASP/SVD_Consensus.asp?pGB=1&amp;gicode=A002620&amp;cID=&amp;MenuYn=Y&amp;ReportGB=&amp;NewMenuID=108&amp;stkGb=701", "제일파마홀딩스")</f>
        <v>제일파마홀딩스</v>
      </c>
      <c r="E666">
        <v>3</v>
      </c>
      <c r="F666">
        <v>21450</v>
      </c>
      <c r="G666">
        <v>0</v>
      </c>
      <c r="I666">
        <v>126090</v>
      </c>
      <c r="J666">
        <v>65648</v>
      </c>
      <c r="K666">
        <v>48471</v>
      </c>
      <c r="L666">
        <v>-487.83</v>
      </c>
      <c r="M666">
        <v>-206.05</v>
      </c>
      <c r="N666">
        <v>-125.97</v>
      </c>
      <c r="O666">
        <v>39.06</v>
      </c>
      <c r="P666" t="b">
        <v>0</v>
      </c>
      <c r="Q666">
        <v>0</v>
      </c>
      <c r="R666">
        <v>-5676</v>
      </c>
      <c r="U666" t="s">
        <v>2428</v>
      </c>
      <c r="V666" t="s">
        <v>3292</v>
      </c>
      <c r="W666">
        <v>0</v>
      </c>
      <c r="X666">
        <v>39.4</v>
      </c>
      <c r="Y666" t="s">
        <v>4093</v>
      </c>
      <c r="Z666">
        <v>27.35199296967718</v>
      </c>
      <c r="AA666">
        <v>3426</v>
      </c>
      <c r="AB666">
        <v>189237</v>
      </c>
      <c r="AC666" t="s">
        <v>4947</v>
      </c>
      <c r="AD666">
        <v>73.16</v>
      </c>
      <c r="AE666" t="s">
        <v>5811</v>
      </c>
      <c r="AF666" t="s">
        <v>6632</v>
      </c>
      <c r="AG666">
        <v>7311</v>
      </c>
      <c r="AH666">
        <v>90</v>
      </c>
      <c r="AI666">
        <v>622230</v>
      </c>
      <c r="AJ666">
        <v>0.41</v>
      </c>
    </row>
    <row r="667" spans="1:36">
      <c r="A667" s="1" t="s">
        <v>701</v>
      </c>
      <c r="B667" t="s">
        <v>1565</v>
      </c>
      <c r="C667" t="str">
        <f>HYPERLINK("https://finance.naver.com/item/coinfo.nhn?code=001560", "A001560")</f>
        <v>A001560</v>
      </c>
      <c r="D667" t="str">
        <f>HYPERLINK("http://comp.fnguide.com/SVO2/ASP/SVD_Consensus.asp?pGB=1&amp;gicode=A001560&amp;cID=&amp;MenuYn=Y&amp;ReportGB=&amp;NewMenuID=108&amp;stkGb=701", "제일연마")</f>
        <v>제일연마</v>
      </c>
      <c r="E667">
        <v>3</v>
      </c>
      <c r="F667">
        <v>7340</v>
      </c>
      <c r="G667">
        <v>0</v>
      </c>
      <c r="H667">
        <v>12.16</v>
      </c>
      <c r="I667">
        <v>10076</v>
      </c>
      <c r="J667">
        <v>10752</v>
      </c>
      <c r="K667">
        <v>10945</v>
      </c>
      <c r="L667">
        <v>-37.28</v>
      </c>
      <c r="M667">
        <v>-46.49</v>
      </c>
      <c r="N667">
        <v>-49.11</v>
      </c>
      <c r="O667">
        <v>7.14</v>
      </c>
      <c r="P667" t="b">
        <v>1</v>
      </c>
      <c r="Q667">
        <v>0</v>
      </c>
      <c r="R667">
        <v>640</v>
      </c>
      <c r="U667" t="s">
        <v>2429</v>
      </c>
      <c r="V667" t="s">
        <v>3293</v>
      </c>
      <c r="W667">
        <v>0</v>
      </c>
      <c r="X667">
        <v>-43.5</v>
      </c>
      <c r="Y667" t="s">
        <v>4094</v>
      </c>
      <c r="Z667">
        <v>6.4905025567626673</v>
      </c>
      <c r="AA667">
        <v>734</v>
      </c>
      <c r="AB667">
        <v>10120</v>
      </c>
      <c r="AC667" t="s">
        <v>4948</v>
      </c>
      <c r="AD667">
        <v>50.92</v>
      </c>
      <c r="AE667" t="s">
        <v>5812</v>
      </c>
      <c r="AF667" t="s">
        <v>6633</v>
      </c>
      <c r="AG667">
        <v>811</v>
      </c>
      <c r="AH667">
        <v>69</v>
      </c>
      <c r="AI667">
        <v>2500000</v>
      </c>
      <c r="AJ667">
        <v>2.83</v>
      </c>
    </row>
    <row r="668" spans="1:36">
      <c r="A668" s="1" t="s">
        <v>702</v>
      </c>
      <c r="B668" t="s">
        <v>1566</v>
      </c>
      <c r="C668" t="str">
        <f>HYPERLINK("https://finance.naver.com/item/coinfo.nhn?code=006980", "A006980")</f>
        <v>A006980</v>
      </c>
      <c r="D668" t="str">
        <f>HYPERLINK("http://comp.fnguide.com/SVO2/ASP/SVD_Consensus.asp?pGB=1&amp;gicode=A006980&amp;cID=&amp;MenuYn=Y&amp;ReportGB=&amp;NewMenuID=108&amp;stkGb=701", "우성사료")</f>
        <v>우성사료</v>
      </c>
      <c r="E668">
        <v>3</v>
      </c>
      <c r="F668">
        <v>3005</v>
      </c>
      <c r="G668">
        <v>0</v>
      </c>
      <c r="H668">
        <v>7.62</v>
      </c>
      <c r="I668">
        <v>3141</v>
      </c>
      <c r="J668">
        <v>5309</v>
      </c>
      <c r="K668">
        <v>5925</v>
      </c>
      <c r="L668">
        <v>-4.53</v>
      </c>
      <c r="M668">
        <v>-76.67</v>
      </c>
      <c r="N668">
        <v>-97.17</v>
      </c>
      <c r="O668">
        <v>3.7</v>
      </c>
      <c r="P668" t="b">
        <v>1</v>
      </c>
      <c r="Q668">
        <v>0</v>
      </c>
      <c r="R668">
        <v>386</v>
      </c>
      <c r="U668" t="s">
        <v>2430</v>
      </c>
      <c r="V668" t="s">
        <v>3294</v>
      </c>
      <c r="W668">
        <v>0</v>
      </c>
      <c r="X668">
        <v>0</v>
      </c>
      <c r="Y668" t="s">
        <v>4095</v>
      </c>
      <c r="Z668">
        <v>29.699999999999989</v>
      </c>
      <c r="AA668">
        <v>929</v>
      </c>
      <c r="AB668">
        <v>300128</v>
      </c>
      <c r="AC668" t="s">
        <v>4949</v>
      </c>
      <c r="AD668">
        <v>32.64</v>
      </c>
      <c r="AE668" t="s">
        <v>5813</v>
      </c>
      <c r="AF668" t="s">
        <v>6634</v>
      </c>
      <c r="AG668">
        <v>3408</v>
      </c>
      <c r="AH668">
        <v>-36</v>
      </c>
      <c r="AI668">
        <v>5187770</v>
      </c>
      <c r="AJ668">
        <v>0.51</v>
      </c>
    </row>
    <row r="669" spans="1:36">
      <c r="A669" s="1" t="s">
        <v>703</v>
      </c>
      <c r="B669" t="s">
        <v>1567</v>
      </c>
      <c r="C669" t="str">
        <f>HYPERLINK("https://finance.naver.com/item/coinfo.nhn?code=009770", "A009770")</f>
        <v>A009770</v>
      </c>
      <c r="D669" t="str">
        <f>HYPERLINK("http://comp.fnguide.com/SVO2/ASP/SVD_Consensus.asp?pGB=1&amp;gicode=A009770&amp;cID=&amp;MenuYn=Y&amp;ReportGB=&amp;NewMenuID=108&amp;stkGb=701", "삼정펄프")</f>
        <v>삼정펄프</v>
      </c>
      <c r="E669">
        <v>3</v>
      </c>
      <c r="F669">
        <v>30000</v>
      </c>
      <c r="G669">
        <v>0</v>
      </c>
      <c r="H669">
        <v>17.579999999999998</v>
      </c>
      <c r="I669">
        <v>20847</v>
      </c>
      <c r="J669">
        <v>52732</v>
      </c>
      <c r="K669">
        <v>61793</v>
      </c>
      <c r="L669">
        <v>30.51</v>
      </c>
      <c r="M669">
        <v>-75.77</v>
      </c>
      <c r="N669">
        <v>-105.98</v>
      </c>
      <c r="O669">
        <v>2.2400000000000002</v>
      </c>
      <c r="P669" t="b">
        <v>1</v>
      </c>
      <c r="Q669">
        <v>0</v>
      </c>
      <c r="R669">
        <v>1868</v>
      </c>
      <c r="U669" t="s">
        <v>2431</v>
      </c>
      <c r="V669" t="s">
        <v>3295</v>
      </c>
      <c r="W669">
        <v>0</v>
      </c>
      <c r="X669">
        <v>395.8</v>
      </c>
      <c r="Y669" t="s">
        <v>4096</v>
      </c>
      <c r="Z669">
        <v>86.860972091979761</v>
      </c>
      <c r="AA669">
        <v>750</v>
      </c>
      <c r="AB669">
        <v>4227</v>
      </c>
      <c r="AC669" t="s">
        <v>4950</v>
      </c>
      <c r="AD669">
        <v>74.13</v>
      </c>
      <c r="AE669" t="s">
        <v>5814</v>
      </c>
      <c r="AF669" t="s">
        <v>6635</v>
      </c>
      <c r="AG669">
        <v>1471</v>
      </c>
      <c r="AH669">
        <v>67</v>
      </c>
    </row>
    <row r="670" spans="1:36">
      <c r="A670" s="1" t="s">
        <v>704</v>
      </c>
      <c r="B670" t="s">
        <v>1568</v>
      </c>
      <c r="C670" t="str">
        <f>HYPERLINK("https://finance.naver.com/item/coinfo.nhn?code=014830", "A014830")</f>
        <v>A014830</v>
      </c>
      <c r="D670" t="str">
        <f>HYPERLINK("http://comp.fnguide.com/SVO2/ASP/SVD_Consensus.asp?pGB=1&amp;gicode=A014830&amp;cID=&amp;MenuYn=Y&amp;ReportGB=&amp;NewMenuID=108&amp;stkGb=701", "유니드")</f>
        <v>유니드</v>
      </c>
      <c r="E670">
        <v>3</v>
      </c>
      <c r="F670">
        <v>48550</v>
      </c>
      <c r="G670">
        <v>0.22</v>
      </c>
      <c r="H670">
        <v>6.15</v>
      </c>
      <c r="I670">
        <v>80059</v>
      </c>
      <c r="J670">
        <v>80881</v>
      </c>
      <c r="K670">
        <v>81115</v>
      </c>
      <c r="L670">
        <v>-64.900000000000006</v>
      </c>
      <c r="M670">
        <v>-66.59</v>
      </c>
      <c r="N670">
        <v>-67.08</v>
      </c>
      <c r="O670">
        <v>7.81</v>
      </c>
      <c r="P670" t="b">
        <v>1</v>
      </c>
      <c r="Q670">
        <v>2</v>
      </c>
      <c r="R670">
        <v>7600</v>
      </c>
      <c r="S670">
        <v>9460</v>
      </c>
      <c r="T670">
        <v>24.5</v>
      </c>
      <c r="U670" t="s">
        <v>2432</v>
      </c>
      <c r="V670" t="s">
        <v>3296</v>
      </c>
      <c r="W670">
        <v>28.552144451681151</v>
      </c>
      <c r="X670">
        <v>4.3</v>
      </c>
      <c r="Y670" t="s">
        <v>4097</v>
      </c>
      <c r="Z670">
        <v>-1.4747010607970901</v>
      </c>
      <c r="AA670">
        <v>4316</v>
      </c>
      <c r="AB670">
        <v>38148</v>
      </c>
      <c r="AC670" t="s">
        <v>4951</v>
      </c>
      <c r="AD670">
        <v>46.58</v>
      </c>
      <c r="AE670" t="s">
        <v>5815</v>
      </c>
      <c r="AF670" t="s">
        <v>6636</v>
      </c>
      <c r="AG670">
        <v>8752</v>
      </c>
      <c r="AH670">
        <v>848</v>
      </c>
      <c r="AI670">
        <v>158000</v>
      </c>
      <c r="AJ670">
        <v>2.57</v>
      </c>
    </row>
    <row r="671" spans="1:36">
      <c r="A671" s="1" t="s">
        <v>705</v>
      </c>
      <c r="B671" t="s">
        <v>1569</v>
      </c>
      <c r="C671" t="str">
        <f>HYPERLINK("https://finance.naver.com/item/coinfo.nhn?code=194370", "A194370")</f>
        <v>A194370</v>
      </c>
      <c r="D671" t="str">
        <f>HYPERLINK("http://comp.fnguide.com/SVO2/ASP/SVD_Consensus.asp?pGB=1&amp;gicode=A194370&amp;cID=&amp;MenuYn=Y&amp;ReportGB=&amp;NewMenuID=108&amp;stkGb=701", "제이에스코퍼레이션")</f>
        <v>제이에스코퍼레이션</v>
      </c>
      <c r="E671">
        <v>3</v>
      </c>
      <c r="F671">
        <v>7400</v>
      </c>
      <c r="G671">
        <v>0</v>
      </c>
      <c r="H671">
        <v>20.39</v>
      </c>
      <c r="I671">
        <v>7206</v>
      </c>
      <c r="J671">
        <v>10517</v>
      </c>
      <c r="K671">
        <v>11458</v>
      </c>
      <c r="L671">
        <v>2.63</v>
      </c>
      <c r="M671">
        <v>-42.12</v>
      </c>
      <c r="N671">
        <v>-54.84</v>
      </c>
      <c r="O671">
        <v>4.5</v>
      </c>
      <c r="P671" t="b">
        <v>1</v>
      </c>
      <c r="Q671">
        <v>0</v>
      </c>
      <c r="R671">
        <v>615</v>
      </c>
      <c r="U671" t="s">
        <v>2433</v>
      </c>
      <c r="V671" t="s">
        <v>3297</v>
      </c>
      <c r="W671">
        <v>0</v>
      </c>
      <c r="X671">
        <v>-30</v>
      </c>
      <c r="Y671" t="s">
        <v>4098</v>
      </c>
      <c r="Z671">
        <v>-23.017766114941629</v>
      </c>
      <c r="AA671">
        <v>987</v>
      </c>
      <c r="AB671">
        <v>13314</v>
      </c>
      <c r="AC671" t="s">
        <v>4952</v>
      </c>
      <c r="AD671">
        <v>60.46</v>
      </c>
      <c r="AE671" t="s">
        <v>5816</v>
      </c>
      <c r="AF671" t="s">
        <v>6637</v>
      </c>
      <c r="AG671">
        <v>2531</v>
      </c>
      <c r="AH671">
        <v>111</v>
      </c>
      <c r="AI671">
        <v>997942</v>
      </c>
      <c r="AJ671">
        <v>3.98</v>
      </c>
    </row>
    <row r="672" spans="1:36">
      <c r="A672" s="1" t="s">
        <v>706</v>
      </c>
      <c r="B672" t="s">
        <v>1570</v>
      </c>
      <c r="C672" t="str">
        <f>HYPERLINK("https://finance.naver.com/item/coinfo.nhn?code=105840", "A105840")</f>
        <v>A105840</v>
      </c>
      <c r="D672" t="str">
        <f>HYPERLINK("http://comp.fnguide.com/SVO2/ASP/SVD_Consensus.asp?pGB=1&amp;gicode=A105840&amp;cID=&amp;MenuYn=Y&amp;ReportGB=&amp;NewMenuID=108&amp;stkGb=701", "우진")</f>
        <v>우진</v>
      </c>
      <c r="E672">
        <v>3</v>
      </c>
      <c r="F672">
        <v>4135</v>
      </c>
      <c r="G672">
        <v>0</v>
      </c>
      <c r="I672">
        <v>0</v>
      </c>
      <c r="J672">
        <v>3485</v>
      </c>
      <c r="K672">
        <v>4476</v>
      </c>
      <c r="L672">
        <v>100</v>
      </c>
      <c r="M672">
        <v>15.71</v>
      </c>
      <c r="N672">
        <v>-8.24</v>
      </c>
      <c r="O672">
        <v>0</v>
      </c>
      <c r="P672" t="b">
        <v>0</v>
      </c>
      <c r="Q672">
        <v>0</v>
      </c>
      <c r="R672">
        <v>-587</v>
      </c>
      <c r="U672" t="s">
        <v>2434</v>
      </c>
      <c r="V672" t="s">
        <v>3298</v>
      </c>
      <c r="W672">
        <v>0</v>
      </c>
      <c r="X672">
        <v>0</v>
      </c>
      <c r="Y672" t="s">
        <v>3499</v>
      </c>
      <c r="Z672">
        <v>0</v>
      </c>
      <c r="AA672">
        <v>835</v>
      </c>
      <c r="AB672">
        <v>74189</v>
      </c>
      <c r="AC672" t="s">
        <v>4953</v>
      </c>
      <c r="AD672">
        <v>37.18</v>
      </c>
      <c r="AE672" t="s">
        <v>5817</v>
      </c>
      <c r="AF672" t="s">
        <v>6021</v>
      </c>
      <c r="AG672">
        <v>889</v>
      </c>
      <c r="AH672">
        <v>-20</v>
      </c>
      <c r="AI672">
        <v>314955</v>
      </c>
      <c r="AJ672">
        <v>2.38</v>
      </c>
    </row>
    <row r="673" spans="1:36">
      <c r="A673" s="1" t="s">
        <v>707</v>
      </c>
      <c r="B673" t="s">
        <v>1571</v>
      </c>
      <c r="C673" t="str">
        <f>HYPERLINK("https://finance.naver.com/item/coinfo.nhn?code=000950", "A000950")</f>
        <v>A000950</v>
      </c>
      <c r="D673" t="str">
        <f>HYPERLINK("http://comp.fnguide.com/SVO2/ASP/SVD_Consensus.asp?pGB=1&amp;gicode=A000950&amp;cID=&amp;MenuYn=Y&amp;ReportGB=&amp;NewMenuID=108&amp;stkGb=701", "전방")</f>
        <v>전방</v>
      </c>
      <c r="E673">
        <v>3</v>
      </c>
      <c r="F673">
        <v>29700</v>
      </c>
      <c r="G673">
        <v>0</v>
      </c>
      <c r="I673">
        <v>0</v>
      </c>
      <c r="J673">
        <v>44618</v>
      </c>
      <c r="K673">
        <v>57298</v>
      </c>
      <c r="L673">
        <v>100</v>
      </c>
      <c r="M673">
        <v>-50.23</v>
      </c>
      <c r="N673">
        <v>-92.92</v>
      </c>
      <c r="O673">
        <v>0</v>
      </c>
      <c r="P673" t="b">
        <v>0</v>
      </c>
      <c r="Q673">
        <v>0</v>
      </c>
      <c r="R673">
        <v>-23962</v>
      </c>
      <c r="U673" t="s">
        <v>2435</v>
      </c>
      <c r="V673" t="s">
        <v>3299</v>
      </c>
      <c r="W673">
        <v>0</v>
      </c>
      <c r="X673">
        <v>0</v>
      </c>
      <c r="Y673" t="s">
        <v>3499</v>
      </c>
      <c r="Z673">
        <v>0</v>
      </c>
      <c r="AA673">
        <v>499</v>
      </c>
      <c r="AB673">
        <v>2227</v>
      </c>
      <c r="AC673" t="s">
        <v>4954</v>
      </c>
      <c r="AD673">
        <v>20.46</v>
      </c>
      <c r="AE673" t="s">
        <v>5818</v>
      </c>
      <c r="AF673" t="s">
        <v>6021</v>
      </c>
      <c r="AG673">
        <v>1375</v>
      </c>
      <c r="AH673">
        <v>-305</v>
      </c>
      <c r="AI673">
        <v>540530</v>
      </c>
    </row>
    <row r="674" spans="1:36">
      <c r="A674" s="1" t="s">
        <v>708</v>
      </c>
      <c r="B674" t="s">
        <v>1572</v>
      </c>
      <c r="C674" t="str">
        <f>HYPERLINK("https://finance.naver.com/item/coinfo.nhn?code=010400", "A010400")</f>
        <v>A010400</v>
      </c>
      <c r="D674" t="str">
        <f>HYPERLINK("http://comp.fnguide.com/SVO2/ASP/SVD_Consensus.asp?pGB=1&amp;gicode=A010400&amp;cID=&amp;MenuYn=Y&amp;ReportGB=&amp;NewMenuID=108&amp;stkGb=701", "우진아이엔에스")</f>
        <v>우진아이엔에스</v>
      </c>
      <c r="E674">
        <v>3</v>
      </c>
      <c r="F674">
        <v>8120</v>
      </c>
      <c r="G674">
        <v>0</v>
      </c>
      <c r="H674">
        <v>30.13</v>
      </c>
      <c r="I674">
        <v>20572</v>
      </c>
      <c r="J674">
        <v>17772</v>
      </c>
      <c r="K674">
        <v>16976</v>
      </c>
      <c r="L674">
        <v>-153.35</v>
      </c>
      <c r="M674">
        <v>-118.87</v>
      </c>
      <c r="N674">
        <v>-109.06</v>
      </c>
      <c r="O674">
        <v>10.26</v>
      </c>
      <c r="P674" t="b">
        <v>0</v>
      </c>
      <c r="Q674">
        <v>0</v>
      </c>
      <c r="R674">
        <v>279</v>
      </c>
      <c r="U674" t="s">
        <v>2436</v>
      </c>
      <c r="V674" t="s">
        <v>3300</v>
      </c>
      <c r="W674">
        <v>0</v>
      </c>
      <c r="X674">
        <v>0</v>
      </c>
      <c r="Y674" t="s">
        <v>4099</v>
      </c>
      <c r="Z674">
        <v>-45.240757035431344</v>
      </c>
      <c r="AA674">
        <v>619</v>
      </c>
      <c r="AB674">
        <v>13000</v>
      </c>
      <c r="AC674" t="s">
        <v>4955</v>
      </c>
      <c r="AD674">
        <v>53.21</v>
      </c>
      <c r="AE674" t="s">
        <v>5819</v>
      </c>
      <c r="AF674" t="s">
        <v>6638</v>
      </c>
      <c r="AG674">
        <v>1073</v>
      </c>
      <c r="AH674">
        <v>9</v>
      </c>
      <c r="AI674">
        <v>899998</v>
      </c>
      <c r="AJ674">
        <v>2.98</v>
      </c>
    </row>
    <row r="675" spans="1:36">
      <c r="A675" s="1" t="s">
        <v>709</v>
      </c>
      <c r="B675" t="s">
        <v>1573</v>
      </c>
      <c r="C675" t="str">
        <f>HYPERLINK("https://finance.naver.com/item/coinfo.nhn?code=095720", "A095720")</f>
        <v>A095720</v>
      </c>
      <c r="D675" t="str">
        <f>HYPERLINK("http://comp.fnguide.com/SVO2/ASP/SVD_Consensus.asp?pGB=1&amp;gicode=A095720&amp;cID=&amp;MenuYn=Y&amp;ReportGB=&amp;NewMenuID=108&amp;stkGb=701", "웅진씽크빅")</f>
        <v>웅진씽크빅</v>
      </c>
      <c r="E675">
        <v>3</v>
      </c>
      <c r="F675">
        <v>2925</v>
      </c>
      <c r="I675">
        <v>2024</v>
      </c>
      <c r="J675">
        <v>3327</v>
      </c>
      <c r="K675">
        <v>3698</v>
      </c>
      <c r="L675">
        <v>30.81</v>
      </c>
      <c r="M675">
        <v>-13.75</v>
      </c>
      <c r="N675">
        <v>-26.41</v>
      </c>
      <c r="O675">
        <v>3.83</v>
      </c>
      <c r="P675" t="b">
        <v>0</v>
      </c>
      <c r="Q675">
        <v>1</v>
      </c>
      <c r="R675">
        <v>-1187</v>
      </c>
      <c r="S675">
        <v>106</v>
      </c>
      <c r="T675">
        <v>-108.9</v>
      </c>
      <c r="U675" t="s">
        <v>2437</v>
      </c>
      <c r="V675" t="s">
        <v>3301</v>
      </c>
      <c r="W675">
        <v>-44.536334146077529</v>
      </c>
      <c r="X675">
        <v>-84.3</v>
      </c>
      <c r="Y675" t="s">
        <v>4100</v>
      </c>
      <c r="Z675">
        <v>-28.289677827426662</v>
      </c>
      <c r="AA675">
        <v>3434</v>
      </c>
      <c r="AB675">
        <v>535815</v>
      </c>
      <c r="AC675" t="s">
        <v>4956</v>
      </c>
      <c r="AD675">
        <v>59.52</v>
      </c>
      <c r="AE675" t="s">
        <v>5820</v>
      </c>
      <c r="AF675" t="s">
        <v>6639</v>
      </c>
      <c r="AG675">
        <v>6522</v>
      </c>
      <c r="AH675">
        <v>217</v>
      </c>
      <c r="AI675">
        <v>3296748</v>
      </c>
      <c r="AJ675">
        <v>10.37</v>
      </c>
    </row>
    <row r="676" spans="1:36">
      <c r="A676" s="1" t="s">
        <v>710</v>
      </c>
      <c r="B676" t="s">
        <v>1574</v>
      </c>
      <c r="C676" t="str">
        <f>HYPERLINK("https://finance.naver.com/item/coinfo.nhn?code=005820", "A005820")</f>
        <v>A005820</v>
      </c>
      <c r="D676" t="str">
        <f>HYPERLINK("http://comp.fnguide.com/SVO2/ASP/SVD_Consensus.asp?pGB=1&amp;gicode=A005820&amp;cID=&amp;MenuYn=Y&amp;ReportGB=&amp;NewMenuID=108&amp;stkGb=701", "원림")</f>
        <v>원림</v>
      </c>
      <c r="E676">
        <v>3</v>
      </c>
      <c r="F676">
        <v>20100</v>
      </c>
      <c r="G676">
        <v>0</v>
      </c>
      <c r="H676">
        <v>13.46</v>
      </c>
      <c r="I676">
        <v>13786</v>
      </c>
      <c r="J676">
        <v>33281</v>
      </c>
      <c r="K676">
        <v>38821</v>
      </c>
      <c r="L676">
        <v>31.41</v>
      </c>
      <c r="M676">
        <v>-65.58</v>
      </c>
      <c r="N676">
        <v>-93.14</v>
      </c>
      <c r="O676">
        <v>2.37</v>
      </c>
      <c r="P676" t="b">
        <v>1</v>
      </c>
      <c r="Q676">
        <v>0</v>
      </c>
      <c r="R676">
        <v>1348</v>
      </c>
      <c r="U676" t="s">
        <v>2438</v>
      </c>
      <c r="V676" t="s">
        <v>3302</v>
      </c>
      <c r="W676">
        <v>0</v>
      </c>
      <c r="X676">
        <v>1328.8</v>
      </c>
      <c r="Y676" t="s">
        <v>4101</v>
      </c>
      <c r="Z676">
        <v>164.4219057304968</v>
      </c>
      <c r="AA676">
        <v>442</v>
      </c>
      <c r="AB676">
        <v>4998</v>
      </c>
      <c r="AC676" t="s">
        <v>4957</v>
      </c>
      <c r="AD676">
        <v>60.21</v>
      </c>
      <c r="AE676" t="s">
        <v>5821</v>
      </c>
      <c r="AF676" t="s">
        <v>6640</v>
      </c>
      <c r="AG676">
        <v>791</v>
      </c>
      <c r="AH676">
        <v>42</v>
      </c>
      <c r="AI676">
        <v>240590</v>
      </c>
      <c r="AJ676">
        <v>1.38</v>
      </c>
    </row>
    <row r="677" spans="1:36">
      <c r="A677" s="1" t="s">
        <v>711</v>
      </c>
      <c r="B677" t="s">
        <v>1575</v>
      </c>
      <c r="C677" t="str">
        <f>HYPERLINK("https://finance.naver.com/item/coinfo.nhn?code=008600", "A008600")</f>
        <v>A008600</v>
      </c>
      <c r="D677" t="str">
        <f>HYPERLINK("http://comp.fnguide.com/SVO2/ASP/SVD_Consensus.asp?pGB=1&amp;gicode=A008600&amp;cID=&amp;MenuYn=Y&amp;ReportGB=&amp;NewMenuID=108&amp;stkGb=701", "윌비스")</f>
        <v>윌비스</v>
      </c>
      <c r="E677">
        <v>3</v>
      </c>
      <c r="F677">
        <v>1365</v>
      </c>
      <c r="G677">
        <v>0</v>
      </c>
      <c r="I677">
        <v>16</v>
      </c>
      <c r="J677">
        <v>1073</v>
      </c>
      <c r="K677">
        <v>1374</v>
      </c>
      <c r="L677">
        <v>98.85</v>
      </c>
      <c r="M677">
        <v>21.39</v>
      </c>
      <c r="N677">
        <v>-0.63</v>
      </c>
      <c r="O677">
        <v>7.0000000000000007E-2</v>
      </c>
      <c r="P677" t="b">
        <v>0</v>
      </c>
      <c r="Q677">
        <v>0</v>
      </c>
      <c r="R677">
        <v>-598</v>
      </c>
      <c r="U677" t="s">
        <v>2439</v>
      </c>
      <c r="V677" t="s">
        <v>3303</v>
      </c>
      <c r="W677">
        <v>0</v>
      </c>
      <c r="X677">
        <v>0</v>
      </c>
      <c r="Y677" t="s">
        <v>4102</v>
      </c>
      <c r="Z677">
        <v>-62.188890521435383</v>
      </c>
      <c r="AA677">
        <v>886</v>
      </c>
      <c r="AB677">
        <v>313390</v>
      </c>
      <c r="AC677" t="s">
        <v>4958</v>
      </c>
      <c r="AD677">
        <v>12.23</v>
      </c>
      <c r="AE677" t="s">
        <v>5822</v>
      </c>
      <c r="AF677" t="s">
        <v>6641</v>
      </c>
      <c r="AG677">
        <v>2696</v>
      </c>
      <c r="AH677">
        <v>-197</v>
      </c>
      <c r="AI677">
        <v>6561093</v>
      </c>
    </row>
    <row r="678" spans="1:36">
      <c r="A678" s="1" t="s">
        <v>712</v>
      </c>
      <c r="B678" t="s">
        <v>1576</v>
      </c>
      <c r="C678" t="str">
        <f>HYPERLINK("https://finance.naver.com/item/coinfo.nhn?code=009270", "A009270")</f>
        <v>A009270</v>
      </c>
      <c r="D678" t="str">
        <f>HYPERLINK("http://comp.fnguide.com/SVO2/ASP/SVD_Consensus.asp?pGB=1&amp;gicode=A009270&amp;cID=&amp;MenuYn=Y&amp;ReportGB=&amp;NewMenuID=108&amp;stkGb=701", "신원")</f>
        <v>신원</v>
      </c>
      <c r="E678">
        <v>3</v>
      </c>
      <c r="F678">
        <v>1400</v>
      </c>
      <c r="G678">
        <v>0</v>
      </c>
      <c r="H678">
        <v>110.01</v>
      </c>
      <c r="I678">
        <v>131</v>
      </c>
      <c r="J678">
        <v>1744</v>
      </c>
      <c r="K678">
        <v>2203</v>
      </c>
      <c r="L678">
        <v>90.64</v>
      </c>
      <c r="M678">
        <v>-24.6</v>
      </c>
      <c r="N678">
        <v>-57.35</v>
      </c>
      <c r="O678">
        <v>0.37</v>
      </c>
      <c r="P678" t="b">
        <v>0</v>
      </c>
      <c r="Q678">
        <v>0</v>
      </c>
      <c r="R678">
        <v>17</v>
      </c>
      <c r="U678" t="s">
        <v>2440</v>
      </c>
      <c r="V678" t="s">
        <v>3304</v>
      </c>
      <c r="W678">
        <v>0</v>
      </c>
      <c r="X678">
        <v>0</v>
      </c>
      <c r="Y678" t="s">
        <v>3499</v>
      </c>
      <c r="Z678">
        <v>0</v>
      </c>
      <c r="AA678">
        <v>1191</v>
      </c>
      <c r="AB678">
        <v>440013</v>
      </c>
      <c r="AC678" t="s">
        <v>4959</v>
      </c>
      <c r="AD678">
        <v>32.69</v>
      </c>
      <c r="AE678" t="s">
        <v>5823</v>
      </c>
      <c r="AF678" t="s">
        <v>6642</v>
      </c>
      <c r="AG678">
        <v>6749</v>
      </c>
      <c r="AH678">
        <v>90</v>
      </c>
      <c r="AI678">
        <v>13218722</v>
      </c>
    </row>
    <row r="679" spans="1:36">
      <c r="A679" s="1" t="s">
        <v>713</v>
      </c>
      <c r="B679" t="s">
        <v>1577</v>
      </c>
      <c r="C679" t="str">
        <f>HYPERLINK("https://finance.naver.com/item/coinfo.nhn?code=138490", "A138490")</f>
        <v>A138490</v>
      </c>
      <c r="D679" t="str">
        <f>HYPERLINK("http://comp.fnguide.com/SVO2/ASP/SVD_Consensus.asp?pGB=1&amp;gicode=A138490&amp;cID=&amp;MenuYn=Y&amp;ReportGB=&amp;NewMenuID=108&amp;stkGb=701", "코오롱플라스틱")</f>
        <v>코오롱플라스틱</v>
      </c>
      <c r="E679">
        <v>3</v>
      </c>
      <c r="F679">
        <v>4470</v>
      </c>
      <c r="G679">
        <v>0</v>
      </c>
      <c r="H679">
        <v>31.33</v>
      </c>
      <c r="I679">
        <v>3306</v>
      </c>
      <c r="J679">
        <v>4446</v>
      </c>
      <c r="K679">
        <v>4769</v>
      </c>
      <c r="L679">
        <v>26.04</v>
      </c>
      <c r="M679">
        <v>0.54</v>
      </c>
      <c r="N679">
        <v>-6.7</v>
      </c>
      <c r="O679">
        <v>5.05</v>
      </c>
      <c r="P679" t="b">
        <v>1</v>
      </c>
      <c r="Q679">
        <v>0</v>
      </c>
      <c r="R679">
        <v>143</v>
      </c>
      <c r="S679">
        <v>-158</v>
      </c>
      <c r="T679">
        <v>-210.5</v>
      </c>
      <c r="U679" t="s">
        <v>2441</v>
      </c>
      <c r="V679" t="s">
        <v>3305</v>
      </c>
      <c r="W679">
        <v>0</v>
      </c>
      <c r="X679">
        <v>0</v>
      </c>
      <c r="Y679" t="s">
        <v>4103</v>
      </c>
      <c r="Z679">
        <v>-16.96682526657273</v>
      </c>
      <c r="AA679">
        <v>1699</v>
      </c>
      <c r="AB679">
        <v>173246</v>
      </c>
      <c r="AC679" t="s">
        <v>4960</v>
      </c>
      <c r="AD679">
        <v>66.989999999999995</v>
      </c>
      <c r="AE679" t="s">
        <v>5824</v>
      </c>
      <c r="AF679" t="s">
        <v>6643</v>
      </c>
      <c r="AG679">
        <v>3303</v>
      </c>
      <c r="AH679">
        <v>103</v>
      </c>
      <c r="AJ679">
        <v>1.56</v>
      </c>
    </row>
    <row r="680" spans="1:36">
      <c r="A680" s="1" t="s">
        <v>714</v>
      </c>
      <c r="B680" t="s">
        <v>1578</v>
      </c>
      <c r="C680" t="str">
        <f>HYPERLINK("https://finance.naver.com/item/coinfo.nhn?code=264900", "A264900")</f>
        <v>A264900</v>
      </c>
      <c r="D680" t="str">
        <f>HYPERLINK("http://comp.fnguide.com/SVO2/ASP/SVD_Consensus.asp?pGB=1&amp;gicode=A264900&amp;cID=&amp;MenuYn=Y&amp;ReportGB=&amp;NewMenuID=108&amp;stkGb=701", "크라운제과")</f>
        <v>크라운제과</v>
      </c>
      <c r="E680">
        <v>3</v>
      </c>
      <c r="F680">
        <v>8880</v>
      </c>
      <c r="G680">
        <v>0</v>
      </c>
      <c r="H680">
        <v>6.1</v>
      </c>
      <c r="I680">
        <v>15886</v>
      </c>
      <c r="J680">
        <v>13438</v>
      </c>
      <c r="K680">
        <v>12742</v>
      </c>
      <c r="L680">
        <v>-78.89</v>
      </c>
      <c r="M680">
        <v>-51.33</v>
      </c>
      <c r="N680">
        <v>-43.49</v>
      </c>
      <c r="O680">
        <v>10.67</v>
      </c>
      <c r="P680" t="b">
        <v>1</v>
      </c>
      <c r="Q680">
        <v>0</v>
      </c>
      <c r="R680">
        <v>1424</v>
      </c>
      <c r="U680" t="s">
        <v>2442</v>
      </c>
      <c r="V680" t="s">
        <v>3306</v>
      </c>
      <c r="W680">
        <v>0</v>
      </c>
      <c r="X680">
        <v>12.5</v>
      </c>
      <c r="Y680" t="s">
        <v>4104</v>
      </c>
      <c r="Z680">
        <v>0</v>
      </c>
      <c r="AA680">
        <v>1112</v>
      </c>
      <c r="AB680">
        <v>13549</v>
      </c>
      <c r="AC680" t="s">
        <v>4961</v>
      </c>
      <c r="AD680">
        <v>61.68</v>
      </c>
      <c r="AE680" t="s">
        <v>5825</v>
      </c>
      <c r="AF680" t="s">
        <v>6644</v>
      </c>
      <c r="AG680">
        <v>3866</v>
      </c>
      <c r="AH680">
        <v>265</v>
      </c>
      <c r="AI680">
        <v>507681</v>
      </c>
      <c r="AJ680">
        <v>2.88</v>
      </c>
    </row>
    <row r="681" spans="1:36">
      <c r="A681" s="1" t="s">
        <v>715</v>
      </c>
      <c r="B681" t="s">
        <v>1579</v>
      </c>
      <c r="C681" t="str">
        <f>HYPERLINK("https://finance.naver.com/item/coinfo.nhn?code=004980", "A004980")</f>
        <v>A004980</v>
      </c>
      <c r="D681" t="str">
        <f>HYPERLINK("http://comp.fnguide.com/SVO2/ASP/SVD_Consensus.asp?pGB=1&amp;gicode=A004980&amp;cID=&amp;MenuYn=Y&amp;ReportGB=&amp;NewMenuID=108&amp;stkGb=701", "성신양회")</f>
        <v>성신양회</v>
      </c>
      <c r="E681">
        <v>3</v>
      </c>
      <c r="F681">
        <v>7150</v>
      </c>
      <c r="G681">
        <v>0</v>
      </c>
      <c r="H681">
        <v>10.11</v>
      </c>
      <c r="I681">
        <v>8913</v>
      </c>
      <c r="J681">
        <v>13538</v>
      </c>
      <c r="K681">
        <v>14852</v>
      </c>
      <c r="L681">
        <v>-24.66</v>
      </c>
      <c r="M681">
        <v>-89.34</v>
      </c>
      <c r="N681">
        <v>-107.72</v>
      </c>
      <c r="O681">
        <v>4.26</v>
      </c>
      <c r="P681" t="b">
        <v>1</v>
      </c>
      <c r="Q681">
        <v>0</v>
      </c>
      <c r="R681">
        <v>690</v>
      </c>
      <c r="U681" t="s">
        <v>2443</v>
      </c>
      <c r="V681" t="s">
        <v>3307</v>
      </c>
      <c r="W681">
        <v>0</v>
      </c>
      <c r="X681">
        <v>0</v>
      </c>
      <c r="Y681" t="s">
        <v>4105</v>
      </c>
      <c r="Z681">
        <v>11.15947048336057</v>
      </c>
      <c r="AA681">
        <v>1753</v>
      </c>
      <c r="AB681">
        <v>91311</v>
      </c>
      <c r="AC681" t="s">
        <v>4962</v>
      </c>
      <c r="AD681">
        <v>33.14</v>
      </c>
      <c r="AE681" t="s">
        <v>5826</v>
      </c>
      <c r="AF681" t="s">
        <v>6645</v>
      </c>
      <c r="AG681">
        <v>7074</v>
      </c>
      <c r="AH681">
        <v>208</v>
      </c>
      <c r="AI681">
        <v>400976</v>
      </c>
      <c r="AJ681">
        <v>2.15</v>
      </c>
    </row>
    <row r="682" spans="1:36">
      <c r="A682" s="1" t="s">
        <v>716</v>
      </c>
      <c r="B682" t="s">
        <v>1580</v>
      </c>
      <c r="C682" t="str">
        <f>HYPERLINK("https://finance.naver.com/item/coinfo.nhn?code=002820", "A002820")</f>
        <v>A002820</v>
      </c>
      <c r="D682" t="str">
        <f>HYPERLINK("http://comp.fnguide.com/SVO2/ASP/SVD_Consensus.asp?pGB=1&amp;gicode=A002820&amp;cID=&amp;MenuYn=Y&amp;ReportGB=&amp;NewMenuID=108&amp;stkGb=701", "선창산업")</f>
        <v>선창산업</v>
      </c>
      <c r="E682">
        <v>3</v>
      </c>
      <c r="F682">
        <v>5020</v>
      </c>
      <c r="G682">
        <v>0</v>
      </c>
      <c r="I682">
        <v>0</v>
      </c>
      <c r="J682">
        <v>10913</v>
      </c>
      <c r="K682">
        <v>14014</v>
      </c>
      <c r="L682">
        <v>100</v>
      </c>
      <c r="M682">
        <v>-117.39</v>
      </c>
      <c r="N682">
        <v>-179.17</v>
      </c>
      <c r="O682">
        <v>0</v>
      </c>
      <c r="P682" t="b">
        <v>0</v>
      </c>
      <c r="Q682">
        <v>0</v>
      </c>
      <c r="R682">
        <v>-2973</v>
      </c>
      <c r="U682" t="s">
        <v>2444</v>
      </c>
      <c r="V682" t="s">
        <v>3308</v>
      </c>
      <c r="W682">
        <v>0</v>
      </c>
      <c r="X682">
        <v>0</v>
      </c>
      <c r="Y682" t="s">
        <v>4106</v>
      </c>
      <c r="Z682">
        <v>103.2</v>
      </c>
      <c r="AA682">
        <v>633</v>
      </c>
      <c r="AB682">
        <v>28892</v>
      </c>
      <c r="AC682" t="s">
        <v>4963</v>
      </c>
      <c r="AD682">
        <v>46.52</v>
      </c>
      <c r="AE682" t="s">
        <v>5827</v>
      </c>
      <c r="AF682" t="s">
        <v>6021</v>
      </c>
      <c r="AG682">
        <v>4559</v>
      </c>
      <c r="AH682">
        <v>-187</v>
      </c>
      <c r="AI682">
        <v>544785</v>
      </c>
    </row>
    <row r="683" spans="1:36">
      <c r="A683" s="1" t="s">
        <v>717</v>
      </c>
      <c r="B683" t="s">
        <v>1581</v>
      </c>
      <c r="C683" t="str">
        <f>HYPERLINK("https://finance.naver.com/item/coinfo.nhn?code=004090", "A004090")</f>
        <v>A004090</v>
      </c>
      <c r="D683" t="str">
        <f>HYPERLINK("http://comp.fnguide.com/SVO2/ASP/SVD_Consensus.asp?pGB=1&amp;gicode=A004090&amp;cID=&amp;MenuYn=Y&amp;ReportGB=&amp;NewMenuID=108&amp;stkGb=701", "한국석유")</f>
        <v>한국석유</v>
      </c>
      <c r="E683">
        <v>3</v>
      </c>
      <c r="F683">
        <v>97200</v>
      </c>
      <c r="G683">
        <v>0</v>
      </c>
      <c r="I683">
        <v>60709</v>
      </c>
      <c r="J683">
        <v>160344</v>
      </c>
      <c r="K683">
        <v>188659</v>
      </c>
      <c r="L683">
        <v>37.54</v>
      </c>
      <c r="M683">
        <v>-64.959999999999994</v>
      </c>
      <c r="N683">
        <v>-94.09</v>
      </c>
      <c r="O683">
        <v>2.13</v>
      </c>
      <c r="P683" t="b">
        <v>0</v>
      </c>
      <c r="Q683">
        <v>0</v>
      </c>
      <c r="R683">
        <v>-11586</v>
      </c>
      <c r="U683" t="s">
        <v>2445</v>
      </c>
      <c r="V683" t="s">
        <v>3309</v>
      </c>
      <c r="W683">
        <v>0</v>
      </c>
      <c r="X683">
        <v>31</v>
      </c>
      <c r="Y683" t="s">
        <v>4107</v>
      </c>
      <c r="Z683">
        <v>-20.95390003805273</v>
      </c>
      <c r="AA683">
        <v>637</v>
      </c>
      <c r="AB683">
        <v>3217</v>
      </c>
      <c r="AC683" t="s">
        <v>4964</v>
      </c>
      <c r="AD683">
        <v>49.12</v>
      </c>
      <c r="AE683" t="s">
        <v>5828</v>
      </c>
      <c r="AF683" t="s">
        <v>6646</v>
      </c>
      <c r="AG683">
        <v>4854</v>
      </c>
      <c r="AH683">
        <v>61</v>
      </c>
      <c r="AI683">
        <v>40988</v>
      </c>
      <c r="AJ683">
        <v>1.45</v>
      </c>
    </row>
    <row r="684" spans="1:36">
      <c r="A684" s="1" t="s">
        <v>718</v>
      </c>
      <c r="B684" t="s">
        <v>1582</v>
      </c>
      <c r="C684" t="str">
        <f>HYPERLINK("https://finance.naver.com/item/coinfo.nhn?code=025540", "A025540")</f>
        <v>A025540</v>
      </c>
      <c r="D684" t="str">
        <f>HYPERLINK("http://comp.fnguide.com/SVO2/ASP/SVD_Consensus.asp?pGB=1&amp;gicode=A025540&amp;cID=&amp;MenuYn=Y&amp;ReportGB=&amp;NewMenuID=108&amp;stkGb=701", "한국단자")</f>
        <v>한국단자</v>
      </c>
      <c r="E684">
        <v>3</v>
      </c>
      <c r="F684">
        <v>58200</v>
      </c>
      <c r="G684">
        <v>0</v>
      </c>
      <c r="H684">
        <v>13.96</v>
      </c>
      <c r="I684">
        <v>47643</v>
      </c>
      <c r="J684">
        <v>60397</v>
      </c>
      <c r="K684">
        <v>64022</v>
      </c>
      <c r="L684">
        <v>18.14</v>
      </c>
      <c r="M684">
        <v>-3.78</v>
      </c>
      <c r="N684">
        <v>-10</v>
      </c>
      <c r="O684">
        <v>5.5</v>
      </c>
      <c r="P684" t="b">
        <v>1</v>
      </c>
      <c r="Q684">
        <v>0</v>
      </c>
      <c r="R684">
        <v>3062</v>
      </c>
      <c r="U684" t="s">
        <v>2446</v>
      </c>
      <c r="V684" t="s">
        <v>3310</v>
      </c>
      <c r="W684">
        <v>0</v>
      </c>
      <c r="X684">
        <v>76.2</v>
      </c>
      <c r="Y684" t="s">
        <v>4108</v>
      </c>
      <c r="Z684">
        <v>-4.016109895108622</v>
      </c>
      <c r="AA684">
        <v>6062</v>
      </c>
      <c r="AB684">
        <v>106944</v>
      </c>
      <c r="AC684" t="s">
        <v>4965</v>
      </c>
      <c r="AD684">
        <v>37.299999999999997</v>
      </c>
      <c r="AE684" t="s">
        <v>5829</v>
      </c>
      <c r="AF684" t="s">
        <v>6647</v>
      </c>
      <c r="AG684">
        <v>7721</v>
      </c>
      <c r="AH684">
        <v>335</v>
      </c>
      <c r="AI684">
        <v>100000</v>
      </c>
      <c r="AJ684">
        <v>1.64</v>
      </c>
    </row>
    <row r="685" spans="1:36">
      <c r="A685" s="1" t="s">
        <v>719</v>
      </c>
      <c r="B685" t="s">
        <v>1583</v>
      </c>
      <c r="C685" t="str">
        <f>HYPERLINK("https://finance.naver.com/item/coinfo.nhn?code=010040", "A010040")</f>
        <v>A010040</v>
      </c>
      <c r="D685" t="str">
        <f>HYPERLINK("http://comp.fnguide.com/SVO2/ASP/SVD_Consensus.asp?pGB=1&amp;gicode=A010040&amp;cID=&amp;MenuYn=Y&amp;ReportGB=&amp;NewMenuID=108&amp;stkGb=701", "한국내화")</f>
        <v>한국내화</v>
      </c>
      <c r="E685">
        <v>3</v>
      </c>
      <c r="F685">
        <v>3860</v>
      </c>
      <c r="G685">
        <v>0</v>
      </c>
      <c r="H685">
        <v>21.58</v>
      </c>
      <c r="I685">
        <v>4085</v>
      </c>
      <c r="J685">
        <v>5413</v>
      </c>
      <c r="K685">
        <v>5790</v>
      </c>
      <c r="L685">
        <v>-5.83</v>
      </c>
      <c r="M685">
        <v>-40.229999999999997</v>
      </c>
      <c r="N685">
        <v>-50</v>
      </c>
      <c r="O685">
        <v>5.16</v>
      </c>
      <c r="P685" t="b">
        <v>0</v>
      </c>
      <c r="Q685">
        <v>0</v>
      </c>
      <c r="R685">
        <v>187</v>
      </c>
      <c r="U685" t="s">
        <v>2447</v>
      </c>
      <c r="V685" t="s">
        <v>3311</v>
      </c>
      <c r="W685">
        <v>0</v>
      </c>
      <c r="X685">
        <v>-97.1</v>
      </c>
      <c r="Y685" t="s">
        <v>4109</v>
      </c>
      <c r="Z685">
        <v>-52.582963857738847</v>
      </c>
      <c r="AA685">
        <v>883</v>
      </c>
      <c r="AB685">
        <v>12831615</v>
      </c>
      <c r="AC685" t="s">
        <v>4966</v>
      </c>
      <c r="AD685">
        <v>55.01</v>
      </c>
      <c r="AE685" t="s">
        <v>5830</v>
      </c>
      <c r="AF685" t="s">
        <v>6648</v>
      </c>
      <c r="AG685">
        <v>2239</v>
      </c>
      <c r="AH685">
        <v>90</v>
      </c>
      <c r="AI685">
        <v>533000</v>
      </c>
      <c r="AJ685">
        <v>0.87</v>
      </c>
    </row>
    <row r="686" spans="1:36">
      <c r="A686" s="1" t="s">
        <v>720</v>
      </c>
      <c r="B686" t="s">
        <v>1584</v>
      </c>
      <c r="C686" t="str">
        <f>HYPERLINK("https://finance.naver.com/item/coinfo.nhn?code=003080", "A003080")</f>
        <v>A003080</v>
      </c>
      <c r="D686" t="str">
        <f>HYPERLINK("http://comp.fnguide.com/SVO2/ASP/SVD_Consensus.asp?pGB=1&amp;gicode=A003080&amp;cID=&amp;MenuYn=Y&amp;ReportGB=&amp;NewMenuID=108&amp;stkGb=701", "성보화학")</f>
        <v>성보화학</v>
      </c>
      <c r="E686">
        <v>3</v>
      </c>
      <c r="F686">
        <v>4415</v>
      </c>
      <c r="G686">
        <v>0</v>
      </c>
      <c r="I686">
        <v>2141</v>
      </c>
      <c r="J686">
        <v>5386</v>
      </c>
      <c r="K686">
        <v>6308</v>
      </c>
      <c r="L686">
        <v>51.5</v>
      </c>
      <c r="M686">
        <v>-22</v>
      </c>
      <c r="N686">
        <v>-42.89</v>
      </c>
      <c r="O686">
        <v>2.2599999999999998</v>
      </c>
      <c r="P686" t="b">
        <v>0</v>
      </c>
      <c r="Q686">
        <v>0</v>
      </c>
      <c r="R686">
        <v>-143</v>
      </c>
      <c r="U686" t="s">
        <v>2448</v>
      </c>
      <c r="V686" t="s">
        <v>3312</v>
      </c>
      <c r="W686">
        <v>0</v>
      </c>
      <c r="X686">
        <v>74.900000000000006</v>
      </c>
      <c r="Y686" t="s">
        <v>4110</v>
      </c>
      <c r="Z686">
        <v>34.775081060126027</v>
      </c>
      <c r="AA686">
        <v>884</v>
      </c>
      <c r="AB686">
        <v>6781</v>
      </c>
      <c r="AC686" t="s">
        <v>4967</v>
      </c>
      <c r="AD686">
        <v>66.31</v>
      </c>
      <c r="AE686" t="s">
        <v>5831</v>
      </c>
      <c r="AF686" t="s">
        <v>6649</v>
      </c>
      <c r="AG686">
        <v>419</v>
      </c>
      <c r="AH686">
        <v>-44</v>
      </c>
      <c r="AI686">
        <v>562776</v>
      </c>
      <c r="AJ686">
        <v>3.03</v>
      </c>
    </row>
    <row r="687" spans="1:36" s="4" customFormat="1">
      <c r="A687" s="3" t="s">
        <v>721</v>
      </c>
      <c r="B687" s="4" t="s">
        <v>1585</v>
      </c>
      <c r="C687" s="4" t="str">
        <f>HYPERLINK("https://finance.naver.com/item/coinfo.nhn?code=071050", "A071050")</f>
        <v>A071050</v>
      </c>
      <c r="D687" s="4" t="str">
        <f>HYPERLINK("http://comp.fnguide.com/SVO2/ASP/SVD_Consensus.asp?pGB=1&amp;gicode=A071050&amp;cID=&amp;MenuYn=Y&amp;ReportGB=&amp;NewMenuID=108&amp;stkGb=701", "한국금융지주")</f>
        <v>한국금융지주</v>
      </c>
      <c r="E687" s="4">
        <v>3</v>
      </c>
      <c r="F687" s="4">
        <v>80000</v>
      </c>
      <c r="G687" s="4">
        <v>0.43</v>
      </c>
      <c r="H687" s="4">
        <v>5.28</v>
      </c>
      <c r="I687" s="4">
        <v>188102</v>
      </c>
      <c r="J687" s="4">
        <v>132011</v>
      </c>
      <c r="K687" s="4">
        <v>116072</v>
      </c>
      <c r="L687" s="4">
        <v>-135.13</v>
      </c>
      <c r="M687" s="4">
        <v>-65.010000000000005</v>
      </c>
      <c r="N687" s="4">
        <v>-45.09</v>
      </c>
      <c r="O687" s="4">
        <v>15.74</v>
      </c>
      <c r="P687" s="4" t="b">
        <v>1</v>
      </c>
      <c r="Q687" s="4">
        <v>0</v>
      </c>
      <c r="R687" s="4">
        <v>13724</v>
      </c>
      <c r="S687" s="4">
        <v>11746</v>
      </c>
      <c r="T687" s="4">
        <v>-14.4</v>
      </c>
      <c r="U687" s="4" t="s">
        <v>2449</v>
      </c>
      <c r="V687" s="4" t="s">
        <v>3313</v>
      </c>
      <c r="W687" s="4">
        <v>12.348687123065069</v>
      </c>
      <c r="X687" s="4">
        <v>0</v>
      </c>
      <c r="Y687" s="4" t="s">
        <v>4111</v>
      </c>
      <c r="Z687" s="4">
        <v>2.3059755280035792</v>
      </c>
      <c r="AA687" s="4">
        <v>44581</v>
      </c>
      <c r="AB687" s="4">
        <v>386634</v>
      </c>
      <c r="AC687" s="4" t="s">
        <v>4968</v>
      </c>
      <c r="AD687" s="4">
        <v>20.7</v>
      </c>
      <c r="AE687" s="4" t="s">
        <v>5832</v>
      </c>
      <c r="AF687" s="4" t="s">
        <v>6650</v>
      </c>
      <c r="AG687" s="4">
        <v>14001</v>
      </c>
      <c r="AH687" s="4">
        <v>9418</v>
      </c>
      <c r="AI687" s="4">
        <v>2987479</v>
      </c>
      <c r="AJ687" s="4">
        <v>4.01</v>
      </c>
    </row>
    <row r="688" spans="1:36">
      <c r="A688" s="1" t="s">
        <v>722</v>
      </c>
      <c r="B688" t="s">
        <v>1586</v>
      </c>
      <c r="C688" t="str">
        <f>HYPERLINK("https://finance.naver.com/item/coinfo.nhn?code=005430", "A005430")</f>
        <v>A005430</v>
      </c>
      <c r="D688" t="str">
        <f>HYPERLINK("http://comp.fnguide.com/SVO2/ASP/SVD_Consensus.asp?pGB=1&amp;gicode=A005430&amp;cID=&amp;MenuYn=Y&amp;ReportGB=&amp;NewMenuID=108&amp;stkGb=701", "한국공항")</f>
        <v>한국공항</v>
      </c>
      <c r="E688">
        <v>3</v>
      </c>
      <c r="F688">
        <v>37450</v>
      </c>
      <c r="G688">
        <v>0</v>
      </c>
      <c r="H688">
        <v>8.8000000000000007</v>
      </c>
      <c r="I688">
        <v>76618</v>
      </c>
      <c r="J688">
        <v>94065</v>
      </c>
      <c r="K688">
        <v>99023</v>
      </c>
      <c r="L688">
        <v>-104.59</v>
      </c>
      <c r="M688">
        <v>-151.18</v>
      </c>
      <c r="N688">
        <v>-164.42</v>
      </c>
      <c r="O688">
        <v>5.76</v>
      </c>
      <c r="P688" t="b">
        <v>0</v>
      </c>
      <c r="Q688">
        <v>0</v>
      </c>
      <c r="R688">
        <v>5136</v>
      </c>
      <c r="U688" t="s">
        <v>2450</v>
      </c>
      <c r="V688" t="s">
        <v>3314</v>
      </c>
      <c r="W688">
        <v>0</v>
      </c>
      <c r="X688">
        <v>0</v>
      </c>
      <c r="Y688" t="s">
        <v>4112</v>
      </c>
      <c r="Z688">
        <v>16.487456050827749</v>
      </c>
      <c r="AA688">
        <v>1186</v>
      </c>
      <c r="AB688">
        <v>11024</v>
      </c>
      <c r="AC688" t="s">
        <v>4969</v>
      </c>
      <c r="AD688">
        <v>59.54</v>
      </c>
      <c r="AE688" t="s">
        <v>5833</v>
      </c>
      <c r="AF688" t="s">
        <v>6651</v>
      </c>
      <c r="AG688">
        <v>5290</v>
      </c>
      <c r="AH688">
        <v>220</v>
      </c>
      <c r="AI688">
        <v>108105</v>
      </c>
      <c r="AJ688">
        <v>2.21</v>
      </c>
    </row>
    <row r="689" spans="1:36">
      <c r="A689" s="1" t="s">
        <v>723</v>
      </c>
      <c r="B689" t="s">
        <v>1587</v>
      </c>
      <c r="C689" t="str">
        <f>HYPERLINK("https://finance.naver.com/item/coinfo.nhn?code=036460", "A036460")</f>
        <v>A036460</v>
      </c>
      <c r="D689" t="str">
        <f>HYPERLINK("http://comp.fnguide.com/SVO2/ASP/SVD_Consensus.asp?pGB=1&amp;gicode=A036460&amp;cID=&amp;MenuYn=Y&amp;ReportGB=&amp;NewMenuID=108&amp;stkGb=701", "한국가스공사")</f>
        <v>한국가스공사</v>
      </c>
      <c r="E689">
        <v>3</v>
      </c>
      <c r="F689">
        <v>30300</v>
      </c>
      <c r="G689">
        <v>-1.5</v>
      </c>
      <c r="H689">
        <v>90.14</v>
      </c>
      <c r="I689">
        <v>27197</v>
      </c>
      <c r="J689">
        <v>65887</v>
      </c>
      <c r="K689">
        <v>76882</v>
      </c>
      <c r="L689">
        <v>10.24</v>
      </c>
      <c r="M689">
        <v>-117.45</v>
      </c>
      <c r="N689">
        <v>-153.74</v>
      </c>
      <c r="O689">
        <v>2.36</v>
      </c>
      <c r="P689" t="b">
        <v>0</v>
      </c>
      <c r="Q689">
        <v>0</v>
      </c>
      <c r="R689">
        <v>420</v>
      </c>
      <c r="S689">
        <v>-839</v>
      </c>
      <c r="T689">
        <v>-299.8</v>
      </c>
      <c r="U689" t="s">
        <v>2451</v>
      </c>
      <c r="V689" t="s">
        <v>3315</v>
      </c>
      <c r="W689">
        <v>-59.951786470293357</v>
      </c>
      <c r="X689">
        <v>0</v>
      </c>
      <c r="Y689" t="s">
        <v>4113</v>
      </c>
      <c r="Z689">
        <v>-92.4</v>
      </c>
      <c r="AA689">
        <v>27971</v>
      </c>
      <c r="AB689">
        <v>267791</v>
      </c>
      <c r="AC689" t="s">
        <v>4970</v>
      </c>
      <c r="AD689">
        <v>46.63</v>
      </c>
      <c r="AE689" t="s">
        <v>5834</v>
      </c>
      <c r="AF689" t="s">
        <v>6652</v>
      </c>
      <c r="AG689">
        <v>249826</v>
      </c>
      <c r="AH689">
        <v>13345</v>
      </c>
      <c r="AI689">
        <v>6486050</v>
      </c>
      <c r="AJ689">
        <v>1</v>
      </c>
    </row>
    <row r="690" spans="1:36">
      <c r="A690" s="1" t="s">
        <v>724</v>
      </c>
      <c r="B690" t="s">
        <v>1588</v>
      </c>
      <c r="C690" t="str">
        <f>HYPERLINK("https://finance.naver.com/item/coinfo.nhn?code=136490", "A136490")</f>
        <v>A136490</v>
      </c>
      <c r="D690" t="str">
        <f>HYPERLINK("http://comp.fnguide.com/SVO2/ASP/SVD_Consensus.asp?pGB=1&amp;gicode=A136490&amp;cID=&amp;MenuYn=Y&amp;ReportGB=&amp;NewMenuID=108&amp;stkGb=701", "선진")</f>
        <v>선진</v>
      </c>
      <c r="E690">
        <v>3</v>
      </c>
      <c r="F690">
        <v>10900</v>
      </c>
      <c r="G690">
        <v>0</v>
      </c>
      <c r="H690">
        <v>10.45</v>
      </c>
      <c r="I690">
        <v>14772</v>
      </c>
      <c r="J690">
        <v>13971</v>
      </c>
      <c r="K690">
        <v>13743</v>
      </c>
      <c r="L690">
        <v>-35.520000000000003</v>
      </c>
      <c r="M690">
        <v>-28.17</v>
      </c>
      <c r="N690">
        <v>-26.08</v>
      </c>
      <c r="O690">
        <v>8.73</v>
      </c>
      <c r="P690" t="b">
        <v>1</v>
      </c>
      <c r="Q690">
        <v>0</v>
      </c>
      <c r="R690">
        <v>899</v>
      </c>
      <c r="U690" t="s">
        <v>2452</v>
      </c>
      <c r="V690" t="s">
        <v>3316</v>
      </c>
      <c r="W690">
        <v>0</v>
      </c>
      <c r="X690">
        <v>869.3</v>
      </c>
      <c r="Y690" t="s">
        <v>4114</v>
      </c>
      <c r="Z690">
        <v>50.763587130089419</v>
      </c>
      <c r="AA690">
        <v>2592</v>
      </c>
      <c r="AB690">
        <v>104990</v>
      </c>
      <c r="AC690" t="s">
        <v>4971</v>
      </c>
      <c r="AD690">
        <v>50.05</v>
      </c>
      <c r="AE690" t="s">
        <v>5835</v>
      </c>
      <c r="AF690" t="s">
        <v>6653</v>
      </c>
      <c r="AG690">
        <v>10140</v>
      </c>
      <c r="AH690">
        <v>401</v>
      </c>
      <c r="AI690">
        <v>396</v>
      </c>
      <c r="AJ690">
        <v>0.53</v>
      </c>
    </row>
    <row r="691" spans="1:36">
      <c r="A691" s="1" t="s">
        <v>725</v>
      </c>
      <c r="B691" t="s">
        <v>1589</v>
      </c>
      <c r="C691" t="str">
        <f>HYPERLINK("https://finance.naver.com/item/coinfo.nhn?code=011300", "A011300")</f>
        <v>A011300</v>
      </c>
      <c r="D691" t="str">
        <f>HYPERLINK("http://comp.fnguide.com/SVO2/ASP/SVD_Consensus.asp?pGB=1&amp;gicode=A011300&amp;cID=&amp;MenuYn=Y&amp;ReportGB=&amp;NewMenuID=108&amp;stkGb=701", "성안")</f>
        <v>성안</v>
      </c>
      <c r="E691">
        <v>3</v>
      </c>
      <c r="F691">
        <v>345</v>
      </c>
      <c r="G691">
        <v>0</v>
      </c>
      <c r="I691">
        <v>0</v>
      </c>
      <c r="J691">
        <v>705</v>
      </c>
      <c r="K691">
        <v>905</v>
      </c>
      <c r="L691">
        <v>100</v>
      </c>
      <c r="M691">
        <v>-104.3</v>
      </c>
      <c r="N691">
        <v>-162.36000000000001</v>
      </c>
      <c r="O691">
        <v>0</v>
      </c>
      <c r="P691" t="b">
        <v>0</v>
      </c>
      <c r="Q691">
        <v>0</v>
      </c>
      <c r="R691">
        <v>-203</v>
      </c>
      <c r="U691" t="s">
        <v>2453</v>
      </c>
      <c r="V691" t="s">
        <v>3317</v>
      </c>
      <c r="W691">
        <v>0</v>
      </c>
      <c r="X691">
        <v>0</v>
      </c>
      <c r="Y691" t="s">
        <v>3499</v>
      </c>
      <c r="Z691">
        <v>0</v>
      </c>
      <c r="AA691">
        <v>196</v>
      </c>
      <c r="AB691">
        <v>121807</v>
      </c>
      <c r="AC691" t="s">
        <v>4972</v>
      </c>
      <c r="AD691">
        <v>36.950000000000003</v>
      </c>
      <c r="AE691" t="s">
        <v>5836</v>
      </c>
      <c r="AF691" t="s">
        <v>6021</v>
      </c>
      <c r="AG691">
        <v>2169</v>
      </c>
      <c r="AH691">
        <v>-130</v>
      </c>
      <c r="AI691">
        <v>1969460</v>
      </c>
    </row>
    <row r="692" spans="1:36">
      <c r="A692" s="1" t="s">
        <v>726</v>
      </c>
      <c r="B692" t="s">
        <v>1590</v>
      </c>
      <c r="C692" t="str">
        <f>HYPERLINK("https://finance.naver.com/item/coinfo.nhn?code=000140", "A000140")</f>
        <v>A000140</v>
      </c>
      <c r="D692" t="str">
        <f>HYPERLINK("http://comp.fnguide.com/SVO2/ASP/SVD_Consensus.asp?pGB=1&amp;gicode=A000140&amp;cID=&amp;MenuYn=Y&amp;ReportGB=&amp;NewMenuID=108&amp;stkGb=701", "하이트진로홀딩스")</f>
        <v>하이트진로홀딩스</v>
      </c>
      <c r="E692">
        <v>3</v>
      </c>
      <c r="F692">
        <v>15150</v>
      </c>
      <c r="G692">
        <v>0</v>
      </c>
      <c r="I692">
        <v>0</v>
      </c>
      <c r="J692">
        <v>12267</v>
      </c>
      <c r="K692">
        <v>15753</v>
      </c>
      <c r="L692">
        <v>100</v>
      </c>
      <c r="M692">
        <v>19.03</v>
      </c>
      <c r="N692">
        <v>-3.98</v>
      </c>
      <c r="O692">
        <v>0</v>
      </c>
      <c r="P692" t="b">
        <v>0</v>
      </c>
      <c r="Q692">
        <v>0</v>
      </c>
      <c r="R692">
        <v>-903</v>
      </c>
      <c r="U692" t="s">
        <v>2454</v>
      </c>
      <c r="V692" t="s">
        <v>3318</v>
      </c>
      <c r="W692">
        <v>0</v>
      </c>
      <c r="X692">
        <v>0</v>
      </c>
      <c r="Y692" t="s">
        <v>4115</v>
      </c>
      <c r="Z692">
        <v>52.099999999999987</v>
      </c>
      <c r="AA692">
        <v>3516</v>
      </c>
      <c r="AB692">
        <v>22301</v>
      </c>
      <c r="AC692" t="s">
        <v>4973</v>
      </c>
      <c r="AD692">
        <v>65.91</v>
      </c>
      <c r="AE692" t="s">
        <v>5837</v>
      </c>
      <c r="AF692" t="s">
        <v>6021</v>
      </c>
      <c r="AG692">
        <v>20263</v>
      </c>
      <c r="AH692">
        <v>1009</v>
      </c>
      <c r="AI692">
        <v>1842040</v>
      </c>
      <c r="AJ692">
        <v>2.65</v>
      </c>
    </row>
    <row r="693" spans="1:36">
      <c r="A693" s="1" t="s">
        <v>727</v>
      </c>
      <c r="B693" t="s">
        <v>1591</v>
      </c>
      <c r="C693" t="str">
        <f>HYPERLINK("https://finance.naver.com/item/coinfo.nhn?code=071090", "A071090")</f>
        <v>A071090</v>
      </c>
      <c r="D693" t="str">
        <f>HYPERLINK("http://comp.fnguide.com/SVO2/ASP/SVD_Consensus.asp?pGB=1&amp;gicode=A071090&amp;cID=&amp;MenuYn=Y&amp;ReportGB=&amp;NewMenuID=108&amp;stkGb=701", "하이스틸")</f>
        <v>하이스틸</v>
      </c>
      <c r="E693">
        <v>3</v>
      </c>
      <c r="F693">
        <v>19100</v>
      </c>
      <c r="G693">
        <v>0</v>
      </c>
      <c r="H693">
        <v>1214.3699999999999</v>
      </c>
      <c r="I693">
        <v>8648</v>
      </c>
      <c r="J693">
        <v>41878</v>
      </c>
      <c r="K693">
        <v>51321</v>
      </c>
      <c r="L693">
        <v>54.72</v>
      </c>
      <c r="M693">
        <v>-119.26</v>
      </c>
      <c r="N693">
        <v>-168.7</v>
      </c>
      <c r="O693">
        <v>1.07</v>
      </c>
      <c r="P693" t="b">
        <v>0</v>
      </c>
      <c r="Q693">
        <v>0</v>
      </c>
      <c r="R693">
        <v>16</v>
      </c>
      <c r="U693" t="s">
        <v>2455</v>
      </c>
      <c r="V693" t="s">
        <v>3319</v>
      </c>
      <c r="W693">
        <v>0</v>
      </c>
      <c r="X693">
        <v>0</v>
      </c>
      <c r="Y693" t="s">
        <v>4116</v>
      </c>
      <c r="Z693">
        <v>114.7</v>
      </c>
      <c r="AA693">
        <v>382</v>
      </c>
      <c r="AB693">
        <v>4032</v>
      </c>
      <c r="AC693" t="s">
        <v>4974</v>
      </c>
      <c r="AD693">
        <v>53.05</v>
      </c>
      <c r="AE693" t="s">
        <v>5838</v>
      </c>
      <c r="AF693" t="s">
        <v>6654</v>
      </c>
      <c r="AG693">
        <v>2143</v>
      </c>
      <c r="AH693">
        <v>11</v>
      </c>
      <c r="AI693">
        <v>792</v>
      </c>
      <c r="AJ693">
        <v>0.52</v>
      </c>
    </row>
    <row r="694" spans="1:36">
      <c r="A694" s="1" t="s">
        <v>728</v>
      </c>
      <c r="B694" t="s">
        <v>1592</v>
      </c>
      <c r="C694" t="str">
        <f>HYPERLINK("https://finance.naver.com/item/coinfo.nhn?code=086790", "A086790")</f>
        <v>A086790</v>
      </c>
      <c r="D694" t="str">
        <f>HYPERLINK("http://comp.fnguide.com/SVO2/ASP/SVD_Consensus.asp?pGB=1&amp;gicode=A086790&amp;cID=&amp;MenuYn=Y&amp;ReportGB=&amp;NewMenuID=108&amp;stkGb=701", "하나금융지주")</f>
        <v>하나금융지주</v>
      </c>
      <c r="E694">
        <v>3</v>
      </c>
      <c r="F694">
        <v>35800</v>
      </c>
      <c r="G694">
        <v>0.72</v>
      </c>
      <c r="H694">
        <v>4.63</v>
      </c>
      <c r="I694">
        <v>107030</v>
      </c>
      <c r="J694">
        <v>100671</v>
      </c>
      <c r="K694">
        <v>98864</v>
      </c>
      <c r="L694">
        <v>-198.97</v>
      </c>
      <c r="M694">
        <v>-181.2</v>
      </c>
      <c r="N694">
        <v>-176.16</v>
      </c>
      <c r="O694">
        <v>8.81</v>
      </c>
      <c r="P694" t="b">
        <v>1</v>
      </c>
      <c r="Q694">
        <v>3</v>
      </c>
      <c r="R694">
        <v>7966</v>
      </c>
      <c r="S694">
        <v>8291</v>
      </c>
      <c r="T694">
        <v>4.0999999999999996</v>
      </c>
      <c r="U694" t="s">
        <v>2456</v>
      </c>
      <c r="V694" t="s">
        <v>3320</v>
      </c>
      <c r="W694">
        <v>6.4184889761303321</v>
      </c>
      <c r="X694">
        <v>1.9</v>
      </c>
      <c r="Y694" t="s">
        <v>4117</v>
      </c>
      <c r="Z694">
        <v>2.0399490487752692</v>
      </c>
      <c r="AA694">
        <v>107487</v>
      </c>
      <c r="AB694">
        <v>1231269</v>
      </c>
      <c r="AC694" t="s">
        <v>4975</v>
      </c>
      <c r="AD694">
        <v>9.94</v>
      </c>
      <c r="AE694" t="s">
        <v>5839</v>
      </c>
      <c r="AF694" t="s">
        <v>6655</v>
      </c>
      <c r="AG694">
        <v>111182</v>
      </c>
      <c r="AH694">
        <v>32587</v>
      </c>
      <c r="AI694">
        <v>8678586</v>
      </c>
      <c r="AJ694">
        <v>5.69</v>
      </c>
    </row>
    <row r="695" spans="1:36">
      <c r="A695" s="1" t="s">
        <v>729</v>
      </c>
      <c r="B695" t="s">
        <v>1593</v>
      </c>
      <c r="C695" t="str">
        <f>HYPERLINK("https://finance.naver.com/item/coinfo.nhn?code=000180", "A000180")</f>
        <v>A000180</v>
      </c>
      <c r="D695" t="str">
        <f>HYPERLINK("http://comp.fnguide.com/SVO2/ASP/SVD_Consensus.asp?pGB=1&amp;gicode=A000180&amp;cID=&amp;MenuYn=Y&amp;ReportGB=&amp;NewMenuID=108&amp;stkGb=701", "성창기업지주")</f>
        <v>성창기업지주</v>
      </c>
      <c r="E695">
        <v>3</v>
      </c>
      <c r="F695">
        <v>2335</v>
      </c>
      <c r="G695">
        <v>0</v>
      </c>
      <c r="I695">
        <v>141</v>
      </c>
      <c r="J695">
        <v>4929</v>
      </c>
      <c r="K695">
        <v>6290</v>
      </c>
      <c r="L695">
        <v>93.96</v>
      </c>
      <c r="M695">
        <v>-111.1</v>
      </c>
      <c r="N695">
        <v>-169.38</v>
      </c>
      <c r="O695">
        <v>0.14000000000000001</v>
      </c>
      <c r="P695" t="b">
        <v>0</v>
      </c>
      <c r="Q695">
        <v>0</v>
      </c>
      <c r="R695">
        <v>-156</v>
      </c>
      <c r="U695" t="s">
        <v>2457</v>
      </c>
      <c r="V695" t="s">
        <v>3321</v>
      </c>
      <c r="W695">
        <v>0</v>
      </c>
      <c r="X695">
        <v>0</v>
      </c>
      <c r="Y695" t="s">
        <v>4118</v>
      </c>
      <c r="Z695">
        <v>28.15162894009578</v>
      </c>
      <c r="AA695">
        <v>1629</v>
      </c>
      <c r="AB695">
        <v>975989</v>
      </c>
      <c r="AC695" t="s">
        <v>4976</v>
      </c>
      <c r="AD695">
        <v>30.36</v>
      </c>
      <c r="AE695" t="s">
        <v>5840</v>
      </c>
      <c r="AF695" t="s">
        <v>6656</v>
      </c>
      <c r="AG695">
        <v>1510</v>
      </c>
      <c r="AH695">
        <v>-30</v>
      </c>
      <c r="AI695">
        <v>4905781</v>
      </c>
    </row>
    <row r="696" spans="1:36">
      <c r="A696" s="1" t="s">
        <v>730</v>
      </c>
      <c r="B696" t="s">
        <v>1594</v>
      </c>
      <c r="C696" t="str">
        <f>HYPERLINK("https://finance.naver.com/item/coinfo.nhn?code=005810", "A005810")</f>
        <v>A005810</v>
      </c>
      <c r="D696" t="str">
        <f>HYPERLINK("http://comp.fnguide.com/SVO2/ASP/SVD_Consensus.asp?pGB=1&amp;gicode=A005810&amp;cID=&amp;MenuYn=Y&amp;ReportGB=&amp;NewMenuID=108&amp;stkGb=701", "풍산홀딩스")</f>
        <v>풍산홀딩스</v>
      </c>
      <c r="E696">
        <v>3</v>
      </c>
      <c r="F696">
        <v>29200</v>
      </c>
      <c r="G696">
        <v>0</v>
      </c>
      <c r="H696">
        <v>11.09</v>
      </c>
      <c r="I696">
        <v>70541</v>
      </c>
      <c r="J696">
        <v>94133</v>
      </c>
      <c r="K696">
        <v>100837</v>
      </c>
      <c r="L696">
        <v>-141.58000000000001</v>
      </c>
      <c r="M696">
        <v>-222.37</v>
      </c>
      <c r="N696">
        <v>-245.33</v>
      </c>
      <c r="O696">
        <v>5.0999999999999996</v>
      </c>
      <c r="P696" t="b">
        <v>0</v>
      </c>
      <c r="Q696">
        <v>0</v>
      </c>
      <c r="R696">
        <v>3063</v>
      </c>
      <c r="U696" t="s">
        <v>2458</v>
      </c>
      <c r="V696" t="s">
        <v>3322</v>
      </c>
      <c r="W696">
        <v>0</v>
      </c>
      <c r="X696">
        <v>-43.6</v>
      </c>
      <c r="Y696" t="s">
        <v>4119</v>
      </c>
      <c r="Z696">
        <v>-17.608061385731741</v>
      </c>
      <c r="AA696">
        <v>2288</v>
      </c>
      <c r="AB696">
        <v>33663</v>
      </c>
      <c r="AC696" t="s">
        <v>4977</v>
      </c>
      <c r="AD696">
        <v>40.049999999999997</v>
      </c>
      <c r="AE696" t="s">
        <v>5841</v>
      </c>
      <c r="AF696" t="s">
        <v>6657</v>
      </c>
      <c r="AG696">
        <v>2644</v>
      </c>
      <c r="AH696">
        <v>108</v>
      </c>
      <c r="AI696">
        <v>1343222</v>
      </c>
      <c r="AJ696">
        <v>4.12</v>
      </c>
    </row>
    <row r="697" spans="1:36">
      <c r="A697" s="1" t="s">
        <v>731</v>
      </c>
      <c r="B697" t="s">
        <v>1595</v>
      </c>
      <c r="C697" t="str">
        <f>HYPERLINK("https://finance.naver.com/item/coinfo.nhn?code=004360", "A004360")</f>
        <v>A004360</v>
      </c>
      <c r="D697" t="str">
        <f>HYPERLINK("http://comp.fnguide.com/SVO2/ASP/SVD_Consensus.asp?pGB=1&amp;gicode=A004360&amp;cID=&amp;MenuYn=Y&amp;ReportGB=&amp;NewMenuID=108&amp;stkGb=701", "세방")</f>
        <v>세방</v>
      </c>
      <c r="E697">
        <v>3</v>
      </c>
      <c r="F697">
        <v>11100</v>
      </c>
      <c r="G697">
        <v>0</v>
      </c>
      <c r="H697">
        <v>47.94</v>
      </c>
      <c r="I697">
        <v>15576</v>
      </c>
      <c r="J697">
        <v>32329</v>
      </c>
      <c r="K697">
        <v>37089</v>
      </c>
      <c r="L697">
        <v>-40.32</v>
      </c>
      <c r="M697">
        <v>-191.25</v>
      </c>
      <c r="N697">
        <v>-234.14</v>
      </c>
      <c r="O697">
        <v>2.85</v>
      </c>
      <c r="P697" t="b">
        <v>0</v>
      </c>
      <c r="Q697">
        <v>0</v>
      </c>
      <c r="R697">
        <v>240</v>
      </c>
      <c r="U697" t="s">
        <v>2459</v>
      </c>
      <c r="V697" t="s">
        <v>3323</v>
      </c>
      <c r="W697">
        <v>0</v>
      </c>
      <c r="X697">
        <v>-8.6999999999999993</v>
      </c>
      <c r="Y697" t="s">
        <v>4120</v>
      </c>
      <c r="Z697">
        <v>-34.858465491090762</v>
      </c>
      <c r="AA697">
        <v>2143</v>
      </c>
      <c r="AB697">
        <v>1765468</v>
      </c>
      <c r="AC697" t="s">
        <v>4978</v>
      </c>
      <c r="AD697">
        <v>44.58</v>
      </c>
      <c r="AE697" t="s">
        <v>5842</v>
      </c>
      <c r="AF697" t="s">
        <v>6658</v>
      </c>
      <c r="AG697">
        <v>7233</v>
      </c>
      <c r="AH697">
        <v>161</v>
      </c>
      <c r="AI697">
        <v>506031</v>
      </c>
      <c r="AJ697">
        <v>1.52</v>
      </c>
    </row>
    <row r="698" spans="1:36">
      <c r="A698" s="1" t="s">
        <v>732</v>
      </c>
      <c r="B698" t="s">
        <v>1596</v>
      </c>
      <c r="C698" t="str">
        <f>HYPERLINK("https://finance.naver.com/item/coinfo.nhn?code=002200", "A002200")</f>
        <v>A002200</v>
      </c>
      <c r="D698" t="str">
        <f>HYPERLINK("http://comp.fnguide.com/SVO2/ASP/SVD_Consensus.asp?pGB=1&amp;gicode=A002200&amp;cID=&amp;MenuYn=Y&amp;ReportGB=&amp;NewMenuID=108&amp;stkGb=701", "한국수출포장")</f>
        <v>한국수출포장</v>
      </c>
      <c r="E698">
        <v>3</v>
      </c>
      <c r="F698">
        <v>22800</v>
      </c>
      <c r="G698">
        <v>0</v>
      </c>
      <c r="H698">
        <v>4.3899999999999997</v>
      </c>
      <c r="I698">
        <v>49815</v>
      </c>
      <c r="J698">
        <v>57488</v>
      </c>
      <c r="K698">
        <v>59669</v>
      </c>
      <c r="L698">
        <v>-118.49</v>
      </c>
      <c r="M698">
        <v>-152.13999999999999</v>
      </c>
      <c r="N698">
        <v>-161.69999999999999</v>
      </c>
      <c r="O698">
        <v>6.32</v>
      </c>
      <c r="P698" t="b">
        <v>1</v>
      </c>
      <c r="Q698">
        <v>0</v>
      </c>
      <c r="R698">
        <v>4505</v>
      </c>
      <c r="U698" t="s">
        <v>2460</v>
      </c>
      <c r="V698" t="s">
        <v>3324</v>
      </c>
      <c r="W698">
        <v>0</v>
      </c>
      <c r="X698">
        <v>-42.1</v>
      </c>
      <c r="Y698" t="s">
        <v>4121</v>
      </c>
      <c r="Z698">
        <v>-22.326452379204412</v>
      </c>
      <c r="AA698">
        <v>912</v>
      </c>
      <c r="AB698">
        <v>18750</v>
      </c>
      <c r="AC698" t="s">
        <v>4979</v>
      </c>
      <c r="AD698">
        <v>45.56</v>
      </c>
      <c r="AE698" t="s">
        <v>5843</v>
      </c>
      <c r="AF698" t="s">
        <v>6659</v>
      </c>
      <c r="AG698">
        <v>2716</v>
      </c>
      <c r="AH698">
        <v>193</v>
      </c>
      <c r="AI698">
        <v>39500</v>
      </c>
      <c r="AJ698">
        <v>3.03</v>
      </c>
    </row>
    <row r="699" spans="1:36">
      <c r="A699" s="1" t="s">
        <v>733</v>
      </c>
      <c r="B699" t="s">
        <v>1597</v>
      </c>
      <c r="C699" t="str">
        <f>HYPERLINK("https://finance.naver.com/item/coinfo.nhn?code=123890", "A123890")</f>
        <v>A123890</v>
      </c>
      <c r="D699" t="str">
        <f>HYPERLINK("http://comp.fnguide.com/SVO2/ASP/SVD_Consensus.asp?pGB=1&amp;gicode=A123890&amp;cID=&amp;MenuYn=Y&amp;ReportGB=&amp;NewMenuID=108&amp;stkGb=701", "한국자산신탁")</f>
        <v>한국자산신탁</v>
      </c>
      <c r="E699">
        <v>3</v>
      </c>
      <c r="F699">
        <v>4240</v>
      </c>
      <c r="G699">
        <v>-6.65</v>
      </c>
      <c r="H699">
        <v>4.66</v>
      </c>
      <c r="I699">
        <v>12151</v>
      </c>
      <c r="J699">
        <v>8095</v>
      </c>
      <c r="K699">
        <v>6942</v>
      </c>
      <c r="L699">
        <v>-186.58</v>
      </c>
      <c r="M699">
        <v>-90.92</v>
      </c>
      <c r="N699">
        <v>-63.74</v>
      </c>
      <c r="O699">
        <v>17.829999999999998</v>
      </c>
      <c r="P699" t="b">
        <v>1</v>
      </c>
      <c r="Q699">
        <v>1</v>
      </c>
      <c r="R699">
        <v>723</v>
      </c>
      <c r="S699">
        <v>993</v>
      </c>
      <c r="T699">
        <v>37.299999999999997</v>
      </c>
      <c r="U699" t="s">
        <v>2461</v>
      </c>
      <c r="V699" t="s">
        <v>3325</v>
      </c>
      <c r="W699">
        <v>-0.70088001815672429</v>
      </c>
      <c r="Y699" t="s">
        <v>3605</v>
      </c>
      <c r="Z699">
        <v>-4.6603363274600351</v>
      </c>
      <c r="AA699">
        <v>5257</v>
      </c>
      <c r="AB699">
        <v>436744</v>
      </c>
      <c r="AC699" t="s">
        <v>4980</v>
      </c>
      <c r="AD699">
        <v>53.62</v>
      </c>
      <c r="AE699" t="s">
        <v>5844</v>
      </c>
      <c r="AF699" t="s">
        <v>6660</v>
      </c>
      <c r="AG699">
        <v>2233</v>
      </c>
      <c r="AH699">
        <v>1141</v>
      </c>
      <c r="AI699">
        <v>1610697</v>
      </c>
      <c r="AJ699">
        <v>5.4</v>
      </c>
    </row>
    <row r="700" spans="1:36">
      <c r="A700" s="1" t="s">
        <v>734</v>
      </c>
      <c r="B700" t="s">
        <v>1598</v>
      </c>
      <c r="C700" t="str">
        <f>HYPERLINK("https://finance.naver.com/item/coinfo.nhn?code=047050", "A047050")</f>
        <v>A047050</v>
      </c>
      <c r="D700" t="str">
        <f>HYPERLINK("http://comp.fnguide.com/SVO2/ASP/SVD_Consensus.asp?pGB=1&amp;gicode=A047050&amp;cID=&amp;MenuYn=Y&amp;ReportGB=&amp;NewMenuID=108&amp;stkGb=701", "포스코인터내셔널")</f>
        <v>포스코인터내셔널</v>
      </c>
      <c r="E700">
        <v>3</v>
      </c>
      <c r="F700">
        <v>15200</v>
      </c>
      <c r="G700">
        <v>0.73</v>
      </c>
      <c r="H700">
        <v>10.99</v>
      </c>
      <c r="I700">
        <v>20062</v>
      </c>
      <c r="J700">
        <v>22854</v>
      </c>
      <c r="K700">
        <v>23648</v>
      </c>
      <c r="L700">
        <v>-31.99</v>
      </c>
      <c r="M700">
        <v>-50.36</v>
      </c>
      <c r="N700">
        <v>-55.58</v>
      </c>
      <c r="O700">
        <v>6.45</v>
      </c>
      <c r="P700" t="b">
        <v>1</v>
      </c>
      <c r="Q700">
        <v>2</v>
      </c>
      <c r="R700">
        <v>1697</v>
      </c>
      <c r="S700">
        <v>2195</v>
      </c>
      <c r="T700">
        <v>29.3</v>
      </c>
      <c r="U700" t="s">
        <v>2462</v>
      </c>
      <c r="V700" t="s">
        <v>3326</v>
      </c>
      <c r="W700">
        <v>14.9589733174281</v>
      </c>
      <c r="X700">
        <v>6.9</v>
      </c>
      <c r="Y700" t="s">
        <v>4122</v>
      </c>
      <c r="Z700">
        <v>9.9013359499590123</v>
      </c>
      <c r="AA700">
        <v>18753</v>
      </c>
      <c r="AB700">
        <v>719592</v>
      </c>
      <c r="AC700" t="s">
        <v>4981</v>
      </c>
      <c r="AD700">
        <v>63.38</v>
      </c>
      <c r="AE700" t="s">
        <v>5845</v>
      </c>
      <c r="AF700" t="s">
        <v>6661</v>
      </c>
      <c r="AG700">
        <v>244226</v>
      </c>
      <c r="AH700">
        <v>6053</v>
      </c>
      <c r="AI700">
        <v>258</v>
      </c>
      <c r="AJ700">
        <v>3.75</v>
      </c>
    </row>
    <row r="701" spans="1:36">
      <c r="A701" s="1" t="s">
        <v>735</v>
      </c>
      <c r="B701" t="s">
        <v>1599</v>
      </c>
      <c r="C701" t="str">
        <f>HYPERLINK("https://finance.naver.com/item/coinfo.nhn?code=041650", "A041650")</f>
        <v>A041650</v>
      </c>
      <c r="D701" t="str">
        <f>HYPERLINK("http://comp.fnguide.com/SVO2/ASP/SVD_Consensus.asp?pGB=1&amp;gicode=A041650&amp;cID=&amp;MenuYn=Y&amp;ReportGB=&amp;NewMenuID=108&amp;stkGb=701", "상신브레이크")</f>
        <v>상신브레이크</v>
      </c>
      <c r="E701">
        <v>3</v>
      </c>
      <c r="F701">
        <v>3345</v>
      </c>
      <c r="G701">
        <v>0</v>
      </c>
      <c r="H701">
        <v>18.579999999999998</v>
      </c>
      <c r="I701">
        <v>5813</v>
      </c>
      <c r="J701">
        <v>7602</v>
      </c>
      <c r="K701">
        <v>8110</v>
      </c>
      <c r="L701">
        <v>-73.78</v>
      </c>
      <c r="M701">
        <v>-127.26</v>
      </c>
      <c r="N701">
        <v>-142.46</v>
      </c>
      <c r="O701">
        <v>5.25</v>
      </c>
      <c r="P701" t="b">
        <v>0</v>
      </c>
      <c r="Q701">
        <v>0</v>
      </c>
      <c r="R701">
        <v>189</v>
      </c>
      <c r="U701" t="s">
        <v>2463</v>
      </c>
      <c r="V701" t="s">
        <v>3327</v>
      </c>
      <c r="W701">
        <v>0</v>
      </c>
      <c r="X701">
        <v>0</v>
      </c>
      <c r="Y701" t="s">
        <v>4123</v>
      </c>
      <c r="Z701">
        <v>-37.273262320216929</v>
      </c>
      <c r="AA701">
        <v>718</v>
      </c>
      <c r="AB701">
        <v>104408</v>
      </c>
      <c r="AC701" t="s">
        <v>4982</v>
      </c>
      <c r="AD701">
        <v>47.01</v>
      </c>
      <c r="AE701" t="s">
        <v>5846</v>
      </c>
      <c r="AF701" t="s">
        <v>6662</v>
      </c>
      <c r="AG701">
        <v>3919</v>
      </c>
      <c r="AH701">
        <v>157</v>
      </c>
      <c r="AI701">
        <v>2111140</v>
      </c>
      <c r="AJ701">
        <v>2.85</v>
      </c>
    </row>
    <row r="702" spans="1:36">
      <c r="A702" s="1" t="s">
        <v>736</v>
      </c>
      <c r="B702" t="s">
        <v>1600</v>
      </c>
      <c r="C702" t="str">
        <f>HYPERLINK("https://finance.naver.com/item/coinfo.nhn?code=004690", "A004690")</f>
        <v>A004690</v>
      </c>
      <c r="D702" t="str">
        <f>HYPERLINK("http://comp.fnguide.com/SVO2/ASP/SVD_Consensus.asp?pGB=1&amp;gicode=A004690&amp;cID=&amp;MenuYn=Y&amp;ReportGB=&amp;NewMenuID=108&amp;stkGb=701", "삼천리")</f>
        <v>삼천리</v>
      </c>
      <c r="E702">
        <v>3</v>
      </c>
      <c r="F702">
        <v>82300</v>
      </c>
      <c r="G702">
        <v>0.43</v>
      </c>
      <c r="H702">
        <v>9.06</v>
      </c>
      <c r="I702">
        <v>119281</v>
      </c>
      <c r="J702">
        <v>273191</v>
      </c>
      <c r="K702">
        <v>316929</v>
      </c>
      <c r="L702">
        <v>-44.93</v>
      </c>
      <c r="M702">
        <v>-231.95</v>
      </c>
      <c r="N702">
        <v>-285.08999999999997</v>
      </c>
      <c r="O702">
        <v>2.52</v>
      </c>
      <c r="P702" t="b">
        <v>0</v>
      </c>
      <c r="Q702">
        <v>0</v>
      </c>
      <c r="R702">
        <v>9327</v>
      </c>
      <c r="S702">
        <v>5779</v>
      </c>
      <c r="T702">
        <v>-38</v>
      </c>
      <c r="U702" t="s">
        <v>2464</v>
      </c>
      <c r="V702" t="s">
        <v>3328</v>
      </c>
      <c r="W702">
        <v>21.075098520899619</v>
      </c>
      <c r="X702">
        <v>-50.2</v>
      </c>
      <c r="Y702" t="s">
        <v>4124</v>
      </c>
      <c r="Z702">
        <v>-12.663796429091009</v>
      </c>
      <c r="AA702">
        <v>3337</v>
      </c>
      <c r="AB702">
        <v>3928</v>
      </c>
      <c r="AC702" t="s">
        <v>4983</v>
      </c>
      <c r="AD702">
        <v>39.18</v>
      </c>
      <c r="AE702" t="s">
        <v>5847</v>
      </c>
      <c r="AF702" t="s">
        <v>6663</v>
      </c>
      <c r="AG702">
        <v>34616</v>
      </c>
      <c r="AH702">
        <v>856</v>
      </c>
      <c r="AI702">
        <v>631000</v>
      </c>
      <c r="AJ702">
        <v>3.55</v>
      </c>
    </row>
    <row r="703" spans="1:36">
      <c r="A703" s="1" t="s">
        <v>737</v>
      </c>
      <c r="B703" t="s">
        <v>1601</v>
      </c>
      <c r="C703" t="str">
        <f>HYPERLINK("https://finance.naver.com/item/coinfo.nhn?code=010960", "A010960")</f>
        <v>A010960</v>
      </c>
      <c r="D703" t="str">
        <f>HYPERLINK("http://comp.fnguide.com/SVO2/ASP/SVD_Consensus.asp?pGB=1&amp;gicode=A010960&amp;cID=&amp;MenuYn=Y&amp;ReportGB=&amp;NewMenuID=108&amp;stkGb=701", "삼호개발")</f>
        <v>삼호개발</v>
      </c>
      <c r="E703">
        <v>3</v>
      </c>
      <c r="F703">
        <v>4435</v>
      </c>
      <c r="G703">
        <v>0</v>
      </c>
      <c r="H703">
        <v>5.16</v>
      </c>
      <c r="I703">
        <v>12681</v>
      </c>
      <c r="J703">
        <v>10037</v>
      </c>
      <c r="K703">
        <v>9286</v>
      </c>
      <c r="L703">
        <v>-185.93</v>
      </c>
      <c r="M703">
        <v>-126.32</v>
      </c>
      <c r="N703">
        <v>-109.38</v>
      </c>
      <c r="O703">
        <v>12.15</v>
      </c>
      <c r="P703" t="b">
        <v>1</v>
      </c>
      <c r="Q703">
        <v>0</v>
      </c>
      <c r="R703">
        <v>863</v>
      </c>
      <c r="U703" t="s">
        <v>2465</v>
      </c>
      <c r="V703" t="s">
        <v>3329</v>
      </c>
      <c r="W703">
        <v>0</v>
      </c>
      <c r="X703">
        <v>-29.7</v>
      </c>
      <c r="Y703" t="s">
        <v>4125</v>
      </c>
      <c r="Z703">
        <v>12.66504194842557</v>
      </c>
      <c r="AA703">
        <v>1109</v>
      </c>
      <c r="AB703">
        <v>93125</v>
      </c>
      <c r="AC703" t="s">
        <v>4984</v>
      </c>
      <c r="AD703">
        <v>32.44</v>
      </c>
      <c r="AE703" t="s">
        <v>5848</v>
      </c>
      <c r="AF703" t="s">
        <v>6664</v>
      </c>
      <c r="AG703">
        <v>3646</v>
      </c>
      <c r="AH703">
        <v>236</v>
      </c>
      <c r="AI703">
        <v>2000000</v>
      </c>
      <c r="AJ703">
        <v>4.2699999999999996</v>
      </c>
    </row>
    <row r="704" spans="1:36">
      <c r="A704" s="1" t="s">
        <v>738</v>
      </c>
      <c r="B704" t="s">
        <v>1602</v>
      </c>
      <c r="C704" t="str">
        <f>HYPERLINK("https://finance.naver.com/item/coinfo.nhn?code=004450", "A004450")</f>
        <v>A004450</v>
      </c>
      <c r="D704" t="str">
        <f>HYPERLINK("http://comp.fnguide.com/SVO2/ASP/SVD_Consensus.asp?pGB=1&amp;gicode=A004450&amp;cID=&amp;MenuYn=Y&amp;ReportGB=&amp;NewMenuID=108&amp;stkGb=701", "삼화왕관")</f>
        <v>삼화왕관</v>
      </c>
      <c r="E704">
        <v>3</v>
      </c>
      <c r="F704">
        <v>39100</v>
      </c>
      <c r="G704">
        <v>0</v>
      </c>
      <c r="H704">
        <v>11.75</v>
      </c>
      <c r="I704">
        <v>64195</v>
      </c>
      <c r="J704">
        <v>73452</v>
      </c>
      <c r="K704">
        <v>76083</v>
      </c>
      <c r="L704">
        <v>-64.180000000000007</v>
      </c>
      <c r="M704">
        <v>-87.86</v>
      </c>
      <c r="N704">
        <v>-94.58</v>
      </c>
      <c r="O704">
        <v>6.41</v>
      </c>
      <c r="P704" t="b">
        <v>1</v>
      </c>
      <c r="Q704">
        <v>0</v>
      </c>
      <c r="R704">
        <v>3876</v>
      </c>
      <c r="U704" t="s">
        <v>2466</v>
      </c>
      <c r="V704" t="s">
        <v>3330</v>
      </c>
      <c r="W704">
        <v>0</v>
      </c>
      <c r="X704">
        <v>0</v>
      </c>
      <c r="Y704" t="s">
        <v>4126</v>
      </c>
      <c r="Z704">
        <v>-3.7026004253226552</v>
      </c>
      <c r="AA704">
        <v>842</v>
      </c>
      <c r="AB704">
        <v>1510</v>
      </c>
      <c r="AC704" t="s">
        <v>4985</v>
      </c>
      <c r="AD704">
        <v>51.34</v>
      </c>
      <c r="AE704" t="s">
        <v>5849</v>
      </c>
      <c r="AF704" t="s">
        <v>6665</v>
      </c>
      <c r="AG704">
        <v>1160</v>
      </c>
      <c r="AH704">
        <v>91</v>
      </c>
      <c r="AI704">
        <v>331062</v>
      </c>
      <c r="AJ704">
        <v>2.96</v>
      </c>
    </row>
    <row r="705" spans="1:36">
      <c r="A705" s="1" t="s">
        <v>739</v>
      </c>
      <c r="B705" t="s">
        <v>1603</v>
      </c>
      <c r="C705" t="str">
        <f>HYPERLINK("https://finance.naver.com/item/coinfo.nhn?code=000970", "A000970")</f>
        <v>A000970</v>
      </c>
      <c r="D705" t="str">
        <f>HYPERLINK("http://comp.fnguide.com/SVO2/ASP/SVD_Consensus.asp?pGB=1&amp;gicode=A000970&amp;cID=&amp;MenuYn=Y&amp;ReportGB=&amp;NewMenuID=108&amp;stkGb=701", "한국주철관")</f>
        <v>한국주철관</v>
      </c>
      <c r="E705">
        <v>3</v>
      </c>
      <c r="F705">
        <v>8200</v>
      </c>
      <c r="G705">
        <v>0</v>
      </c>
      <c r="H705">
        <v>12.67</v>
      </c>
      <c r="I705">
        <v>6306</v>
      </c>
      <c r="J705">
        <v>10050</v>
      </c>
      <c r="K705">
        <v>11114</v>
      </c>
      <c r="L705">
        <v>23.09</v>
      </c>
      <c r="M705">
        <v>-22.56</v>
      </c>
      <c r="N705">
        <v>-35.54</v>
      </c>
      <c r="O705">
        <v>4</v>
      </c>
      <c r="P705" t="b">
        <v>1</v>
      </c>
      <c r="Q705">
        <v>0</v>
      </c>
      <c r="R705">
        <v>552</v>
      </c>
      <c r="U705" t="s">
        <v>2467</v>
      </c>
      <c r="V705" t="s">
        <v>3331</v>
      </c>
      <c r="W705">
        <v>0</v>
      </c>
      <c r="X705">
        <v>-36.299999999999997</v>
      </c>
      <c r="Y705" t="s">
        <v>4127</v>
      </c>
      <c r="Z705">
        <v>-8.3623945258914141</v>
      </c>
      <c r="AA705">
        <v>1870</v>
      </c>
      <c r="AB705">
        <v>26427</v>
      </c>
      <c r="AC705" t="s">
        <v>4986</v>
      </c>
      <c r="AD705">
        <v>47.93</v>
      </c>
      <c r="AE705" t="s">
        <v>5850</v>
      </c>
      <c r="AF705" t="s">
        <v>6666</v>
      </c>
      <c r="AG705">
        <v>4372</v>
      </c>
      <c r="AH705">
        <v>156</v>
      </c>
      <c r="AI705">
        <v>1289530</v>
      </c>
      <c r="AJ705">
        <v>2.86</v>
      </c>
    </row>
    <row r="706" spans="1:36">
      <c r="A706" s="1" t="s">
        <v>740</v>
      </c>
      <c r="B706" t="s">
        <v>1604</v>
      </c>
      <c r="C706" t="str">
        <f>HYPERLINK("https://finance.naver.com/item/coinfo.nhn?code=025890", "A025890")</f>
        <v>A025890</v>
      </c>
      <c r="D706" t="str">
        <f>HYPERLINK("http://comp.fnguide.com/SVO2/ASP/SVD_Consensus.asp?pGB=1&amp;gicode=A025890&amp;cID=&amp;MenuYn=Y&amp;ReportGB=&amp;NewMenuID=108&amp;stkGb=701", "한국주강")</f>
        <v>한국주강</v>
      </c>
      <c r="E706">
        <v>3</v>
      </c>
      <c r="F706">
        <v>1550</v>
      </c>
      <c r="G706">
        <v>0</v>
      </c>
      <c r="I706">
        <v>0</v>
      </c>
      <c r="J706">
        <v>1738</v>
      </c>
      <c r="K706">
        <v>2232</v>
      </c>
      <c r="L706">
        <v>100</v>
      </c>
      <c r="M706">
        <v>-12.16</v>
      </c>
      <c r="N706">
        <v>-44.03</v>
      </c>
      <c r="O706">
        <v>0</v>
      </c>
      <c r="P706" t="b">
        <v>0</v>
      </c>
      <c r="Q706">
        <v>0</v>
      </c>
      <c r="R706">
        <v>-1199</v>
      </c>
      <c r="U706" t="s">
        <v>2468</v>
      </c>
      <c r="V706" t="s">
        <v>3332</v>
      </c>
      <c r="W706">
        <v>0</v>
      </c>
      <c r="X706">
        <v>0</v>
      </c>
      <c r="Y706" t="s">
        <v>3499</v>
      </c>
      <c r="Z706">
        <v>0</v>
      </c>
      <c r="AA706">
        <v>175</v>
      </c>
      <c r="AB706">
        <v>28579</v>
      </c>
      <c r="AC706" t="s">
        <v>4987</v>
      </c>
      <c r="AD706">
        <v>56.98</v>
      </c>
      <c r="AE706" t="s">
        <v>5851</v>
      </c>
      <c r="AF706" t="s">
        <v>6021</v>
      </c>
      <c r="AG706">
        <v>363</v>
      </c>
      <c r="AH706">
        <v>-49</v>
      </c>
      <c r="AI706">
        <v>164643</v>
      </c>
    </row>
    <row r="707" spans="1:36">
      <c r="A707" s="1" t="s">
        <v>741</v>
      </c>
      <c r="B707" t="s">
        <v>1605</v>
      </c>
      <c r="C707" t="str">
        <f>HYPERLINK("https://finance.naver.com/item/coinfo.nhn?code=023350", "A023350")</f>
        <v>A023350</v>
      </c>
      <c r="D707" t="str">
        <f>HYPERLINK("http://comp.fnguide.com/SVO2/ASP/SVD_Consensus.asp?pGB=1&amp;gicode=A023350&amp;cID=&amp;MenuYn=Y&amp;ReportGB=&amp;NewMenuID=108&amp;stkGb=701", "한국종합기술")</f>
        <v>한국종합기술</v>
      </c>
      <c r="E707">
        <v>3</v>
      </c>
      <c r="F707">
        <v>5060</v>
      </c>
      <c r="G707">
        <v>0</v>
      </c>
      <c r="I707">
        <v>0</v>
      </c>
      <c r="J707">
        <v>5523</v>
      </c>
      <c r="K707">
        <v>7092</v>
      </c>
      <c r="L707">
        <v>100</v>
      </c>
      <c r="M707">
        <v>-9.15</v>
      </c>
      <c r="N707">
        <v>-40.17</v>
      </c>
      <c r="O707">
        <v>0</v>
      </c>
      <c r="P707" t="b">
        <v>0</v>
      </c>
      <c r="Q707">
        <v>0</v>
      </c>
      <c r="R707">
        <v>-325</v>
      </c>
      <c r="U707" t="s">
        <v>2469</v>
      </c>
      <c r="V707" t="s">
        <v>3333</v>
      </c>
      <c r="W707">
        <v>0</v>
      </c>
      <c r="X707">
        <v>-53.2</v>
      </c>
      <c r="Y707" t="s">
        <v>4128</v>
      </c>
      <c r="Z707">
        <v>10.181305129318559</v>
      </c>
      <c r="AA707">
        <v>554</v>
      </c>
      <c r="AB707">
        <v>259359</v>
      </c>
      <c r="AC707" t="s">
        <v>4988</v>
      </c>
      <c r="AD707">
        <v>53.65</v>
      </c>
      <c r="AE707" t="s">
        <v>5852</v>
      </c>
      <c r="AF707" t="s">
        <v>6021</v>
      </c>
      <c r="AG707">
        <v>2189</v>
      </c>
      <c r="AH707">
        <v>-21</v>
      </c>
      <c r="AI707">
        <v>546085</v>
      </c>
      <c r="AJ707">
        <v>2.5499999999999998</v>
      </c>
    </row>
    <row r="708" spans="1:36">
      <c r="A708" s="1" t="s">
        <v>742</v>
      </c>
      <c r="B708" t="s">
        <v>1606</v>
      </c>
      <c r="C708" t="str">
        <f>HYPERLINK("https://finance.naver.com/item/coinfo.nhn?code=001290", "A001290")</f>
        <v>A001290</v>
      </c>
      <c r="D708" t="str">
        <f>HYPERLINK("http://comp.fnguide.com/SVO2/ASP/SVD_Consensus.asp?pGB=1&amp;gicode=A001290&amp;cID=&amp;MenuYn=Y&amp;ReportGB=&amp;NewMenuID=108&amp;stkGb=701", "상상인증권")</f>
        <v>상상인증권</v>
      </c>
      <c r="E708">
        <v>3</v>
      </c>
      <c r="F708">
        <v>1080</v>
      </c>
      <c r="G708">
        <v>0</v>
      </c>
      <c r="I708">
        <v>0</v>
      </c>
      <c r="J708">
        <v>976</v>
      </c>
      <c r="K708">
        <v>1253</v>
      </c>
      <c r="L708">
        <v>100</v>
      </c>
      <c r="M708">
        <v>9.65</v>
      </c>
      <c r="N708">
        <v>-16.02</v>
      </c>
      <c r="O708">
        <v>0</v>
      </c>
      <c r="P708" t="b">
        <v>0</v>
      </c>
      <c r="Q708">
        <v>0</v>
      </c>
      <c r="R708">
        <v>-93</v>
      </c>
      <c r="U708" t="s">
        <v>2470</v>
      </c>
      <c r="V708" t="s">
        <v>3334</v>
      </c>
      <c r="W708">
        <v>0</v>
      </c>
      <c r="X708">
        <v>2.6</v>
      </c>
      <c r="Y708" t="s">
        <v>4129</v>
      </c>
      <c r="Z708">
        <v>-3.7505734441301231</v>
      </c>
      <c r="AA708">
        <v>1038</v>
      </c>
      <c r="AB708">
        <v>120216</v>
      </c>
      <c r="AC708" t="s">
        <v>4989</v>
      </c>
      <c r="AD708">
        <v>69.34</v>
      </c>
      <c r="AE708" t="s">
        <v>5853</v>
      </c>
      <c r="AF708" t="s">
        <v>6021</v>
      </c>
      <c r="AG708">
        <v>166</v>
      </c>
      <c r="AH708">
        <v>-54</v>
      </c>
      <c r="AI708">
        <v>2073279</v>
      </c>
    </row>
    <row r="709" spans="1:36">
      <c r="A709" s="1" t="s">
        <v>743</v>
      </c>
      <c r="B709" t="s">
        <v>1607</v>
      </c>
      <c r="C709" t="str">
        <f>HYPERLINK("https://finance.naver.com/item/coinfo.nhn?code=075180", "A075180")</f>
        <v>A075180</v>
      </c>
      <c r="D709" t="str">
        <f>HYPERLINK("http://comp.fnguide.com/SVO2/ASP/SVD_Consensus.asp?pGB=1&amp;gicode=A075180&amp;cID=&amp;MenuYn=Y&amp;ReportGB=&amp;NewMenuID=108&amp;stkGb=701", "새론오토모티브")</f>
        <v>새론오토모티브</v>
      </c>
      <c r="E709">
        <v>3</v>
      </c>
      <c r="F709">
        <v>6170</v>
      </c>
      <c r="G709">
        <v>0</v>
      </c>
      <c r="I709">
        <v>2985</v>
      </c>
      <c r="J709">
        <v>7864</v>
      </c>
      <c r="K709">
        <v>9250</v>
      </c>
      <c r="L709">
        <v>51.62</v>
      </c>
      <c r="M709">
        <v>-27.45</v>
      </c>
      <c r="N709">
        <v>-49.92</v>
      </c>
      <c r="O709">
        <v>2.14</v>
      </c>
      <c r="P709" t="b">
        <v>0</v>
      </c>
      <c r="Q709">
        <v>0</v>
      </c>
      <c r="R709">
        <v>-433</v>
      </c>
      <c r="U709" t="s">
        <v>2471</v>
      </c>
      <c r="V709" t="s">
        <v>3335</v>
      </c>
      <c r="W709">
        <v>0</v>
      </c>
      <c r="X709">
        <v>0</v>
      </c>
      <c r="Y709" t="s">
        <v>4130</v>
      </c>
      <c r="Z709">
        <v>-33.20284413366619</v>
      </c>
      <c r="AA709">
        <v>1185</v>
      </c>
      <c r="AB709">
        <v>48504</v>
      </c>
      <c r="AC709" t="s">
        <v>4990</v>
      </c>
      <c r="AD709">
        <v>65.010000000000005</v>
      </c>
      <c r="AE709" t="s">
        <v>5854</v>
      </c>
      <c r="AF709" t="s">
        <v>6667</v>
      </c>
      <c r="AG709">
        <v>1527</v>
      </c>
      <c r="AH709">
        <v>-38</v>
      </c>
      <c r="AJ709">
        <v>2.77</v>
      </c>
    </row>
    <row r="710" spans="1:36">
      <c r="A710" s="1" t="s">
        <v>744</v>
      </c>
      <c r="B710" t="s">
        <v>1608</v>
      </c>
      <c r="C710" t="str">
        <f>HYPERLINK("https://finance.naver.com/item/coinfo.nhn?code=007610", "A007610")</f>
        <v>A007610</v>
      </c>
      <c r="D710" t="str">
        <f>HYPERLINK("http://comp.fnguide.com/SVO2/ASP/SVD_Consensus.asp?pGB=1&amp;gicode=A007610&amp;cID=&amp;MenuYn=Y&amp;ReportGB=&amp;NewMenuID=108&amp;stkGb=701", "선도전기")</f>
        <v>선도전기</v>
      </c>
      <c r="E710">
        <v>3</v>
      </c>
      <c r="F710">
        <v>2980</v>
      </c>
      <c r="G710">
        <v>0</v>
      </c>
      <c r="I710">
        <v>197</v>
      </c>
      <c r="J710">
        <v>2984</v>
      </c>
      <c r="K710">
        <v>3776</v>
      </c>
      <c r="L710">
        <v>93.4</v>
      </c>
      <c r="M710">
        <v>-0.14000000000000001</v>
      </c>
      <c r="N710">
        <v>-26.72</v>
      </c>
      <c r="O710">
        <v>0.32</v>
      </c>
      <c r="P710" t="b">
        <v>0</v>
      </c>
      <c r="Q710">
        <v>0</v>
      </c>
      <c r="R710">
        <v>-119</v>
      </c>
      <c r="U710" t="s">
        <v>2472</v>
      </c>
      <c r="V710" t="s">
        <v>3336</v>
      </c>
      <c r="W710">
        <v>0</v>
      </c>
      <c r="X710">
        <v>0</v>
      </c>
      <c r="Y710" t="s">
        <v>4131</v>
      </c>
      <c r="Z710">
        <v>-37.293062584750643</v>
      </c>
      <c r="AA710">
        <v>536</v>
      </c>
      <c r="AB710">
        <v>72126</v>
      </c>
      <c r="AC710" t="s">
        <v>4991</v>
      </c>
      <c r="AD710">
        <v>30.49</v>
      </c>
      <c r="AE710" t="s">
        <v>5855</v>
      </c>
      <c r="AF710" t="s">
        <v>6668</v>
      </c>
      <c r="AG710">
        <v>893</v>
      </c>
      <c r="AH710">
        <v>-17</v>
      </c>
      <c r="AI710">
        <v>130981</v>
      </c>
      <c r="AJ710">
        <v>0.82</v>
      </c>
    </row>
    <row r="711" spans="1:36">
      <c r="A711" s="1" t="s">
        <v>745</v>
      </c>
      <c r="B711" t="s">
        <v>1609</v>
      </c>
      <c r="C711" t="str">
        <f>HYPERLINK("https://finance.naver.com/item/coinfo.nhn?code=009540", "A009540")</f>
        <v>A009540</v>
      </c>
      <c r="D711" t="str">
        <f>HYPERLINK("http://comp.fnguide.com/SVO2/ASP/SVD_Consensus.asp?pGB=1&amp;gicode=A009540&amp;cID=&amp;MenuYn=Y&amp;ReportGB=&amp;NewMenuID=108&amp;stkGb=701", "한국조선해양")</f>
        <v>한국조선해양</v>
      </c>
      <c r="E711">
        <v>3</v>
      </c>
      <c r="F711">
        <v>108000</v>
      </c>
      <c r="G711">
        <v>-0.8</v>
      </c>
      <c r="H711">
        <v>54.56</v>
      </c>
      <c r="I711">
        <v>76807</v>
      </c>
      <c r="J711">
        <v>129011</v>
      </c>
      <c r="K711">
        <v>143846</v>
      </c>
      <c r="L711">
        <v>28.88</v>
      </c>
      <c r="M711">
        <v>-19.45</v>
      </c>
      <c r="N711">
        <v>-33.19</v>
      </c>
      <c r="O711">
        <v>3.73</v>
      </c>
      <c r="P711" t="b">
        <v>0</v>
      </c>
      <c r="Q711">
        <v>0</v>
      </c>
      <c r="R711">
        <v>2318</v>
      </c>
      <c r="S711">
        <v>1231</v>
      </c>
      <c r="T711">
        <v>-46.9</v>
      </c>
      <c r="U711" t="s">
        <v>2473</v>
      </c>
      <c r="V711" t="s">
        <v>3337</v>
      </c>
      <c r="W711">
        <v>-67.991356501566401</v>
      </c>
      <c r="X711">
        <v>-75.400000000000006</v>
      </c>
      <c r="Y711" t="s">
        <v>4132</v>
      </c>
      <c r="Z711">
        <v>16.930235610811948</v>
      </c>
      <c r="AA711">
        <v>76435</v>
      </c>
      <c r="AB711">
        <v>256354</v>
      </c>
      <c r="AC711" t="s">
        <v>4992</v>
      </c>
      <c r="AD711">
        <v>33.96</v>
      </c>
      <c r="AE711" t="s">
        <v>5856</v>
      </c>
      <c r="AF711" t="s">
        <v>6669</v>
      </c>
      <c r="AG711">
        <v>151826</v>
      </c>
      <c r="AH711">
        <v>2902</v>
      </c>
      <c r="AI711">
        <v>58486</v>
      </c>
    </row>
    <row r="712" spans="1:36">
      <c r="A712" s="1" t="s">
        <v>746</v>
      </c>
      <c r="B712" t="s">
        <v>1610</v>
      </c>
      <c r="C712" t="str">
        <f>HYPERLINK("https://finance.naver.com/item/coinfo.nhn?code=007540", "A007540")</f>
        <v>A007540</v>
      </c>
      <c r="D712" t="str">
        <f>HYPERLINK("http://comp.fnguide.com/SVO2/ASP/SVD_Consensus.asp?pGB=1&amp;gicode=A007540&amp;cID=&amp;MenuYn=Y&amp;ReportGB=&amp;NewMenuID=108&amp;stkGb=701", "샘표")</f>
        <v>샘표</v>
      </c>
      <c r="E712">
        <v>3</v>
      </c>
      <c r="F712">
        <v>47850</v>
      </c>
      <c r="G712">
        <v>0</v>
      </c>
      <c r="H712">
        <v>9.7100000000000009</v>
      </c>
      <c r="I712">
        <v>72245</v>
      </c>
      <c r="J712">
        <v>72595</v>
      </c>
      <c r="K712">
        <v>72694</v>
      </c>
      <c r="L712">
        <v>-50.98</v>
      </c>
      <c r="M712">
        <v>-51.71</v>
      </c>
      <c r="N712">
        <v>-51.92</v>
      </c>
      <c r="O712">
        <v>7.88</v>
      </c>
      <c r="P712" t="b">
        <v>0</v>
      </c>
      <c r="Q712">
        <v>0</v>
      </c>
      <c r="R712">
        <v>4195</v>
      </c>
      <c r="U712" t="s">
        <v>2474</v>
      </c>
      <c r="V712" t="s">
        <v>3338</v>
      </c>
      <c r="W712">
        <v>0</v>
      </c>
      <c r="X712">
        <v>57.2</v>
      </c>
      <c r="Y712" t="s">
        <v>4133</v>
      </c>
      <c r="Z712">
        <v>15.948183313199211</v>
      </c>
      <c r="AA712">
        <v>1376</v>
      </c>
      <c r="AB712">
        <v>36026</v>
      </c>
      <c r="AC712" t="s">
        <v>4993</v>
      </c>
      <c r="AD712">
        <v>48.44</v>
      </c>
      <c r="AE712" t="s">
        <v>5857</v>
      </c>
      <c r="AF712" t="s">
        <v>6670</v>
      </c>
      <c r="AG712">
        <v>2810</v>
      </c>
      <c r="AH712">
        <v>295</v>
      </c>
      <c r="AI712">
        <v>658187</v>
      </c>
      <c r="AJ712">
        <v>0.49</v>
      </c>
    </row>
    <row r="713" spans="1:36">
      <c r="A713" s="1" t="s">
        <v>747</v>
      </c>
      <c r="B713" t="s">
        <v>1611</v>
      </c>
      <c r="C713" t="str">
        <f>HYPERLINK("https://finance.naver.com/item/coinfo.nhn?code=006200", "A006200")</f>
        <v>A006200</v>
      </c>
      <c r="D713" t="str">
        <f>HYPERLINK("http://comp.fnguide.com/SVO2/ASP/SVD_Consensus.asp?pGB=1&amp;gicode=A006200&amp;cID=&amp;MenuYn=Y&amp;ReportGB=&amp;NewMenuID=108&amp;stkGb=701", "한국전자홀딩스")</f>
        <v>한국전자홀딩스</v>
      </c>
      <c r="E713">
        <v>3</v>
      </c>
      <c r="F713">
        <v>908</v>
      </c>
      <c r="G713">
        <v>0</v>
      </c>
      <c r="I713">
        <v>191</v>
      </c>
      <c r="J713">
        <v>1547</v>
      </c>
      <c r="K713">
        <v>1932</v>
      </c>
      <c r="L713">
        <v>78.98</v>
      </c>
      <c r="M713">
        <v>-70.349999999999994</v>
      </c>
      <c r="N713">
        <v>-112.78</v>
      </c>
      <c r="O713">
        <v>0.62</v>
      </c>
      <c r="P713" t="b">
        <v>0</v>
      </c>
      <c r="Q713">
        <v>0</v>
      </c>
      <c r="R713">
        <v>-266</v>
      </c>
      <c r="U713" t="s">
        <v>2475</v>
      </c>
      <c r="V713" t="s">
        <v>3339</v>
      </c>
      <c r="W713">
        <v>0</v>
      </c>
      <c r="X713">
        <v>-70.3</v>
      </c>
      <c r="Y713" t="s">
        <v>4134</v>
      </c>
      <c r="Z713">
        <v>-70.3</v>
      </c>
      <c r="AA713">
        <v>425</v>
      </c>
      <c r="AB713">
        <v>315015</v>
      </c>
      <c r="AC713" t="s">
        <v>4994</v>
      </c>
      <c r="AD713">
        <v>39.14</v>
      </c>
      <c r="AE713" t="s">
        <v>5858</v>
      </c>
      <c r="AF713" t="s">
        <v>6671</v>
      </c>
      <c r="AG713">
        <v>2170</v>
      </c>
      <c r="AH713">
        <v>-121</v>
      </c>
      <c r="AI713">
        <v>2947249</v>
      </c>
    </row>
    <row r="714" spans="1:36">
      <c r="A714" s="1" t="s">
        <v>748</v>
      </c>
      <c r="B714" t="s">
        <v>1612</v>
      </c>
      <c r="C714" t="str">
        <f>HYPERLINK("https://finance.naver.com/item/coinfo.nhn?code=007860", "A007860")</f>
        <v>A007860</v>
      </c>
      <c r="D714" t="str">
        <f>HYPERLINK("http://comp.fnguide.com/SVO2/ASP/SVD_Consensus.asp?pGB=1&amp;gicode=A007860&amp;cID=&amp;MenuYn=Y&amp;ReportGB=&amp;NewMenuID=108&amp;stkGb=701", "서연")</f>
        <v>서연</v>
      </c>
      <c r="E714">
        <v>3</v>
      </c>
      <c r="F714">
        <v>9930</v>
      </c>
      <c r="G714">
        <v>0</v>
      </c>
      <c r="I714">
        <v>0</v>
      </c>
      <c r="J714">
        <v>11708</v>
      </c>
      <c r="K714">
        <v>15035</v>
      </c>
      <c r="L714">
        <v>100</v>
      </c>
      <c r="M714">
        <v>-17.899999999999999</v>
      </c>
      <c r="N714">
        <v>-51.41</v>
      </c>
      <c r="O714">
        <v>0</v>
      </c>
      <c r="P714" t="b">
        <v>0</v>
      </c>
      <c r="Q714">
        <v>0</v>
      </c>
      <c r="R714">
        <v>-2554</v>
      </c>
      <c r="U714" t="s">
        <v>2476</v>
      </c>
      <c r="V714" t="s">
        <v>3340</v>
      </c>
      <c r="W714">
        <v>0</v>
      </c>
      <c r="X714">
        <v>0</v>
      </c>
      <c r="Y714" t="s">
        <v>4135</v>
      </c>
      <c r="Z714">
        <v>88.1</v>
      </c>
      <c r="AA714">
        <v>2332</v>
      </c>
      <c r="AB714">
        <v>4749597</v>
      </c>
      <c r="AC714" t="s">
        <v>4995</v>
      </c>
      <c r="AD714">
        <v>45.84</v>
      </c>
      <c r="AE714" t="s">
        <v>5859</v>
      </c>
      <c r="AF714" t="s">
        <v>6021</v>
      </c>
      <c r="AG714">
        <v>22026</v>
      </c>
      <c r="AH714">
        <v>332</v>
      </c>
      <c r="AI714">
        <v>1772558</v>
      </c>
      <c r="AJ714">
        <v>1.71</v>
      </c>
    </row>
    <row r="715" spans="1:36">
      <c r="A715" s="1" t="s">
        <v>749</v>
      </c>
      <c r="B715" t="s">
        <v>1613</v>
      </c>
      <c r="C715" t="str">
        <f>HYPERLINK("https://finance.naver.com/item/coinfo.nhn?code=200880", "A200880")</f>
        <v>A200880</v>
      </c>
      <c r="D715" t="str">
        <f>HYPERLINK("http://comp.fnguide.com/SVO2/ASP/SVD_Consensus.asp?pGB=1&amp;gicode=A200880&amp;cID=&amp;MenuYn=Y&amp;ReportGB=&amp;NewMenuID=108&amp;stkGb=701", "서연이화")</f>
        <v>서연이화</v>
      </c>
      <c r="E715">
        <v>3</v>
      </c>
      <c r="F715">
        <v>7650</v>
      </c>
      <c r="G715">
        <v>0</v>
      </c>
      <c r="I715">
        <v>2430</v>
      </c>
      <c r="J715">
        <v>14574</v>
      </c>
      <c r="K715">
        <v>18026</v>
      </c>
      <c r="L715">
        <v>68.23</v>
      </c>
      <c r="M715">
        <v>-90.52</v>
      </c>
      <c r="N715">
        <v>-135.63</v>
      </c>
      <c r="O715">
        <v>0.85</v>
      </c>
      <c r="P715" t="b">
        <v>0</v>
      </c>
      <c r="Q715">
        <v>0</v>
      </c>
      <c r="R715">
        <v>-1721</v>
      </c>
      <c r="U715" t="s">
        <v>2477</v>
      </c>
      <c r="V715" t="s">
        <v>3341</v>
      </c>
      <c r="W715">
        <v>0</v>
      </c>
      <c r="X715">
        <v>0</v>
      </c>
      <c r="Y715" t="s">
        <v>4136</v>
      </c>
      <c r="Z715">
        <v>-34.475042922562707</v>
      </c>
      <c r="AA715">
        <v>2068</v>
      </c>
      <c r="AB715">
        <v>7807368</v>
      </c>
      <c r="AC715" t="s">
        <v>4996</v>
      </c>
      <c r="AD715">
        <v>57.06</v>
      </c>
      <c r="AE715" t="s">
        <v>5860</v>
      </c>
      <c r="AF715" t="s">
        <v>6672</v>
      </c>
      <c r="AG715">
        <v>19768</v>
      </c>
      <c r="AH715">
        <v>219</v>
      </c>
      <c r="AI715">
        <v>5686</v>
      </c>
      <c r="AJ715">
        <v>2.0299999999999998</v>
      </c>
    </row>
    <row r="716" spans="1:36">
      <c r="A716" s="1" t="s">
        <v>750</v>
      </c>
      <c r="B716" t="s">
        <v>1614</v>
      </c>
      <c r="C716" t="str">
        <f>HYPERLINK("https://finance.naver.com/item/coinfo.nhn?code=015760", "A015760")</f>
        <v>A015760</v>
      </c>
      <c r="D716" t="str">
        <f>HYPERLINK("http://comp.fnguide.com/SVO2/ASP/SVD_Consensus.asp?pGB=1&amp;gicode=A015760&amp;cID=&amp;MenuYn=Y&amp;ReportGB=&amp;NewMenuID=108&amp;stkGb=701", "한국전력")</f>
        <v>한국전력</v>
      </c>
      <c r="E716">
        <v>3</v>
      </c>
      <c r="F716">
        <v>27000</v>
      </c>
      <c r="I716">
        <v>3995</v>
      </c>
      <c r="J716">
        <v>64851</v>
      </c>
      <c r="K716">
        <v>82145</v>
      </c>
      <c r="L716">
        <v>85.21</v>
      </c>
      <c r="M716">
        <v>-140.19</v>
      </c>
      <c r="N716">
        <v>-204.24</v>
      </c>
      <c r="O716">
        <v>0.3</v>
      </c>
      <c r="P716" t="b">
        <v>0</v>
      </c>
      <c r="Q716">
        <v>1</v>
      </c>
      <c r="R716">
        <v>-3654</v>
      </c>
      <c r="S716">
        <v>2569</v>
      </c>
      <c r="T716">
        <v>-170.3</v>
      </c>
      <c r="U716" t="s">
        <v>2478</v>
      </c>
      <c r="V716" t="s">
        <v>3342</v>
      </c>
      <c r="W716">
        <v>8.2705216406119053</v>
      </c>
      <c r="X716">
        <v>0</v>
      </c>
      <c r="Y716" t="s">
        <v>4137</v>
      </c>
      <c r="Z716">
        <v>-68.771807609149064</v>
      </c>
      <c r="AA716">
        <v>173330</v>
      </c>
      <c r="AB716">
        <v>5487118</v>
      </c>
      <c r="AC716" t="s">
        <v>4997</v>
      </c>
      <c r="AD716">
        <v>51.14</v>
      </c>
      <c r="AE716" t="s">
        <v>5861</v>
      </c>
      <c r="AF716" t="s">
        <v>6673</v>
      </c>
      <c r="AG716">
        <v>591729</v>
      </c>
      <c r="AH716">
        <v>-12765</v>
      </c>
    </row>
    <row r="717" spans="1:36">
      <c r="A717" s="1" t="s">
        <v>751</v>
      </c>
      <c r="B717" t="s">
        <v>1615</v>
      </c>
      <c r="C717" t="str">
        <f>HYPERLINK("https://finance.naver.com/item/coinfo.nhn?code=017390", "A017390")</f>
        <v>A017390</v>
      </c>
      <c r="D717" t="str">
        <f>HYPERLINK("http://comp.fnguide.com/SVO2/ASP/SVD_Consensus.asp?pGB=1&amp;gicode=A017390&amp;cID=&amp;MenuYn=Y&amp;ReportGB=&amp;NewMenuID=108&amp;stkGb=701", "서울가스")</f>
        <v>서울가스</v>
      </c>
      <c r="E717">
        <v>3</v>
      </c>
      <c r="F717">
        <v>94000</v>
      </c>
      <c r="G717">
        <v>0</v>
      </c>
      <c r="H717">
        <v>12.1</v>
      </c>
      <c r="I717">
        <v>115382</v>
      </c>
      <c r="J717">
        <v>195340</v>
      </c>
      <c r="K717">
        <v>218063</v>
      </c>
      <c r="L717">
        <v>-22.75</v>
      </c>
      <c r="M717">
        <v>-107.81</v>
      </c>
      <c r="N717">
        <v>-131.97999999999999</v>
      </c>
      <c r="O717">
        <v>3.69</v>
      </c>
      <c r="P717" t="b">
        <v>0</v>
      </c>
      <c r="Q717">
        <v>0</v>
      </c>
      <c r="R717">
        <v>5836</v>
      </c>
      <c r="U717" t="s">
        <v>2479</v>
      </c>
      <c r="V717" t="s">
        <v>3343</v>
      </c>
      <c r="W717">
        <v>0</v>
      </c>
      <c r="X717">
        <v>417.4</v>
      </c>
      <c r="Y717" t="s">
        <v>4138</v>
      </c>
      <c r="Z717">
        <v>27.6538005519904</v>
      </c>
      <c r="AA717">
        <v>4700</v>
      </c>
      <c r="AB717">
        <v>766</v>
      </c>
      <c r="AC717" t="s">
        <v>4998</v>
      </c>
      <c r="AD717">
        <v>63.61</v>
      </c>
      <c r="AE717" t="s">
        <v>5862</v>
      </c>
      <c r="AF717" t="s">
        <v>6674</v>
      </c>
      <c r="AG717">
        <v>13610</v>
      </c>
      <c r="AH717">
        <v>105</v>
      </c>
      <c r="AI717">
        <v>1117208</v>
      </c>
      <c r="AJ717">
        <v>2.48</v>
      </c>
    </row>
    <row r="718" spans="1:36">
      <c r="A718" s="1" t="s">
        <v>752</v>
      </c>
      <c r="B718" t="s">
        <v>1616</v>
      </c>
      <c r="C718" t="str">
        <f>HYPERLINK("https://finance.naver.com/item/coinfo.nhn?code=005740", "A005740")</f>
        <v>A005740</v>
      </c>
      <c r="D718" t="str">
        <f>HYPERLINK("http://comp.fnguide.com/SVO2/ASP/SVD_Consensus.asp?pGB=1&amp;gicode=A005740&amp;cID=&amp;MenuYn=Y&amp;ReportGB=&amp;NewMenuID=108&amp;stkGb=701", "크라운해태홀딩스")</f>
        <v>크라운해태홀딩스</v>
      </c>
      <c r="E718">
        <v>3</v>
      </c>
      <c r="F718">
        <v>8870</v>
      </c>
      <c r="G718">
        <v>0</v>
      </c>
      <c r="I718">
        <v>23645</v>
      </c>
      <c r="J718">
        <v>20463</v>
      </c>
      <c r="K718">
        <v>19558</v>
      </c>
      <c r="L718">
        <v>-166.58</v>
      </c>
      <c r="M718">
        <v>-130.69</v>
      </c>
      <c r="N718">
        <v>-120.5</v>
      </c>
      <c r="O718">
        <v>10.23</v>
      </c>
      <c r="P718" t="b">
        <v>0</v>
      </c>
      <c r="Q718">
        <v>0</v>
      </c>
      <c r="R718">
        <v>-1342</v>
      </c>
      <c r="U718" t="s">
        <v>2480</v>
      </c>
      <c r="V718" t="s">
        <v>3344</v>
      </c>
      <c r="W718">
        <v>0</v>
      </c>
      <c r="X718">
        <v>696.5</v>
      </c>
      <c r="Y718" t="s">
        <v>4139</v>
      </c>
      <c r="Z718">
        <v>-2.1920820246574162</v>
      </c>
      <c r="AA718">
        <v>1317</v>
      </c>
      <c r="AB718">
        <v>37890</v>
      </c>
      <c r="AC718" t="s">
        <v>4999</v>
      </c>
      <c r="AD718">
        <v>55.02</v>
      </c>
      <c r="AE718" t="s">
        <v>5863</v>
      </c>
      <c r="AF718" t="s">
        <v>6675</v>
      </c>
      <c r="AG718">
        <v>10552</v>
      </c>
      <c r="AH718">
        <v>394</v>
      </c>
      <c r="AI718">
        <v>464612</v>
      </c>
      <c r="AJ718">
        <v>0.96</v>
      </c>
    </row>
    <row r="719" spans="1:36">
      <c r="A719" s="1" t="s">
        <v>753</v>
      </c>
      <c r="B719" t="s">
        <v>1617</v>
      </c>
      <c r="C719" t="str">
        <f>HYPERLINK("https://finance.naver.com/item/coinfo.nhn?code=103140", "A103140")</f>
        <v>A103140</v>
      </c>
      <c r="D719" t="str">
        <f>HYPERLINK("http://comp.fnguide.com/SVO2/ASP/SVD_Consensus.asp?pGB=1&amp;gicode=A103140&amp;cID=&amp;MenuYn=Y&amp;ReportGB=&amp;NewMenuID=108&amp;stkGb=701", "풍산")</f>
        <v>풍산</v>
      </c>
      <c r="E719">
        <v>3</v>
      </c>
      <c r="F719">
        <v>27400</v>
      </c>
      <c r="G719">
        <v>-1.64</v>
      </c>
      <c r="H719">
        <v>37.86</v>
      </c>
      <c r="I719">
        <v>25824</v>
      </c>
      <c r="J719">
        <v>39965</v>
      </c>
      <c r="K719">
        <v>43984</v>
      </c>
      <c r="L719">
        <v>5.75</v>
      </c>
      <c r="M719">
        <v>-45.86</v>
      </c>
      <c r="N719">
        <v>-60.53</v>
      </c>
      <c r="O719">
        <v>4.16</v>
      </c>
      <c r="P719" t="b">
        <v>0</v>
      </c>
      <c r="Q719">
        <v>1</v>
      </c>
      <c r="R719">
        <v>629</v>
      </c>
      <c r="S719">
        <v>2440</v>
      </c>
      <c r="T719">
        <v>287.89999999999998</v>
      </c>
      <c r="U719" t="s">
        <v>2481</v>
      </c>
      <c r="V719" t="s">
        <v>3345</v>
      </c>
      <c r="W719">
        <v>-23.149780566942258</v>
      </c>
      <c r="X719">
        <v>289.60000000000002</v>
      </c>
      <c r="Y719" t="s">
        <v>4140</v>
      </c>
      <c r="Z719">
        <v>5.8784391396808466</v>
      </c>
      <c r="AA719">
        <v>7679</v>
      </c>
      <c r="AB719">
        <v>187288</v>
      </c>
      <c r="AC719" t="s">
        <v>5000</v>
      </c>
      <c r="AD719">
        <v>38.01</v>
      </c>
      <c r="AE719" t="s">
        <v>5864</v>
      </c>
      <c r="AF719" t="s">
        <v>6676</v>
      </c>
      <c r="AG719">
        <v>24513</v>
      </c>
      <c r="AH719">
        <v>411</v>
      </c>
      <c r="AI719">
        <v>11707</v>
      </c>
      <c r="AJ719">
        <v>1.68</v>
      </c>
    </row>
    <row r="720" spans="1:36">
      <c r="A720" s="1" t="s">
        <v>754</v>
      </c>
      <c r="B720" t="s">
        <v>1618</v>
      </c>
      <c r="C720" t="str">
        <f>HYPERLINK("https://finance.naver.com/item/coinfo.nhn?code=004490", "A004490")</f>
        <v>A004490</v>
      </c>
      <c r="D720" t="str">
        <f>HYPERLINK("http://comp.fnguide.com/SVO2/ASP/SVD_Consensus.asp?pGB=1&amp;gicode=A004490&amp;cID=&amp;MenuYn=Y&amp;ReportGB=&amp;NewMenuID=108&amp;stkGb=701", "세방전지")</f>
        <v>세방전지</v>
      </c>
      <c r="E720">
        <v>3</v>
      </c>
      <c r="F720">
        <v>62700</v>
      </c>
      <c r="G720">
        <v>0</v>
      </c>
      <c r="H720">
        <v>6.66</v>
      </c>
      <c r="I720">
        <v>85143</v>
      </c>
      <c r="J720">
        <v>81303</v>
      </c>
      <c r="K720">
        <v>80212</v>
      </c>
      <c r="L720">
        <v>-35.79</v>
      </c>
      <c r="M720">
        <v>-29.67</v>
      </c>
      <c r="N720">
        <v>-27.93</v>
      </c>
      <c r="O720">
        <v>8.58</v>
      </c>
      <c r="P720" t="b">
        <v>1</v>
      </c>
      <c r="Q720">
        <v>0</v>
      </c>
      <c r="R720">
        <v>5597</v>
      </c>
      <c r="U720" t="s">
        <v>2482</v>
      </c>
      <c r="V720" t="s">
        <v>3346</v>
      </c>
      <c r="W720">
        <v>0</v>
      </c>
      <c r="X720">
        <v>-6.4</v>
      </c>
      <c r="Y720" t="s">
        <v>4141</v>
      </c>
      <c r="Z720">
        <v>-1.4297948555761719</v>
      </c>
      <c r="AA720">
        <v>8778</v>
      </c>
      <c r="AB720">
        <v>4322234</v>
      </c>
      <c r="AC720" t="s">
        <v>5001</v>
      </c>
      <c r="AD720">
        <v>41.48</v>
      </c>
      <c r="AE720" t="s">
        <v>5865</v>
      </c>
      <c r="AF720" t="s">
        <v>6677</v>
      </c>
      <c r="AG720">
        <v>11390</v>
      </c>
      <c r="AH720">
        <v>1057</v>
      </c>
      <c r="AI720">
        <v>615220</v>
      </c>
      <c r="AJ720">
        <v>1.34</v>
      </c>
    </row>
    <row r="721" spans="1:36">
      <c r="A721" s="1" t="s">
        <v>755</v>
      </c>
      <c r="B721" t="s">
        <v>1619</v>
      </c>
      <c r="C721" t="str">
        <f>HYPERLINK("https://finance.naver.com/item/coinfo.nhn?code=019180", "A019180")</f>
        <v>A019180</v>
      </c>
      <c r="D721" t="str">
        <f>HYPERLINK("http://comp.fnguide.com/SVO2/ASP/SVD_Consensus.asp?pGB=1&amp;gicode=A019180&amp;cID=&amp;MenuYn=Y&amp;ReportGB=&amp;NewMenuID=108&amp;stkGb=701", "티에이치엔")</f>
        <v>티에이치엔</v>
      </c>
      <c r="E721">
        <v>3</v>
      </c>
      <c r="F721">
        <v>2495</v>
      </c>
      <c r="G721">
        <v>0</v>
      </c>
      <c r="H721">
        <v>3.82</v>
      </c>
      <c r="I721">
        <v>9909</v>
      </c>
      <c r="J721">
        <v>6053</v>
      </c>
      <c r="K721">
        <v>4957</v>
      </c>
      <c r="L721">
        <v>-297.14</v>
      </c>
      <c r="M721">
        <v>-142.59</v>
      </c>
      <c r="N721">
        <v>-98.68</v>
      </c>
      <c r="O721">
        <v>22.48</v>
      </c>
      <c r="P721" t="b">
        <v>1</v>
      </c>
      <c r="Q721">
        <v>0</v>
      </c>
      <c r="R721">
        <v>959</v>
      </c>
      <c r="U721" t="s">
        <v>2483</v>
      </c>
      <c r="V721" t="s">
        <v>3347</v>
      </c>
      <c r="W721">
        <v>0</v>
      </c>
      <c r="X721">
        <v>0</v>
      </c>
      <c r="Y721" t="s">
        <v>4142</v>
      </c>
      <c r="Z721">
        <v>4.9580172598820749</v>
      </c>
      <c r="AA721">
        <v>449</v>
      </c>
      <c r="AB721">
        <v>74247</v>
      </c>
      <c r="AC721" t="s">
        <v>5002</v>
      </c>
      <c r="AD721">
        <v>42.81</v>
      </c>
      <c r="AE721" t="s">
        <v>5866</v>
      </c>
      <c r="AF721" t="s">
        <v>6678</v>
      </c>
      <c r="AG721">
        <v>4022</v>
      </c>
      <c r="AH721">
        <v>215</v>
      </c>
      <c r="AJ721">
        <v>1.64</v>
      </c>
    </row>
    <row r="722" spans="1:36">
      <c r="A722" s="1" t="s">
        <v>756</v>
      </c>
      <c r="B722" t="s">
        <v>1620</v>
      </c>
      <c r="C722" t="str">
        <f>HYPERLINK("https://finance.naver.com/item/coinfo.nhn?code=004430", "A004430")</f>
        <v>A004430</v>
      </c>
      <c r="D722" t="str">
        <f>HYPERLINK("http://comp.fnguide.com/SVO2/ASP/SVD_Consensus.asp?pGB=1&amp;gicode=A004430&amp;cID=&amp;MenuYn=Y&amp;ReportGB=&amp;NewMenuID=108&amp;stkGb=701", "송원산업")</f>
        <v>송원산업</v>
      </c>
      <c r="E722">
        <v>3</v>
      </c>
      <c r="F722">
        <v>15750</v>
      </c>
      <c r="G722">
        <v>-36.200000000000003</v>
      </c>
      <c r="H722">
        <v>10.74</v>
      </c>
      <c r="I722">
        <v>20210</v>
      </c>
      <c r="J722">
        <v>18870</v>
      </c>
      <c r="K722">
        <v>18490</v>
      </c>
      <c r="L722">
        <v>-28.32</v>
      </c>
      <c r="M722">
        <v>-19.809999999999999</v>
      </c>
      <c r="N722">
        <v>-17.39</v>
      </c>
      <c r="O722">
        <v>8.92</v>
      </c>
      <c r="P722" t="b">
        <v>1</v>
      </c>
      <c r="Q722">
        <v>1</v>
      </c>
      <c r="R722">
        <v>1448</v>
      </c>
      <c r="S722">
        <v>1463</v>
      </c>
      <c r="T722">
        <v>1</v>
      </c>
      <c r="U722" t="s">
        <v>2484</v>
      </c>
      <c r="V722" t="s">
        <v>3348</v>
      </c>
      <c r="W722">
        <v>-0.29670882389190018</v>
      </c>
      <c r="X722">
        <v>-14.5</v>
      </c>
      <c r="Y722" t="s">
        <v>4143</v>
      </c>
      <c r="Z722">
        <v>-2.303785426702731E-2</v>
      </c>
      <c r="AA722">
        <v>3780</v>
      </c>
      <c r="AB722">
        <v>388680</v>
      </c>
      <c r="AC722" t="s">
        <v>5003</v>
      </c>
      <c r="AD722">
        <v>35.64</v>
      </c>
      <c r="AE722" t="s">
        <v>5867</v>
      </c>
      <c r="AF722" t="s">
        <v>6679</v>
      </c>
      <c r="AG722">
        <v>8143</v>
      </c>
      <c r="AH722">
        <v>593</v>
      </c>
      <c r="AJ722">
        <v>0.96</v>
      </c>
    </row>
    <row r="723" spans="1:36">
      <c r="A723" s="1" t="s">
        <v>757</v>
      </c>
      <c r="B723" t="s">
        <v>1621</v>
      </c>
      <c r="C723" t="str">
        <f>HYPERLINK("https://finance.naver.com/item/coinfo.nhn?code=053210", "A053210")</f>
        <v>A053210</v>
      </c>
      <c r="D723" t="str">
        <f>HYPERLINK("http://comp.fnguide.com/SVO2/ASP/SVD_Consensus.asp?pGB=1&amp;gicode=A053210&amp;cID=&amp;MenuYn=Y&amp;ReportGB=&amp;NewMenuID=108&amp;stkGb=701", "스카이라이프")</f>
        <v>스카이라이프</v>
      </c>
      <c r="E723">
        <v>3</v>
      </c>
      <c r="F723">
        <v>9000</v>
      </c>
      <c r="G723">
        <v>1.61</v>
      </c>
      <c r="H723">
        <v>7.64</v>
      </c>
      <c r="I723">
        <v>15726</v>
      </c>
      <c r="J723">
        <v>15108</v>
      </c>
      <c r="K723">
        <v>14932</v>
      </c>
      <c r="L723">
        <v>-74.73</v>
      </c>
      <c r="M723">
        <v>-67.86</v>
      </c>
      <c r="N723">
        <v>-65.91</v>
      </c>
      <c r="O723">
        <v>8.49</v>
      </c>
      <c r="P723" t="b">
        <v>1</v>
      </c>
      <c r="Q723">
        <v>2</v>
      </c>
      <c r="R723">
        <v>1141</v>
      </c>
      <c r="S723">
        <v>1379</v>
      </c>
      <c r="T723">
        <v>20.9</v>
      </c>
      <c r="U723" t="s">
        <v>2485</v>
      </c>
      <c r="V723" t="s">
        <v>3349</v>
      </c>
      <c r="W723">
        <v>4.7338318831406934</v>
      </c>
      <c r="X723">
        <v>22.8</v>
      </c>
      <c r="Y723" t="s">
        <v>4144</v>
      </c>
      <c r="Z723">
        <v>-1.6346223825760451</v>
      </c>
      <c r="AA723">
        <v>4304</v>
      </c>
      <c r="AB723">
        <v>80156</v>
      </c>
      <c r="AC723" t="s">
        <v>5004</v>
      </c>
      <c r="AD723">
        <v>50</v>
      </c>
      <c r="AE723" t="s">
        <v>5868</v>
      </c>
      <c r="AF723" t="s">
        <v>6680</v>
      </c>
      <c r="AG723">
        <v>6946</v>
      </c>
      <c r="AH723">
        <v>694</v>
      </c>
      <c r="AI723">
        <v>258613</v>
      </c>
      <c r="AJ723">
        <v>4.01</v>
      </c>
    </row>
    <row r="724" spans="1:36">
      <c r="A724" s="1" t="s">
        <v>758</v>
      </c>
      <c r="B724" t="s">
        <v>1622</v>
      </c>
      <c r="C724" t="str">
        <f>HYPERLINK("https://finance.naver.com/item/coinfo.nhn?code=007980", "A007980")</f>
        <v>A007980</v>
      </c>
      <c r="D724" t="str">
        <f>HYPERLINK("http://comp.fnguide.com/SVO2/ASP/SVD_Consensus.asp?pGB=1&amp;gicode=A007980&amp;cID=&amp;MenuYn=Y&amp;ReportGB=&amp;NewMenuID=108&amp;stkGb=701", "태평양물산")</f>
        <v>태평양물산</v>
      </c>
      <c r="E724">
        <v>3</v>
      </c>
      <c r="F724">
        <v>1895</v>
      </c>
      <c r="G724">
        <v>0</v>
      </c>
      <c r="H724">
        <v>11.77</v>
      </c>
      <c r="I724">
        <v>3411</v>
      </c>
      <c r="J724">
        <v>3626</v>
      </c>
      <c r="K724">
        <v>3688</v>
      </c>
      <c r="L724">
        <v>-79.989999999999995</v>
      </c>
      <c r="M724">
        <v>-91.37</v>
      </c>
      <c r="N724">
        <v>-94.6</v>
      </c>
      <c r="O724">
        <v>7.18</v>
      </c>
      <c r="P724" t="b">
        <v>1</v>
      </c>
      <c r="Q724">
        <v>0</v>
      </c>
      <c r="R724">
        <v>225</v>
      </c>
      <c r="S724">
        <v>-415</v>
      </c>
      <c r="T724">
        <v>-284.39999999999998</v>
      </c>
      <c r="U724" t="s">
        <v>2486</v>
      </c>
      <c r="V724" t="s">
        <v>3350</v>
      </c>
      <c r="W724">
        <v>0</v>
      </c>
      <c r="X724">
        <v>0</v>
      </c>
      <c r="Y724" t="s">
        <v>4145</v>
      </c>
      <c r="Z724">
        <v>6.1392481601410198</v>
      </c>
      <c r="AA724">
        <v>912</v>
      </c>
      <c r="AB724">
        <v>547115</v>
      </c>
      <c r="AC724" t="s">
        <v>5005</v>
      </c>
      <c r="AD724">
        <v>32.79</v>
      </c>
      <c r="AE724" t="s">
        <v>5869</v>
      </c>
      <c r="AF724" t="s">
        <v>6681</v>
      </c>
      <c r="AG724">
        <v>9716</v>
      </c>
      <c r="AH724">
        <v>432</v>
      </c>
      <c r="AI724">
        <v>2357635</v>
      </c>
      <c r="AJ724">
        <v>1.1299999999999999</v>
      </c>
    </row>
    <row r="725" spans="1:36">
      <c r="A725" s="1" t="s">
        <v>759</v>
      </c>
      <c r="B725" t="s">
        <v>1623</v>
      </c>
      <c r="C725" t="str">
        <f>HYPERLINK("https://finance.naver.com/item/coinfo.nhn?code=016590", "A016590")</f>
        <v>A016590</v>
      </c>
      <c r="D725" t="str">
        <f>HYPERLINK("http://comp.fnguide.com/SVO2/ASP/SVD_Consensus.asp?pGB=1&amp;gicode=A016590&amp;cID=&amp;MenuYn=Y&amp;ReportGB=&amp;NewMenuID=108&amp;stkGb=701", "신대양제지")</f>
        <v>신대양제지</v>
      </c>
      <c r="E725">
        <v>3</v>
      </c>
      <c r="F725">
        <v>62100</v>
      </c>
      <c r="G725">
        <v>0</v>
      </c>
      <c r="H725">
        <v>4.3</v>
      </c>
      <c r="I725">
        <v>235675</v>
      </c>
      <c r="J725">
        <v>159634</v>
      </c>
      <c r="K725">
        <v>138024</v>
      </c>
      <c r="L725">
        <v>-279.51</v>
      </c>
      <c r="M725">
        <v>-157.06</v>
      </c>
      <c r="N725">
        <v>-122.26</v>
      </c>
      <c r="O725">
        <v>17.12</v>
      </c>
      <c r="P725" t="b">
        <v>1</v>
      </c>
      <c r="Q725">
        <v>0</v>
      </c>
      <c r="R725">
        <v>13849</v>
      </c>
      <c r="U725" t="s">
        <v>2487</v>
      </c>
      <c r="V725" t="s">
        <v>3351</v>
      </c>
      <c r="W725">
        <v>0</v>
      </c>
      <c r="X725">
        <v>-17</v>
      </c>
      <c r="Y725" t="s">
        <v>4146</v>
      </c>
      <c r="Z725">
        <v>29.982736326580021</v>
      </c>
      <c r="AA725">
        <v>2502</v>
      </c>
      <c r="AB725">
        <v>17899</v>
      </c>
      <c r="AC725" t="s">
        <v>5006</v>
      </c>
      <c r="AD725">
        <v>53.49</v>
      </c>
      <c r="AE725" t="s">
        <v>5870</v>
      </c>
      <c r="AF725" t="s">
        <v>6682</v>
      </c>
      <c r="AG725">
        <v>6468</v>
      </c>
      <c r="AH725">
        <v>947</v>
      </c>
      <c r="AI725">
        <v>201500</v>
      </c>
      <c r="AJ725">
        <v>1.05</v>
      </c>
    </row>
    <row r="726" spans="1:36">
      <c r="A726" s="1" t="s">
        <v>760</v>
      </c>
      <c r="B726" t="s">
        <v>1624</v>
      </c>
      <c r="C726" t="str">
        <f>HYPERLINK("https://finance.naver.com/item/coinfo.nhn?code=029530", "A029530")</f>
        <v>A029530</v>
      </c>
      <c r="D726" t="str">
        <f>HYPERLINK("http://comp.fnguide.com/SVO2/ASP/SVD_Consensus.asp?pGB=1&amp;gicode=A029530&amp;cID=&amp;MenuYn=Y&amp;ReportGB=&amp;NewMenuID=108&amp;stkGb=701", "신도리코")</f>
        <v>신도리코</v>
      </c>
      <c r="E726">
        <v>3</v>
      </c>
      <c r="F726">
        <v>26750</v>
      </c>
      <c r="G726">
        <v>0</v>
      </c>
      <c r="H726">
        <v>25.67</v>
      </c>
      <c r="I726">
        <v>31340</v>
      </c>
      <c r="J726">
        <v>65860</v>
      </c>
      <c r="K726">
        <v>75670</v>
      </c>
      <c r="L726">
        <v>-17.16</v>
      </c>
      <c r="M726">
        <v>-146.21</v>
      </c>
      <c r="N726">
        <v>-182.88</v>
      </c>
      <c r="O726">
        <v>2.8</v>
      </c>
      <c r="P726" t="b">
        <v>0</v>
      </c>
      <c r="Q726">
        <v>0</v>
      </c>
      <c r="R726">
        <v>1437</v>
      </c>
      <c r="U726" t="s">
        <v>2488</v>
      </c>
      <c r="V726" t="s">
        <v>3352</v>
      </c>
      <c r="W726">
        <v>0</v>
      </c>
      <c r="X726">
        <v>0</v>
      </c>
      <c r="Y726" t="s">
        <v>4147</v>
      </c>
      <c r="Z726">
        <v>11.50567547445025</v>
      </c>
      <c r="AA726">
        <v>2696</v>
      </c>
      <c r="AB726">
        <v>13117</v>
      </c>
      <c r="AC726" t="s">
        <v>5007</v>
      </c>
      <c r="AD726">
        <v>48.67</v>
      </c>
      <c r="AE726" t="s">
        <v>5871</v>
      </c>
      <c r="AF726" t="s">
        <v>6683</v>
      </c>
      <c r="AG726">
        <v>4271</v>
      </c>
      <c r="AH726">
        <v>63</v>
      </c>
      <c r="AI726">
        <v>266464</v>
      </c>
      <c r="AJ726">
        <v>2.71</v>
      </c>
    </row>
    <row r="727" spans="1:36">
      <c r="A727" s="1" t="s">
        <v>761</v>
      </c>
      <c r="B727" t="s">
        <v>1625</v>
      </c>
      <c r="C727" t="str">
        <f>HYPERLINK("https://finance.naver.com/item/coinfo.nhn?code=004970", "A004970")</f>
        <v>A004970</v>
      </c>
      <c r="D727" t="str">
        <f>HYPERLINK("http://comp.fnguide.com/SVO2/ASP/SVD_Consensus.asp?pGB=1&amp;gicode=A004970&amp;cID=&amp;MenuYn=Y&amp;ReportGB=&amp;NewMenuID=108&amp;stkGb=701", "신라교역")</f>
        <v>신라교역</v>
      </c>
      <c r="E727">
        <v>3</v>
      </c>
      <c r="F727">
        <v>9420</v>
      </c>
      <c r="G727">
        <v>0</v>
      </c>
      <c r="H727">
        <v>18.46</v>
      </c>
      <c r="I727">
        <v>19042</v>
      </c>
      <c r="J727">
        <v>27064</v>
      </c>
      <c r="K727">
        <v>29344</v>
      </c>
      <c r="L727">
        <v>-102.14</v>
      </c>
      <c r="M727">
        <v>-187.3</v>
      </c>
      <c r="N727">
        <v>-211.5</v>
      </c>
      <c r="O727">
        <v>4.67</v>
      </c>
      <c r="P727" t="b">
        <v>0</v>
      </c>
      <c r="Q727">
        <v>0</v>
      </c>
      <c r="R727">
        <v>645</v>
      </c>
      <c r="U727" t="s">
        <v>2489</v>
      </c>
      <c r="V727" t="s">
        <v>3353</v>
      </c>
      <c r="W727">
        <v>0</v>
      </c>
      <c r="X727">
        <v>-47.2</v>
      </c>
      <c r="Y727" t="s">
        <v>4148</v>
      </c>
      <c r="Z727">
        <v>-20.138868536107179</v>
      </c>
      <c r="AA727">
        <v>1507</v>
      </c>
      <c r="AB727">
        <v>98472</v>
      </c>
      <c r="AC727" t="s">
        <v>5008</v>
      </c>
      <c r="AD727">
        <v>66.91</v>
      </c>
      <c r="AE727" t="s">
        <v>5872</v>
      </c>
      <c r="AF727" t="s">
        <v>6684</v>
      </c>
      <c r="AG727">
        <v>3696</v>
      </c>
      <c r="AH727">
        <v>-42</v>
      </c>
      <c r="AJ727">
        <v>4.2</v>
      </c>
    </row>
    <row r="728" spans="1:36">
      <c r="A728" s="1" t="s">
        <v>762</v>
      </c>
      <c r="B728" t="s">
        <v>1626</v>
      </c>
      <c r="C728" t="str">
        <f>HYPERLINK("https://finance.naver.com/item/coinfo.nhn?code=004170", "A004170")</f>
        <v>A004170</v>
      </c>
      <c r="D728" t="str">
        <f>HYPERLINK("http://comp.fnguide.com/SVO2/ASP/SVD_Consensus.asp?pGB=1&amp;gicode=A004170&amp;cID=&amp;MenuYn=Y&amp;ReportGB=&amp;NewMenuID=108&amp;stkGb=701", "신세계")</f>
        <v>신세계</v>
      </c>
      <c r="E728">
        <v>3</v>
      </c>
      <c r="F728">
        <v>236000</v>
      </c>
      <c r="G728">
        <v>0</v>
      </c>
      <c r="H728">
        <v>5.4</v>
      </c>
      <c r="I728">
        <v>520175</v>
      </c>
      <c r="J728">
        <v>447376</v>
      </c>
      <c r="K728">
        <v>426688</v>
      </c>
      <c r="L728">
        <v>-120.41</v>
      </c>
      <c r="M728">
        <v>-89.57</v>
      </c>
      <c r="N728">
        <v>-80.8</v>
      </c>
      <c r="O728">
        <v>10.35</v>
      </c>
      <c r="P728" t="b">
        <v>1</v>
      </c>
      <c r="Q728">
        <v>0</v>
      </c>
      <c r="R728">
        <v>53472</v>
      </c>
      <c r="S728">
        <v>-5142</v>
      </c>
      <c r="T728">
        <v>-109.6</v>
      </c>
      <c r="U728" t="s">
        <v>2490</v>
      </c>
      <c r="V728" t="s">
        <v>3354</v>
      </c>
      <c r="W728">
        <v>0</v>
      </c>
      <c r="X728">
        <v>0</v>
      </c>
      <c r="Y728" t="s">
        <v>4149</v>
      </c>
      <c r="Z728">
        <v>6.9571941130905701</v>
      </c>
      <c r="AA728">
        <v>23235</v>
      </c>
      <c r="AB728">
        <v>67283</v>
      </c>
      <c r="AC728" t="s">
        <v>5009</v>
      </c>
      <c r="AD728">
        <v>28.57</v>
      </c>
      <c r="AE728" t="s">
        <v>5873</v>
      </c>
      <c r="AF728" t="s">
        <v>6685</v>
      </c>
      <c r="AG728">
        <v>63942</v>
      </c>
      <c r="AH728">
        <v>4678</v>
      </c>
      <c r="AI728">
        <v>8774</v>
      </c>
      <c r="AJ728">
        <v>0.69</v>
      </c>
    </row>
    <row r="729" spans="1:36">
      <c r="A729" s="1" t="s">
        <v>763</v>
      </c>
      <c r="B729" t="s">
        <v>1627</v>
      </c>
      <c r="C729" t="str">
        <f>HYPERLINK("https://finance.naver.com/item/coinfo.nhn?code=009410", "A009410")</f>
        <v>A009410</v>
      </c>
      <c r="D729" t="str">
        <f>HYPERLINK("http://comp.fnguide.com/SVO2/ASP/SVD_Consensus.asp?pGB=1&amp;gicode=A009410&amp;cID=&amp;MenuYn=Y&amp;ReportGB=&amp;NewMenuID=108&amp;stkGb=701", "태영건설")</f>
        <v>태영건설</v>
      </c>
      <c r="E729">
        <v>3</v>
      </c>
      <c r="F729">
        <v>11300</v>
      </c>
      <c r="G729">
        <v>0</v>
      </c>
      <c r="H729">
        <v>5.19</v>
      </c>
      <c r="I729">
        <v>45939</v>
      </c>
      <c r="J729">
        <v>36170</v>
      </c>
      <c r="K729">
        <v>33394</v>
      </c>
      <c r="L729">
        <v>-306.54000000000002</v>
      </c>
      <c r="M729">
        <v>-220.09</v>
      </c>
      <c r="N729">
        <v>-195.53</v>
      </c>
      <c r="O729">
        <v>12.28</v>
      </c>
      <c r="P729" t="b">
        <v>1</v>
      </c>
      <c r="Q729">
        <v>0</v>
      </c>
      <c r="R729">
        <v>1152</v>
      </c>
      <c r="U729" t="s">
        <v>2491</v>
      </c>
      <c r="V729" t="s">
        <v>3355</v>
      </c>
      <c r="W729">
        <v>0</v>
      </c>
      <c r="X729">
        <v>412.5</v>
      </c>
      <c r="Y729" t="s">
        <v>4150</v>
      </c>
      <c r="Z729">
        <v>213.86680936567271</v>
      </c>
      <c r="AA729">
        <v>4396</v>
      </c>
      <c r="AB729">
        <v>384910</v>
      </c>
      <c r="AC729" t="s">
        <v>5010</v>
      </c>
      <c r="AD729">
        <v>49.32</v>
      </c>
      <c r="AE729" t="s">
        <v>5874</v>
      </c>
      <c r="AF729" t="s">
        <v>6686</v>
      </c>
      <c r="AG729">
        <v>39244</v>
      </c>
      <c r="AH729">
        <v>3912</v>
      </c>
      <c r="AI729">
        <v>7780</v>
      </c>
      <c r="AJ729">
        <v>2.5099999999999998</v>
      </c>
    </row>
    <row r="730" spans="1:36">
      <c r="A730" s="1" t="s">
        <v>764</v>
      </c>
      <c r="B730" t="s">
        <v>1628</v>
      </c>
      <c r="C730" t="str">
        <f>HYPERLINK("https://finance.naver.com/item/coinfo.nhn?code=034300", "A034300")</f>
        <v>A034300</v>
      </c>
      <c r="D730" t="str">
        <f>HYPERLINK("http://comp.fnguide.com/SVO2/ASP/SVD_Consensus.asp?pGB=1&amp;gicode=A034300&amp;cID=&amp;MenuYn=Y&amp;ReportGB=&amp;NewMenuID=108&amp;stkGb=701", "신세계건설")</f>
        <v>신세계건설</v>
      </c>
      <c r="E730">
        <v>3</v>
      </c>
      <c r="F730">
        <v>27200</v>
      </c>
      <c r="G730">
        <v>0</v>
      </c>
      <c r="H730">
        <v>6.01</v>
      </c>
      <c r="I730">
        <v>98935</v>
      </c>
      <c r="J730">
        <v>69131</v>
      </c>
      <c r="K730">
        <v>60661</v>
      </c>
      <c r="L730">
        <v>-263.73</v>
      </c>
      <c r="M730">
        <v>-154.16</v>
      </c>
      <c r="N730">
        <v>-123.02</v>
      </c>
      <c r="O730">
        <v>15.9</v>
      </c>
      <c r="P730" t="b">
        <v>1</v>
      </c>
      <c r="Q730">
        <v>0</v>
      </c>
      <c r="R730">
        <v>4379</v>
      </c>
      <c r="U730" t="s">
        <v>2492</v>
      </c>
      <c r="V730" t="s">
        <v>3356</v>
      </c>
      <c r="W730">
        <v>0</v>
      </c>
      <c r="X730">
        <v>-58.1</v>
      </c>
      <c r="Y730" t="s">
        <v>4151</v>
      </c>
      <c r="Z730">
        <v>-14.38292981148358</v>
      </c>
      <c r="AA730">
        <v>1088</v>
      </c>
      <c r="AB730">
        <v>579985</v>
      </c>
      <c r="AC730" t="s">
        <v>5011</v>
      </c>
      <c r="AD730">
        <v>42.7</v>
      </c>
      <c r="AE730" t="s">
        <v>5875</v>
      </c>
      <c r="AF730" t="s">
        <v>6687</v>
      </c>
      <c r="AG730">
        <v>10162</v>
      </c>
      <c r="AH730">
        <v>242</v>
      </c>
      <c r="AJ730">
        <v>3.04</v>
      </c>
    </row>
    <row r="731" spans="1:36">
      <c r="A731" s="1" t="s">
        <v>765</v>
      </c>
      <c r="B731" t="s">
        <v>1629</v>
      </c>
      <c r="C731" t="str">
        <f>HYPERLINK("https://finance.naver.com/item/coinfo.nhn?code=031440", "A031440")</f>
        <v>A031440</v>
      </c>
      <c r="D731" t="str">
        <f>HYPERLINK("http://comp.fnguide.com/SVO2/ASP/SVD_Consensus.asp?pGB=1&amp;gicode=A031440&amp;cID=&amp;MenuYn=Y&amp;ReportGB=&amp;NewMenuID=108&amp;stkGb=701", "신세계푸드")</f>
        <v>신세계푸드</v>
      </c>
      <c r="E731">
        <v>3</v>
      </c>
      <c r="F731">
        <v>64900</v>
      </c>
      <c r="G731">
        <v>0</v>
      </c>
      <c r="H731">
        <v>62.54</v>
      </c>
      <c r="I731">
        <v>27756</v>
      </c>
      <c r="J731">
        <v>60016</v>
      </c>
      <c r="K731">
        <v>69184</v>
      </c>
      <c r="L731">
        <v>57.23</v>
      </c>
      <c r="M731">
        <v>7.53</v>
      </c>
      <c r="N731">
        <v>-6.6</v>
      </c>
      <c r="O731">
        <v>2.71</v>
      </c>
      <c r="P731" t="b">
        <v>0</v>
      </c>
      <c r="Q731">
        <v>0</v>
      </c>
      <c r="R731">
        <v>1124</v>
      </c>
      <c r="S731">
        <v>-336</v>
      </c>
      <c r="T731">
        <v>-129.9</v>
      </c>
      <c r="U731" t="s">
        <v>2493</v>
      </c>
      <c r="V731" t="s">
        <v>3357</v>
      </c>
      <c r="W731">
        <v>0</v>
      </c>
      <c r="X731">
        <v>0</v>
      </c>
      <c r="Y731" t="s">
        <v>4152</v>
      </c>
      <c r="Z731">
        <v>-10.18260576068835</v>
      </c>
      <c r="AA731">
        <v>2513</v>
      </c>
      <c r="AB731">
        <v>9484</v>
      </c>
      <c r="AC731" t="s">
        <v>5012</v>
      </c>
      <c r="AD731">
        <v>55.47</v>
      </c>
      <c r="AE731" t="s">
        <v>5876</v>
      </c>
      <c r="AF731" t="s">
        <v>6688</v>
      </c>
      <c r="AG731">
        <v>13201</v>
      </c>
      <c r="AH731">
        <v>222</v>
      </c>
      <c r="AI731">
        <v>189</v>
      </c>
      <c r="AJ731">
        <v>1.07</v>
      </c>
    </row>
    <row r="732" spans="1:36">
      <c r="A732" s="1" t="s">
        <v>766</v>
      </c>
      <c r="B732" t="s">
        <v>1630</v>
      </c>
      <c r="C732" t="str">
        <f>HYPERLINK("https://finance.naver.com/item/coinfo.nhn?code=004100", "A004100")</f>
        <v>A004100</v>
      </c>
      <c r="D732" t="str">
        <f>HYPERLINK("http://comp.fnguide.com/SVO2/ASP/SVD_Consensus.asp?pGB=1&amp;gicode=A004100&amp;cID=&amp;MenuYn=Y&amp;ReportGB=&amp;NewMenuID=108&amp;stkGb=701", "태양금속")</f>
        <v>태양금속</v>
      </c>
      <c r="E732">
        <v>3</v>
      </c>
      <c r="F732">
        <v>1070</v>
      </c>
      <c r="G732">
        <v>0</v>
      </c>
      <c r="I732">
        <v>0</v>
      </c>
      <c r="J732">
        <v>1171</v>
      </c>
      <c r="K732">
        <v>1504</v>
      </c>
      <c r="L732">
        <v>100</v>
      </c>
      <c r="M732">
        <v>-9.4600000000000009</v>
      </c>
      <c r="N732">
        <v>-40.56</v>
      </c>
      <c r="O732">
        <v>0</v>
      </c>
      <c r="P732" t="b">
        <v>0</v>
      </c>
      <c r="Q732">
        <v>0</v>
      </c>
      <c r="R732">
        <v>-553</v>
      </c>
      <c r="U732" t="s">
        <v>2494</v>
      </c>
      <c r="V732" t="s">
        <v>3358</v>
      </c>
      <c r="W732">
        <v>0</v>
      </c>
      <c r="X732">
        <v>0</v>
      </c>
      <c r="Y732" t="s">
        <v>4153</v>
      </c>
      <c r="Z732">
        <v>146.80000000000001</v>
      </c>
      <c r="AA732">
        <v>393</v>
      </c>
      <c r="AB732">
        <v>130603</v>
      </c>
      <c r="AC732" t="s">
        <v>5013</v>
      </c>
      <c r="AD732">
        <v>45.24</v>
      </c>
      <c r="AE732" t="s">
        <v>5877</v>
      </c>
      <c r="AF732" t="s">
        <v>6021</v>
      </c>
      <c r="AG732">
        <v>4709</v>
      </c>
      <c r="AH732">
        <v>-176</v>
      </c>
      <c r="AI732">
        <v>276140</v>
      </c>
      <c r="AJ732">
        <v>0.35</v>
      </c>
    </row>
    <row r="733" spans="1:36">
      <c r="A733" s="1" t="s">
        <v>767</v>
      </c>
      <c r="B733" t="s">
        <v>1631</v>
      </c>
      <c r="C733" t="str">
        <f>HYPERLINK("https://finance.naver.com/item/coinfo.nhn?code=006880", "A006880")</f>
        <v>A006880</v>
      </c>
      <c r="D733" t="str">
        <f>HYPERLINK("http://comp.fnguide.com/SVO2/ASP/SVD_Consensus.asp?pGB=1&amp;gicode=A006880&amp;cID=&amp;MenuYn=Y&amp;ReportGB=&amp;NewMenuID=108&amp;stkGb=701", "신송홀딩스")</f>
        <v>신송홀딩스</v>
      </c>
      <c r="E733">
        <v>3</v>
      </c>
      <c r="F733">
        <v>4030</v>
      </c>
      <c r="G733">
        <v>0</v>
      </c>
      <c r="I733">
        <v>0</v>
      </c>
      <c r="J733">
        <v>4836</v>
      </c>
      <c r="K733">
        <v>6210</v>
      </c>
      <c r="L733">
        <v>100</v>
      </c>
      <c r="M733">
        <v>-20</v>
      </c>
      <c r="N733">
        <v>-54.1</v>
      </c>
      <c r="O733">
        <v>0</v>
      </c>
      <c r="P733" t="b">
        <v>0</v>
      </c>
      <c r="Q733">
        <v>0</v>
      </c>
      <c r="R733">
        <v>-2905</v>
      </c>
      <c r="U733" t="s">
        <v>2495</v>
      </c>
      <c r="V733" t="s">
        <v>3359</v>
      </c>
      <c r="W733">
        <v>0</v>
      </c>
      <c r="X733">
        <v>0</v>
      </c>
      <c r="Y733" t="s">
        <v>3499</v>
      </c>
      <c r="Z733">
        <v>0</v>
      </c>
      <c r="AA733">
        <v>477</v>
      </c>
      <c r="AB733">
        <v>29269</v>
      </c>
      <c r="AC733" t="s">
        <v>5014</v>
      </c>
      <c r="AD733">
        <v>58.95</v>
      </c>
      <c r="AE733" t="s">
        <v>5878</v>
      </c>
      <c r="AF733" t="s">
        <v>6021</v>
      </c>
      <c r="AG733">
        <v>2630</v>
      </c>
      <c r="AH733">
        <v>-3</v>
      </c>
      <c r="AI733">
        <v>631470</v>
      </c>
      <c r="AJ733">
        <v>2.0099999999999998</v>
      </c>
    </row>
    <row r="734" spans="1:36">
      <c r="A734" s="1" t="s">
        <v>768</v>
      </c>
      <c r="B734" t="s">
        <v>1632</v>
      </c>
      <c r="C734" t="str">
        <f>HYPERLINK("https://finance.naver.com/item/coinfo.nhn?code=003240", "A003240")</f>
        <v>A003240</v>
      </c>
      <c r="D734" t="str">
        <f>HYPERLINK("http://comp.fnguide.com/SVO2/ASP/SVD_Consensus.asp?pGB=1&amp;gicode=A003240&amp;cID=&amp;MenuYn=Y&amp;ReportGB=&amp;NewMenuID=108&amp;stkGb=701", "태광산업")</f>
        <v>태광산업</v>
      </c>
      <c r="E734">
        <v>3</v>
      </c>
      <c r="F734">
        <v>781000</v>
      </c>
      <c r="G734">
        <v>0</v>
      </c>
      <c r="H734">
        <v>8.67</v>
      </c>
      <c r="I734">
        <v>2623577</v>
      </c>
      <c r="J734">
        <v>3317674</v>
      </c>
      <c r="K734">
        <v>3514922</v>
      </c>
      <c r="L734">
        <v>-235.93</v>
      </c>
      <c r="M734">
        <v>-324.8</v>
      </c>
      <c r="N734">
        <v>-350.05</v>
      </c>
      <c r="O734">
        <v>5.52</v>
      </c>
      <c r="P734" t="b">
        <v>1</v>
      </c>
      <c r="Q734">
        <v>0</v>
      </c>
      <c r="R734">
        <v>122200</v>
      </c>
      <c r="U734" t="s">
        <v>2496</v>
      </c>
      <c r="V734" t="s">
        <v>3360</v>
      </c>
      <c r="W734">
        <v>0</v>
      </c>
      <c r="X734">
        <v>-18.2</v>
      </c>
      <c r="Y734" t="s">
        <v>4154</v>
      </c>
      <c r="Z734">
        <v>8.132256201578425</v>
      </c>
      <c r="AA734">
        <v>8696</v>
      </c>
      <c r="AB734">
        <v>1378</v>
      </c>
      <c r="AC734" t="s">
        <v>5015</v>
      </c>
      <c r="AD734">
        <v>55.01</v>
      </c>
      <c r="AE734" t="s">
        <v>5879</v>
      </c>
      <c r="AF734" t="s">
        <v>6689</v>
      </c>
      <c r="AG734">
        <v>29180</v>
      </c>
      <c r="AH734">
        <v>2914</v>
      </c>
      <c r="AI734">
        <v>271769</v>
      </c>
      <c r="AJ734">
        <v>0.15</v>
      </c>
    </row>
    <row r="735" spans="1:36">
      <c r="A735" s="1" t="s">
        <v>769</v>
      </c>
      <c r="B735" t="s">
        <v>1633</v>
      </c>
      <c r="C735" t="str">
        <f>HYPERLINK("https://finance.naver.com/item/coinfo.nhn?code=015890", "A015890")</f>
        <v>A015890</v>
      </c>
      <c r="D735" t="str">
        <f>HYPERLINK("http://comp.fnguide.com/SVO2/ASP/SVD_Consensus.asp?pGB=1&amp;gicode=A015890&amp;cID=&amp;MenuYn=Y&amp;ReportGB=&amp;NewMenuID=108&amp;stkGb=701", "태경산업")</f>
        <v>태경산업</v>
      </c>
      <c r="E735">
        <v>3</v>
      </c>
      <c r="F735">
        <v>6010</v>
      </c>
      <c r="G735">
        <v>0</v>
      </c>
      <c r="H735">
        <v>8.08</v>
      </c>
      <c r="I735">
        <v>7471</v>
      </c>
      <c r="J735">
        <v>7964</v>
      </c>
      <c r="K735">
        <v>8104</v>
      </c>
      <c r="L735">
        <v>-24.31</v>
      </c>
      <c r="M735">
        <v>-32.51</v>
      </c>
      <c r="N735">
        <v>-34.840000000000003</v>
      </c>
      <c r="O735">
        <v>7.16</v>
      </c>
      <c r="P735" t="b">
        <v>1</v>
      </c>
      <c r="Q735">
        <v>0</v>
      </c>
      <c r="R735">
        <v>706</v>
      </c>
      <c r="U735" t="s">
        <v>2497</v>
      </c>
      <c r="V735" t="s">
        <v>3361</v>
      </c>
      <c r="W735">
        <v>0</v>
      </c>
      <c r="X735">
        <v>-95.1</v>
      </c>
      <c r="Y735" t="s">
        <v>4155</v>
      </c>
      <c r="Z735">
        <v>-20.001720973500749</v>
      </c>
      <c r="AA735">
        <v>1757</v>
      </c>
      <c r="AB735">
        <v>43729</v>
      </c>
      <c r="AC735" t="s">
        <v>5016</v>
      </c>
      <c r="AD735">
        <v>63.54</v>
      </c>
      <c r="AE735" t="s">
        <v>5880</v>
      </c>
      <c r="AF735" t="s">
        <v>6690</v>
      </c>
      <c r="AG735">
        <v>5196</v>
      </c>
      <c r="AH735">
        <v>108</v>
      </c>
      <c r="AI735">
        <v>713753</v>
      </c>
      <c r="AJ735">
        <v>6.48</v>
      </c>
    </row>
    <row r="736" spans="1:36">
      <c r="A736" s="1" t="s">
        <v>770</v>
      </c>
      <c r="B736" t="s">
        <v>1634</v>
      </c>
      <c r="C736" t="str">
        <f>HYPERLINK("https://finance.naver.com/item/coinfo.nhn?code=005800", "A005800")</f>
        <v>A005800</v>
      </c>
      <c r="D736" t="str">
        <f>HYPERLINK("http://comp.fnguide.com/SVO2/ASP/SVD_Consensus.asp?pGB=1&amp;gicode=A005800&amp;cID=&amp;MenuYn=Y&amp;ReportGB=&amp;NewMenuID=108&amp;stkGb=701", "신영와코루")</f>
        <v>신영와코루</v>
      </c>
      <c r="E736">
        <v>3</v>
      </c>
      <c r="F736">
        <v>110000</v>
      </c>
      <c r="G736">
        <v>0</v>
      </c>
      <c r="H736">
        <v>23.6</v>
      </c>
      <c r="I736">
        <v>61121</v>
      </c>
      <c r="J736">
        <v>231188</v>
      </c>
      <c r="K736">
        <v>279517</v>
      </c>
      <c r="L736">
        <v>44.44</v>
      </c>
      <c r="M736">
        <v>-110.17</v>
      </c>
      <c r="N736">
        <v>-154.11000000000001</v>
      </c>
      <c r="O736">
        <v>1.41</v>
      </c>
      <c r="P736" t="b">
        <v>1</v>
      </c>
      <c r="Q736">
        <v>0</v>
      </c>
      <c r="R736">
        <v>4238</v>
      </c>
      <c r="U736" t="s">
        <v>2498</v>
      </c>
      <c r="V736" t="s">
        <v>3362</v>
      </c>
      <c r="W736">
        <v>0</v>
      </c>
      <c r="X736">
        <v>91.8</v>
      </c>
      <c r="Y736" t="s">
        <v>4156</v>
      </c>
      <c r="Z736">
        <v>-8.3839693054225233</v>
      </c>
      <c r="AA736">
        <v>990</v>
      </c>
      <c r="AB736">
        <v>847</v>
      </c>
      <c r="AC736" t="s">
        <v>5017</v>
      </c>
      <c r="AD736">
        <v>49</v>
      </c>
      <c r="AE736" t="s">
        <v>5881</v>
      </c>
      <c r="AF736" t="s">
        <v>6691</v>
      </c>
      <c r="AG736">
        <v>1762</v>
      </c>
      <c r="AH736">
        <v>14</v>
      </c>
      <c r="AJ736">
        <v>1.5</v>
      </c>
    </row>
    <row r="737" spans="1:36">
      <c r="A737" s="1" t="s">
        <v>771</v>
      </c>
      <c r="B737" t="s">
        <v>1635</v>
      </c>
      <c r="C737" t="str">
        <f>HYPERLINK("https://finance.naver.com/item/coinfo.nhn?code=014580", "A014580")</f>
        <v>A014580</v>
      </c>
      <c r="D737" t="str">
        <f>HYPERLINK("http://comp.fnguide.com/SVO2/ASP/SVD_Consensus.asp?pGB=1&amp;gicode=A014580&amp;cID=&amp;MenuYn=Y&amp;ReportGB=&amp;NewMenuID=108&amp;stkGb=701", "태경비케이")</f>
        <v>태경비케이</v>
      </c>
      <c r="E737">
        <v>3</v>
      </c>
      <c r="F737">
        <v>3880</v>
      </c>
      <c r="G737">
        <v>0</v>
      </c>
      <c r="H737">
        <v>29.43</v>
      </c>
      <c r="I737">
        <v>2102</v>
      </c>
      <c r="J737">
        <v>3754</v>
      </c>
      <c r="K737">
        <v>4223</v>
      </c>
      <c r="L737">
        <v>45.82</v>
      </c>
      <c r="M737">
        <v>3.25</v>
      </c>
      <c r="N737">
        <v>-8.84</v>
      </c>
      <c r="O737">
        <v>3.44</v>
      </c>
      <c r="P737" t="b">
        <v>0</v>
      </c>
      <c r="Q737">
        <v>0</v>
      </c>
      <c r="R737">
        <v>148</v>
      </c>
      <c r="U737" t="s">
        <v>2499</v>
      </c>
      <c r="V737" t="s">
        <v>3363</v>
      </c>
      <c r="W737">
        <v>0</v>
      </c>
      <c r="X737">
        <v>5.9</v>
      </c>
      <c r="Y737" t="s">
        <v>4157</v>
      </c>
      <c r="Z737">
        <v>9.3166760149209882</v>
      </c>
      <c r="AA737">
        <v>1070</v>
      </c>
      <c r="AB737">
        <v>265920</v>
      </c>
      <c r="AC737" t="s">
        <v>5018</v>
      </c>
      <c r="AD737">
        <v>47.17</v>
      </c>
      <c r="AE737" t="s">
        <v>5882</v>
      </c>
      <c r="AF737" t="s">
        <v>6692</v>
      </c>
      <c r="AG737">
        <v>1864</v>
      </c>
      <c r="AH737">
        <v>39</v>
      </c>
      <c r="AJ737">
        <v>2.2999999999999998</v>
      </c>
    </row>
    <row r="738" spans="1:36">
      <c r="A738" s="1" t="s">
        <v>772</v>
      </c>
      <c r="B738" t="s">
        <v>1636</v>
      </c>
      <c r="C738" t="str">
        <f>HYPERLINK("https://finance.naver.com/item/coinfo.nhn?code=001720", "A001720")</f>
        <v>A001720</v>
      </c>
      <c r="D738" t="str">
        <f>HYPERLINK("http://comp.fnguide.com/SVO2/ASP/SVD_Consensus.asp?pGB=1&amp;gicode=A001720&amp;cID=&amp;MenuYn=Y&amp;ReportGB=&amp;NewMenuID=108&amp;stkGb=701", "신영증권")</f>
        <v>신영증권</v>
      </c>
      <c r="E738">
        <v>3</v>
      </c>
      <c r="F738">
        <v>53500</v>
      </c>
      <c r="G738">
        <v>0</v>
      </c>
      <c r="H738">
        <v>36.69</v>
      </c>
      <c r="I738">
        <v>98038</v>
      </c>
      <c r="J738">
        <v>150609</v>
      </c>
      <c r="K738">
        <v>165549</v>
      </c>
      <c r="L738">
        <v>-83.25</v>
      </c>
      <c r="M738">
        <v>-181.51</v>
      </c>
      <c r="N738">
        <v>-209.44</v>
      </c>
      <c r="O738">
        <v>4.2</v>
      </c>
      <c r="P738" t="b">
        <v>0</v>
      </c>
      <c r="Q738">
        <v>0</v>
      </c>
      <c r="R738">
        <v>1255</v>
      </c>
      <c r="U738" t="s">
        <v>2500</v>
      </c>
      <c r="V738" t="s">
        <v>3364</v>
      </c>
      <c r="W738">
        <v>0</v>
      </c>
      <c r="X738">
        <v>15.2</v>
      </c>
      <c r="Y738" t="s">
        <v>4158</v>
      </c>
      <c r="Z738">
        <v>7.1326996472456106</v>
      </c>
      <c r="AA738">
        <v>5022</v>
      </c>
      <c r="AB738">
        <v>7225</v>
      </c>
      <c r="AC738" t="s">
        <v>5019</v>
      </c>
      <c r="AD738">
        <v>28.05</v>
      </c>
      <c r="AE738" t="s">
        <v>5883</v>
      </c>
      <c r="AF738" t="s">
        <v>6693</v>
      </c>
      <c r="AG738">
        <v>1493</v>
      </c>
      <c r="AH738">
        <v>162</v>
      </c>
      <c r="AI738">
        <v>3243190</v>
      </c>
      <c r="AJ738">
        <v>5.43</v>
      </c>
    </row>
    <row r="739" spans="1:36">
      <c r="A739" s="1" t="s">
        <v>773</v>
      </c>
      <c r="B739" t="s">
        <v>1637</v>
      </c>
      <c r="C739" t="str">
        <f>HYPERLINK("https://finance.naver.com/item/coinfo.nhn?code=001430", "A001430")</f>
        <v>A001430</v>
      </c>
      <c r="D739" t="str">
        <f>HYPERLINK("http://comp.fnguide.com/SVO2/ASP/SVD_Consensus.asp?pGB=1&amp;gicode=A001430&amp;cID=&amp;MenuYn=Y&amp;ReportGB=&amp;NewMenuID=108&amp;stkGb=701", "세아베스틸")</f>
        <v>세아베스틸</v>
      </c>
      <c r="E739">
        <v>3</v>
      </c>
      <c r="F739">
        <v>10500</v>
      </c>
      <c r="G739">
        <v>-0.54</v>
      </c>
      <c r="H739">
        <v>31.78</v>
      </c>
      <c r="I739">
        <v>13265</v>
      </c>
      <c r="J739">
        <v>36552</v>
      </c>
      <c r="K739">
        <v>43170</v>
      </c>
      <c r="L739">
        <v>-26.33</v>
      </c>
      <c r="M739">
        <v>-248.11</v>
      </c>
      <c r="N739">
        <v>-311.14</v>
      </c>
      <c r="O739">
        <v>2.0299999999999998</v>
      </c>
      <c r="P739" t="b">
        <v>0</v>
      </c>
      <c r="Q739">
        <v>0</v>
      </c>
      <c r="R739">
        <v>480</v>
      </c>
      <c r="S739">
        <v>249</v>
      </c>
      <c r="T739">
        <v>-48.1</v>
      </c>
      <c r="U739" t="s">
        <v>2501</v>
      </c>
      <c r="V739" t="s">
        <v>3365</v>
      </c>
      <c r="W739">
        <v>-58.643904042673213</v>
      </c>
      <c r="X739">
        <v>-86.4</v>
      </c>
      <c r="Y739" t="s">
        <v>4159</v>
      </c>
      <c r="Z739">
        <v>-56.511534803196973</v>
      </c>
      <c r="AA739">
        <v>3766</v>
      </c>
      <c r="AB739">
        <v>184111</v>
      </c>
      <c r="AC739" t="s">
        <v>5020</v>
      </c>
      <c r="AD739">
        <v>62.66</v>
      </c>
      <c r="AE739" t="s">
        <v>5884</v>
      </c>
      <c r="AF739" t="s">
        <v>6694</v>
      </c>
      <c r="AG739">
        <v>29607</v>
      </c>
      <c r="AH739">
        <v>440</v>
      </c>
      <c r="AI739">
        <v>315689</v>
      </c>
      <c r="AJ739">
        <v>1.97</v>
      </c>
    </row>
    <row r="740" spans="1:36">
      <c r="A740" s="1" t="s">
        <v>774</v>
      </c>
      <c r="B740" t="s">
        <v>1638</v>
      </c>
      <c r="C740" t="str">
        <f>HYPERLINK("https://finance.naver.com/item/coinfo.nhn?code=078000", "A078000")</f>
        <v>A078000</v>
      </c>
      <c r="D740" t="str">
        <f>HYPERLINK("http://comp.fnguide.com/SVO2/ASP/SVD_Consensus.asp?pGB=1&amp;gicode=A078000&amp;cID=&amp;MenuYn=Y&amp;ReportGB=&amp;NewMenuID=108&amp;stkGb=701", "텔코웨어")</f>
        <v>텔코웨어</v>
      </c>
      <c r="E740">
        <v>3</v>
      </c>
      <c r="F740">
        <v>12450</v>
      </c>
      <c r="G740">
        <v>-2.19</v>
      </c>
      <c r="H740">
        <v>30.13</v>
      </c>
      <c r="I740">
        <v>11667</v>
      </c>
      <c r="J740">
        <v>16528</v>
      </c>
      <c r="K740">
        <v>17909</v>
      </c>
      <c r="L740">
        <v>6.29</v>
      </c>
      <c r="M740">
        <v>-32.75</v>
      </c>
      <c r="N740">
        <v>-43.85</v>
      </c>
      <c r="O740">
        <v>4.6900000000000004</v>
      </c>
      <c r="P740" t="b">
        <v>1</v>
      </c>
      <c r="Q740">
        <v>0</v>
      </c>
      <c r="R740">
        <v>441</v>
      </c>
      <c r="S740">
        <v>350</v>
      </c>
      <c r="T740">
        <v>-20.6</v>
      </c>
      <c r="U740" t="s">
        <v>2502</v>
      </c>
      <c r="V740" t="s">
        <v>3366</v>
      </c>
      <c r="W740">
        <v>-13.772511068417099</v>
      </c>
      <c r="X740">
        <v>-84</v>
      </c>
      <c r="Y740" t="s">
        <v>4160</v>
      </c>
      <c r="Z740">
        <v>-38.50434360926095</v>
      </c>
      <c r="AA740">
        <v>1208</v>
      </c>
      <c r="AB740">
        <v>55910</v>
      </c>
      <c r="AC740" t="s">
        <v>5021</v>
      </c>
      <c r="AD740">
        <v>29.19</v>
      </c>
      <c r="AE740" t="s">
        <v>5885</v>
      </c>
      <c r="AF740" t="s">
        <v>6695</v>
      </c>
      <c r="AG740">
        <v>418</v>
      </c>
      <c r="AH740">
        <v>34</v>
      </c>
      <c r="AI740">
        <v>4076074</v>
      </c>
      <c r="AJ740">
        <v>4.1399999999999997</v>
      </c>
    </row>
    <row r="741" spans="1:36">
      <c r="A741" s="1" t="s">
        <v>775</v>
      </c>
      <c r="B741" t="s">
        <v>1639</v>
      </c>
      <c r="C741" t="str">
        <f>HYPERLINK("https://finance.naver.com/item/coinfo.nhn?code=091810", "A091810")</f>
        <v>A091810</v>
      </c>
      <c r="D741" t="str">
        <f>HYPERLINK("http://comp.fnguide.com/SVO2/ASP/SVD_Consensus.asp?pGB=1&amp;gicode=A091810&amp;cID=&amp;MenuYn=Y&amp;ReportGB=&amp;NewMenuID=108&amp;stkGb=701", "티웨이항공")</f>
        <v>티웨이항공</v>
      </c>
      <c r="E741">
        <v>3</v>
      </c>
      <c r="F741">
        <v>2400</v>
      </c>
      <c r="G741">
        <v>0</v>
      </c>
      <c r="I741">
        <v>10275</v>
      </c>
      <c r="J741">
        <v>5125</v>
      </c>
      <c r="K741">
        <v>3661</v>
      </c>
      <c r="L741">
        <v>-328.14</v>
      </c>
      <c r="M741">
        <v>-113.54</v>
      </c>
      <c r="N741">
        <v>-52.55</v>
      </c>
      <c r="O741">
        <v>47.57</v>
      </c>
      <c r="P741" t="b">
        <v>0</v>
      </c>
      <c r="Q741">
        <v>0</v>
      </c>
      <c r="R741">
        <v>-582</v>
      </c>
      <c r="S741">
        <v>-1552</v>
      </c>
      <c r="T741">
        <v>166.7</v>
      </c>
      <c r="U741" t="s">
        <v>2503</v>
      </c>
      <c r="V741" t="s">
        <v>3367</v>
      </c>
      <c r="W741">
        <v>0</v>
      </c>
      <c r="X741">
        <v>0</v>
      </c>
      <c r="Y741" t="s">
        <v>4161</v>
      </c>
      <c r="Z741">
        <v>126.66919237622</v>
      </c>
      <c r="AA741">
        <v>2648</v>
      </c>
      <c r="AB741">
        <v>567205</v>
      </c>
      <c r="AC741" t="s">
        <v>5022</v>
      </c>
      <c r="AD741">
        <v>52.8</v>
      </c>
      <c r="AE741" t="s">
        <v>5886</v>
      </c>
      <c r="AF741" t="s">
        <v>6696</v>
      </c>
      <c r="AG741">
        <v>8104</v>
      </c>
      <c r="AH741">
        <v>-192</v>
      </c>
      <c r="AI741">
        <v>197473</v>
      </c>
    </row>
    <row r="742" spans="1:36">
      <c r="A742" s="1" t="s">
        <v>776</v>
      </c>
      <c r="B742" t="s">
        <v>1640</v>
      </c>
      <c r="C742" t="str">
        <f>HYPERLINK("https://finance.naver.com/item/coinfo.nhn?code=058650", "A058650")</f>
        <v>A058650</v>
      </c>
      <c r="D742" t="str">
        <f>HYPERLINK("http://comp.fnguide.com/SVO2/ASP/SVD_Consensus.asp?pGB=1&amp;gicode=A058650&amp;cID=&amp;MenuYn=Y&amp;ReportGB=&amp;NewMenuID=108&amp;stkGb=701", "세아홀딩스")</f>
        <v>세아홀딩스</v>
      </c>
      <c r="E742">
        <v>3</v>
      </c>
      <c r="F742">
        <v>77400</v>
      </c>
      <c r="G742">
        <v>0</v>
      </c>
      <c r="H742">
        <v>10.199999999999999</v>
      </c>
      <c r="I742">
        <v>162580</v>
      </c>
      <c r="J742">
        <v>361963</v>
      </c>
      <c r="K742">
        <v>418623</v>
      </c>
      <c r="L742">
        <v>-110.05</v>
      </c>
      <c r="M742">
        <v>-367.65</v>
      </c>
      <c r="N742">
        <v>-440.86</v>
      </c>
      <c r="O742">
        <v>2.61</v>
      </c>
      <c r="P742" t="b">
        <v>1</v>
      </c>
      <c r="Q742">
        <v>0</v>
      </c>
      <c r="R742">
        <v>7705</v>
      </c>
      <c r="U742" t="s">
        <v>2504</v>
      </c>
      <c r="V742" t="s">
        <v>3368</v>
      </c>
      <c r="W742">
        <v>0</v>
      </c>
      <c r="X742">
        <v>-71.2</v>
      </c>
      <c r="Y742" t="s">
        <v>4162</v>
      </c>
      <c r="Z742">
        <v>-40.162897865897918</v>
      </c>
      <c r="AA742">
        <v>3096</v>
      </c>
      <c r="AB742">
        <v>530</v>
      </c>
      <c r="AC742" t="s">
        <v>5023</v>
      </c>
      <c r="AD742">
        <v>89.98</v>
      </c>
      <c r="AE742" t="s">
        <v>5887</v>
      </c>
      <c r="AF742" t="s">
        <v>6697</v>
      </c>
      <c r="AG742">
        <v>49307</v>
      </c>
      <c r="AH742">
        <v>895</v>
      </c>
      <c r="AI742">
        <v>20737</v>
      </c>
      <c r="AJ742">
        <v>2.86</v>
      </c>
    </row>
    <row r="743" spans="1:36">
      <c r="A743" s="1" t="s">
        <v>777</v>
      </c>
      <c r="B743" t="s">
        <v>1641</v>
      </c>
      <c r="C743" t="str">
        <f>HYPERLINK("https://finance.naver.com/item/coinfo.nhn?code=058430", "A058430")</f>
        <v>A058430</v>
      </c>
      <c r="D743" t="str">
        <f>HYPERLINK("http://comp.fnguide.com/SVO2/ASP/SVD_Consensus.asp?pGB=1&amp;gicode=A058430&amp;cID=&amp;MenuYn=Y&amp;ReportGB=&amp;NewMenuID=108&amp;stkGb=701", "포스코강판")</f>
        <v>포스코강판</v>
      </c>
      <c r="E743">
        <v>3</v>
      </c>
      <c r="F743">
        <v>17350</v>
      </c>
      <c r="G743">
        <v>0</v>
      </c>
      <c r="H743">
        <v>38.299999999999997</v>
      </c>
      <c r="I743">
        <v>17326</v>
      </c>
      <c r="J743">
        <v>28712</v>
      </c>
      <c r="K743">
        <v>31948</v>
      </c>
      <c r="L743">
        <v>0.14000000000000001</v>
      </c>
      <c r="M743">
        <v>-65.489999999999995</v>
      </c>
      <c r="N743">
        <v>-84.14</v>
      </c>
      <c r="O743">
        <v>3.79</v>
      </c>
      <c r="P743" t="b">
        <v>0</v>
      </c>
      <c r="Q743">
        <v>0</v>
      </c>
      <c r="R743">
        <v>446</v>
      </c>
      <c r="U743" t="s">
        <v>2505</v>
      </c>
      <c r="V743" t="s">
        <v>3369</v>
      </c>
      <c r="W743">
        <v>0</v>
      </c>
      <c r="X743">
        <v>47.4</v>
      </c>
      <c r="Y743" t="s">
        <v>4163</v>
      </c>
      <c r="Z743">
        <v>-16.00164569791723</v>
      </c>
      <c r="AA743">
        <v>1041</v>
      </c>
      <c r="AB743">
        <v>57846</v>
      </c>
      <c r="AC743" t="s">
        <v>5024</v>
      </c>
      <c r="AD743">
        <v>56.87</v>
      </c>
      <c r="AE743" t="s">
        <v>5888</v>
      </c>
      <c r="AF743" t="s">
        <v>6698</v>
      </c>
      <c r="AG743">
        <v>9167</v>
      </c>
      <c r="AH743">
        <v>100</v>
      </c>
      <c r="AJ743">
        <v>2.34</v>
      </c>
    </row>
    <row r="744" spans="1:36">
      <c r="A744" s="1" t="s">
        <v>778</v>
      </c>
      <c r="B744" t="s">
        <v>1642</v>
      </c>
      <c r="C744" t="str">
        <f>HYPERLINK("https://finance.naver.com/item/coinfo.nhn?code=010770", "A010770")</f>
        <v>A010770</v>
      </c>
      <c r="D744" t="str">
        <f>HYPERLINK("http://comp.fnguide.com/SVO2/ASP/SVD_Consensus.asp?pGB=1&amp;gicode=A010770&amp;cID=&amp;MenuYn=Y&amp;ReportGB=&amp;NewMenuID=108&amp;stkGb=701", "평화홀딩스")</f>
        <v>평화홀딩스</v>
      </c>
      <c r="E744">
        <v>3</v>
      </c>
      <c r="F744">
        <v>3460</v>
      </c>
      <c r="G744">
        <v>0</v>
      </c>
      <c r="I744">
        <v>0</v>
      </c>
      <c r="J744">
        <v>5063</v>
      </c>
      <c r="K744">
        <v>6502</v>
      </c>
      <c r="L744">
        <v>100</v>
      </c>
      <c r="M744">
        <v>-46.33</v>
      </c>
      <c r="N744">
        <v>-87.92</v>
      </c>
      <c r="O744">
        <v>0</v>
      </c>
      <c r="P744" t="b">
        <v>0</v>
      </c>
      <c r="Q744">
        <v>0</v>
      </c>
      <c r="R744">
        <v>-942</v>
      </c>
      <c r="U744" t="s">
        <v>2506</v>
      </c>
      <c r="V744" t="s">
        <v>3370</v>
      </c>
      <c r="W744">
        <v>0</v>
      </c>
      <c r="X744">
        <v>0</v>
      </c>
      <c r="Y744" t="s">
        <v>4164</v>
      </c>
      <c r="Z744">
        <v>1028.4000000000001</v>
      </c>
      <c r="AA744">
        <v>506</v>
      </c>
      <c r="AB744">
        <v>33102</v>
      </c>
      <c r="AC744" t="s">
        <v>5025</v>
      </c>
      <c r="AD744">
        <v>52.34</v>
      </c>
      <c r="AE744" t="s">
        <v>5889</v>
      </c>
      <c r="AF744" t="s">
        <v>6021</v>
      </c>
      <c r="AG744">
        <v>5811</v>
      </c>
      <c r="AH744">
        <v>-36</v>
      </c>
      <c r="AI744">
        <v>769331</v>
      </c>
      <c r="AJ744">
        <v>4.17</v>
      </c>
    </row>
    <row r="745" spans="1:36">
      <c r="A745" s="1" t="s">
        <v>779</v>
      </c>
      <c r="B745" t="s">
        <v>1643</v>
      </c>
      <c r="C745" t="str">
        <f>HYPERLINK("https://finance.naver.com/item/coinfo.nhn?code=306200", "A306200")</f>
        <v>A306200</v>
      </c>
      <c r="D745" t="str">
        <f>HYPERLINK("http://comp.fnguide.com/SVO2/ASP/SVD_Consensus.asp?pGB=1&amp;gicode=A306200&amp;cID=&amp;MenuYn=Y&amp;ReportGB=&amp;NewMenuID=108&amp;stkGb=701", "세아제강")</f>
        <v>세아제강</v>
      </c>
      <c r="E745">
        <v>3</v>
      </c>
      <c r="F745">
        <v>89300</v>
      </c>
      <c r="G745">
        <v>0</v>
      </c>
      <c r="H745">
        <v>6.95</v>
      </c>
      <c r="I745">
        <v>56779</v>
      </c>
      <c r="J745">
        <v>145353</v>
      </c>
      <c r="K745">
        <v>170524</v>
      </c>
      <c r="L745">
        <v>36.42</v>
      </c>
      <c r="M745">
        <v>-62.77</v>
      </c>
      <c r="N745">
        <v>-90.96</v>
      </c>
      <c r="O745">
        <v>2.21</v>
      </c>
      <c r="P745" t="b">
        <v>1</v>
      </c>
      <c r="Q745">
        <v>0</v>
      </c>
      <c r="R745">
        <v>8762</v>
      </c>
      <c r="U745" t="s">
        <v>2507</v>
      </c>
      <c r="V745" t="s">
        <v>3371</v>
      </c>
      <c r="W745">
        <v>0</v>
      </c>
      <c r="X745">
        <v>8.4</v>
      </c>
      <c r="Y745" t="s">
        <v>4165</v>
      </c>
      <c r="Z745">
        <v>0</v>
      </c>
      <c r="AA745">
        <v>2533</v>
      </c>
      <c r="AB745">
        <v>9787</v>
      </c>
      <c r="AC745" t="s">
        <v>5026</v>
      </c>
      <c r="AD745">
        <v>59.56</v>
      </c>
      <c r="AE745" t="s">
        <v>5890</v>
      </c>
      <c r="AF745" t="s">
        <v>6699</v>
      </c>
      <c r="AG745">
        <v>12272</v>
      </c>
      <c r="AH745">
        <v>459</v>
      </c>
      <c r="AI745">
        <v>36200</v>
      </c>
      <c r="AJ745">
        <v>3.28</v>
      </c>
    </row>
    <row r="746" spans="1:36">
      <c r="A746" s="1" t="s">
        <v>780</v>
      </c>
      <c r="B746" t="s">
        <v>1644</v>
      </c>
      <c r="C746" t="str">
        <f>HYPERLINK("https://finance.naver.com/item/coinfo.nhn?code=016800", "A016800")</f>
        <v>A016800</v>
      </c>
      <c r="D746" t="str">
        <f>HYPERLINK("http://comp.fnguide.com/SVO2/ASP/SVD_Consensus.asp?pGB=1&amp;gicode=A016800&amp;cID=&amp;MenuYn=Y&amp;ReportGB=&amp;NewMenuID=108&amp;stkGb=701", "퍼시스")</f>
        <v>퍼시스</v>
      </c>
      <c r="E746">
        <v>3</v>
      </c>
      <c r="F746">
        <v>30700</v>
      </c>
      <c r="G746">
        <v>0</v>
      </c>
      <c r="H746">
        <v>9.99</v>
      </c>
      <c r="I746">
        <v>52821</v>
      </c>
      <c r="J746">
        <v>50134</v>
      </c>
      <c r="K746">
        <v>49370</v>
      </c>
      <c r="L746">
        <v>-72.06</v>
      </c>
      <c r="M746">
        <v>-63.3</v>
      </c>
      <c r="N746">
        <v>-60.82</v>
      </c>
      <c r="O746">
        <v>8.67</v>
      </c>
      <c r="P746" t="b">
        <v>1</v>
      </c>
      <c r="Q746">
        <v>0</v>
      </c>
      <c r="R746">
        <v>2953</v>
      </c>
      <c r="U746" t="s">
        <v>2508</v>
      </c>
      <c r="V746" t="s">
        <v>3372</v>
      </c>
      <c r="W746">
        <v>0</v>
      </c>
      <c r="X746">
        <v>11.3</v>
      </c>
      <c r="Y746" t="s">
        <v>4166</v>
      </c>
      <c r="Z746">
        <v>4.7071967565230688</v>
      </c>
      <c r="AA746">
        <v>3531</v>
      </c>
      <c r="AB746">
        <v>1274</v>
      </c>
      <c r="AC746" t="s">
        <v>5027</v>
      </c>
      <c r="AD746">
        <v>54.71</v>
      </c>
      <c r="AE746" t="s">
        <v>5891</v>
      </c>
      <c r="AF746" t="s">
        <v>6700</v>
      </c>
      <c r="AG746">
        <v>3047</v>
      </c>
      <c r="AH746">
        <v>251</v>
      </c>
      <c r="AI746">
        <v>2319969</v>
      </c>
      <c r="AJ746">
        <v>3.39</v>
      </c>
    </row>
    <row r="747" spans="1:36">
      <c r="A747" s="1" t="s">
        <v>781</v>
      </c>
      <c r="B747" t="s">
        <v>1645</v>
      </c>
      <c r="C747" t="str">
        <f>HYPERLINK("https://finance.naver.com/item/coinfo.nhn?code=003030", "A003030")</f>
        <v>A003030</v>
      </c>
      <c r="D747" t="str">
        <f>HYPERLINK("http://comp.fnguide.com/SVO2/ASP/SVD_Consensus.asp?pGB=1&amp;gicode=A003030&amp;cID=&amp;MenuYn=Y&amp;ReportGB=&amp;NewMenuID=108&amp;stkGb=701", "세아제강지주")</f>
        <v>세아제강지주</v>
      </c>
      <c r="E747">
        <v>3</v>
      </c>
      <c r="F747">
        <v>45200</v>
      </c>
      <c r="G747">
        <v>0</v>
      </c>
      <c r="I747">
        <v>301469</v>
      </c>
      <c r="J747">
        <v>263769</v>
      </c>
      <c r="K747">
        <v>253055</v>
      </c>
      <c r="L747">
        <v>-566.97</v>
      </c>
      <c r="M747">
        <v>-483.56</v>
      </c>
      <c r="N747">
        <v>-459.86</v>
      </c>
      <c r="O747">
        <v>10.02</v>
      </c>
      <c r="P747" t="b">
        <v>0</v>
      </c>
      <c r="Q747">
        <v>0</v>
      </c>
      <c r="R747">
        <v>-742</v>
      </c>
      <c r="U747" t="s">
        <v>2509</v>
      </c>
      <c r="V747" t="s">
        <v>3373</v>
      </c>
      <c r="W747">
        <v>0</v>
      </c>
      <c r="X747">
        <v>-17.2</v>
      </c>
      <c r="Y747" t="s">
        <v>4167</v>
      </c>
      <c r="Z747">
        <v>61.308560420072837</v>
      </c>
      <c r="AA747">
        <v>1872</v>
      </c>
      <c r="AB747">
        <v>11598</v>
      </c>
      <c r="AC747" t="s">
        <v>5028</v>
      </c>
      <c r="AD747">
        <v>64.319999999999993</v>
      </c>
      <c r="AE747" t="s">
        <v>5892</v>
      </c>
      <c r="AF747" t="s">
        <v>6701</v>
      </c>
      <c r="AG747">
        <v>26439</v>
      </c>
      <c r="AH747">
        <v>631</v>
      </c>
      <c r="AI747">
        <v>101196</v>
      </c>
      <c r="AJ747">
        <v>3.16</v>
      </c>
    </row>
    <row r="748" spans="1:36">
      <c r="A748" s="1" t="s">
        <v>782</v>
      </c>
      <c r="B748" t="s">
        <v>1646</v>
      </c>
      <c r="C748" t="str">
        <f>HYPERLINK("https://finance.naver.com/item/coinfo.nhn?code=019440", "A019440")</f>
        <v>A019440</v>
      </c>
      <c r="D748" t="str">
        <f>HYPERLINK("http://comp.fnguide.com/SVO2/ASP/SVD_Consensus.asp?pGB=1&amp;gicode=A019440&amp;cID=&amp;MenuYn=Y&amp;ReportGB=&amp;NewMenuID=108&amp;stkGb=701", "세아특수강")</f>
        <v>세아특수강</v>
      </c>
      <c r="E748">
        <v>3</v>
      </c>
      <c r="F748">
        <v>12400</v>
      </c>
      <c r="G748">
        <v>0</v>
      </c>
      <c r="H748">
        <v>10.51</v>
      </c>
      <c r="I748">
        <v>20191</v>
      </c>
      <c r="J748">
        <v>30882</v>
      </c>
      <c r="K748">
        <v>33920</v>
      </c>
      <c r="L748">
        <v>-62.83</v>
      </c>
      <c r="M748">
        <v>-149.05000000000001</v>
      </c>
      <c r="N748">
        <v>-173.55</v>
      </c>
      <c r="O748">
        <v>4.22</v>
      </c>
      <c r="P748" t="b">
        <v>1</v>
      </c>
      <c r="Q748">
        <v>0</v>
      </c>
      <c r="R748">
        <v>1280</v>
      </c>
      <c r="U748" t="s">
        <v>2510</v>
      </c>
      <c r="V748" t="s">
        <v>3374</v>
      </c>
      <c r="W748">
        <v>0</v>
      </c>
      <c r="X748">
        <v>0</v>
      </c>
      <c r="Y748" t="s">
        <v>4168</v>
      </c>
      <c r="Z748">
        <v>-13.238318399525831</v>
      </c>
      <c r="AA748">
        <v>1063</v>
      </c>
      <c r="AB748">
        <v>20450</v>
      </c>
      <c r="AC748" t="s">
        <v>5029</v>
      </c>
      <c r="AD748">
        <v>70.59</v>
      </c>
      <c r="AE748" t="s">
        <v>5893</v>
      </c>
      <c r="AF748" t="s">
        <v>6702</v>
      </c>
      <c r="AG748">
        <v>7175</v>
      </c>
      <c r="AH748">
        <v>195</v>
      </c>
      <c r="AI748">
        <v>213731</v>
      </c>
      <c r="AJ748">
        <v>6.69</v>
      </c>
    </row>
    <row r="749" spans="1:36">
      <c r="A749" s="1" t="s">
        <v>783</v>
      </c>
      <c r="B749" t="s">
        <v>1647</v>
      </c>
      <c r="C749" t="str">
        <f>HYPERLINK("https://finance.naver.com/item/coinfo.nhn?code=129260", "A129260")</f>
        <v>A129260</v>
      </c>
      <c r="D749" t="str">
        <f>HYPERLINK("http://comp.fnguide.com/SVO2/ASP/SVD_Consensus.asp?pGB=1&amp;gicode=A129260&amp;cID=&amp;MenuYn=Y&amp;ReportGB=&amp;NewMenuID=108&amp;stkGb=701", "인터지스")</f>
        <v>인터지스</v>
      </c>
      <c r="E749">
        <v>3</v>
      </c>
      <c r="F749">
        <v>3190</v>
      </c>
      <c r="G749">
        <v>0</v>
      </c>
      <c r="I749">
        <v>376</v>
      </c>
      <c r="J749">
        <v>3892</v>
      </c>
      <c r="K749">
        <v>4892</v>
      </c>
      <c r="L749">
        <v>88.21</v>
      </c>
      <c r="M749">
        <v>-22.02</v>
      </c>
      <c r="N749">
        <v>-53.34</v>
      </c>
      <c r="O749">
        <v>0.48</v>
      </c>
      <c r="P749" t="b">
        <v>0</v>
      </c>
      <c r="Q749">
        <v>0</v>
      </c>
      <c r="R749">
        <v>-902</v>
      </c>
      <c r="U749" t="s">
        <v>2511</v>
      </c>
      <c r="V749" t="s">
        <v>3375</v>
      </c>
      <c r="W749">
        <v>0</v>
      </c>
      <c r="X749">
        <v>0</v>
      </c>
      <c r="Y749" t="s">
        <v>4169</v>
      </c>
      <c r="Z749">
        <v>-31.477230061825431</v>
      </c>
      <c r="AA749">
        <v>949</v>
      </c>
      <c r="AB749">
        <v>1381969</v>
      </c>
      <c r="AC749" t="s">
        <v>5030</v>
      </c>
      <c r="AD749">
        <v>58.92</v>
      </c>
      <c r="AE749" t="s">
        <v>5894</v>
      </c>
      <c r="AF749" t="s">
        <v>6703</v>
      </c>
      <c r="AG749">
        <v>4782</v>
      </c>
      <c r="AH749">
        <v>65</v>
      </c>
      <c r="AI749">
        <v>1533742</v>
      </c>
    </row>
    <row r="750" spans="1:36">
      <c r="A750" s="1" t="s">
        <v>784</v>
      </c>
      <c r="B750" t="s">
        <v>1648</v>
      </c>
      <c r="C750" t="str">
        <f>HYPERLINK("https://finance.naver.com/item/coinfo.nhn?code=028670", "A028670")</f>
        <v>A028670</v>
      </c>
      <c r="D750" t="str">
        <f>HYPERLINK("http://comp.fnguide.com/SVO2/ASP/SVD_Consensus.asp?pGB=1&amp;gicode=A028670&amp;cID=&amp;MenuYn=Y&amp;ReportGB=&amp;NewMenuID=108&amp;stkGb=701", "팬오션")</f>
        <v>팬오션</v>
      </c>
      <c r="E750">
        <v>3</v>
      </c>
      <c r="F750">
        <v>4720</v>
      </c>
      <c r="G750">
        <v>15.03</v>
      </c>
      <c r="H750">
        <v>16</v>
      </c>
      <c r="I750">
        <v>3898</v>
      </c>
      <c r="J750">
        <v>4801</v>
      </c>
      <c r="K750">
        <v>5058</v>
      </c>
      <c r="L750">
        <v>17.420000000000002</v>
      </c>
      <c r="M750">
        <v>-1.72</v>
      </c>
      <c r="N750">
        <v>-7.16</v>
      </c>
      <c r="O750">
        <v>5.73</v>
      </c>
      <c r="P750" t="b">
        <v>0</v>
      </c>
      <c r="Q750">
        <v>0</v>
      </c>
      <c r="R750">
        <v>284</v>
      </c>
      <c r="S750">
        <v>277</v>
      </c>
      <c r="T750">
        <v>-2.5</v>
      </c>
      <c r="U750" t="s">
        <v>2512</v>
      </c>
      <c r="V750" t="s">
        <v>3376</v>
      </c>
      <c r="W750">
        <v>1.0646026585244379</v>
      </c>
      <c r="X750">
        <v>-13.6</v>
      </c>
      <c r="Y750" t="s">
        <v>4170</v>
      </c>
      <c r="Z750">
        <v>14.455768508625001</v>
      </c>
      <c r="AA750">
        <v>25232</v>
      </c>
      <c r="AB750">
        <v>16312399</v>
      </c>
      <c r="AC750" t="s">
        <v>5031</v>
      </c>
      <c r="AD750">
        <v>54.9</v>
      </c>
      <c r="AE750" t="s">
        <v>5895</v>
      </c>
      <c r="AF750" t="s">
        <v>6704</v>
      </c>
      <c r="AG750">
        <v>24679</v>
      </c>
      <c r="AH750">
        <v>2100</v>
      </c>
    </row>
    <row r="751" spans="1:36">
      <c r="A751" s="1" t="s">
        <v>785</v>
      </c>
      <c r="B751" t="s">
        <v>1649</v>
      </c>
      <c r="C751" t="str">
        <f>HYPERLINK("https://finance.naver.com/item/coinfo.nhn?code=021820", "A021820")</f>
        <v>A021820</v>
      </c>
      <c r="D751" t="str">
        <f>HYPERLINK("http://comp.fnguide.com/SVO2/ASP/SVD_Consensus.asp?pGB=1&amp;gicode=A021820&amp;cID=&amp;MenuYn=Y&amp;ReportGB=&amp;NewMenuID=108&amp;stkGb=701", "세원정공")</f>
        <v>세원정공</v>
      </c>
      <c r="E751">
        <v>3</v>
      </c>
      <c r="F751">
        <v>8090</v>
      </c>
      <c r="G751">
        <v>0</v>
      </c>
      <c r="H751">
        <v>10.65</v>
      </c>
      <c r="I751">
        <v>4839</v>
      </c>
      <c r="J751">
        <v>26921</v>
      </c>
      <c r="K751">
        <v>33196</v>
      </c>
      <c r="L751">
        <v>40.18</v>
      </c>
      <c r="M751">
        <v>-232.77</v>
      </c>
      <c r="N751">
        <v>-310.33999999999997</v>
      </c>
      <c r="O751">
        <v>0.93</v>
      </c>
      <c r="P751" t="b">
        <v>1</v>
      </c>
      <c r="Q751">
        <v>0</v>
      </c>
      <c r="R751">
        <v>760</v>
      </c>
      <c r="U751" t="s">
        <v>2513</v>
      </c>
      <c r="V751" t="s">
        <v>3377</v>
      </c>
      <c r="W751">
        <v>0</v>
      </c>
      <c r="X751">
        <v>0</v>
      </c>
      <c r="Y751" t="s">
        <v>4171</v>
      </c>
      <c r="Z751">
        <v>-93.1</v>
      </c>
      <c r="AA751">
        <v>809</v>
      </c>
      <c r="AB751">
        <v>0</v>
      </c>
      <c r="AC751" t="s">
        <v>5032</v>
      </c>
      <c r="AD751">
        <v>46.64</v>
      </c>
      <c r="AE751" t="s">
        <v>5896</v>
      </c>
      <c r="AF751" t="s">
        <v>6705</v>
      </c>
      <c r="AG751">
        <v>1569</v>
      </c>
      <c r="AH751">
        <v>-85</v>
      </c>
      <c r="AJ751">
        <v>0.31</v>
      </c>
    </row>
    <row r="752" spans="1:36">
      <c r="A752" s="1" t="s">
        <v>786</v>
      </c>
      <c r="B752" t="s">
        <v>1650</v>
      </c>
      <c r="C752" t="str">
        <f>HYPERLINK("https://finance.naver.com/item/coinfo.nhn?code=067830", "A067830")</f>
        <v>A067830</v>
      </c>
      <c r="D752" t="str">
        <f>HYPERLINK("http://comp.fnguide.com/SVO2/ASP/SVD_Consensus.asp?pGB=1&amp;gicode=A067830&amp;cID=&amp;MenuYn=Y&amp;ReportGB=&amp;NewMenuID=108&amp;stkGb=701", "세이브존I&amp;C")</f>
        <v>세이브존I&amp;C</v>
      </c>
      <c r="E752">
        <v>3</v>
      </c>
      <c r="F752">
        <v>2855</v>
      </c>
      <c r="G752">
        <v>0</v>
      </c>
      <c r="H752">
        <v>6.01</v>
      </c>
      <c r="I752">
        <v>8746</v>
      </c>
      <c r="J752">
        <v>10620</v>
      </c>
      <c r="K752">
        <v>11152</v>
      </c>
      <c r="L752">
        <v>-206.33</v>
      </c>
      <c r="M752">
        <v>-271.97000000000003</v>
      </c>
      <c r="N752">
        <v>-290.62</v>
      </c>
      <c r="O752">
        <v>5.85</v>
      </c>
      <c r="P752" t="b">
        <v>1</v>
      </c>
      <c r="Q752">
        <v>0</v>
      </c>
      <c r="R752">
        <v>542</v>
      </c>
      <c r="U752" t="s">
        <v>2514</v>
      </c>
      <c r="V752" t="s">
        <v>3378</v>
      </c>
      <c r="W752">
        <v>0</v>
      </c>
      <c r="X752">
        <v>-58.1</v>
      </c>
      <c r="Y752" t="s">
        <v>4172</v>
      </c>
      <c r="Z752">
        <v>-18.361615273975112</v>
      </c>
      <c r="AA752">
        <v>1172</v>
      </c>
      <c r="AB752">
        <v>147545</v>
      </c>
      <c r="AC752" t="s">
        <v>5033</v>
      </c>
      <c r="AD752">
        <v>53.22</v>
      </c>
      <c r="AE752" t="s">
        <v>5897</v>
      </c>
      <c r="AF752" t="s">
        <v>6706</v>
      </c>
      <c r="AG752">
        <v>1592</v>
      </c>
      <c r="AH752">
        <v>295</v>
      </c>
      <c r="AI752">
        <v>3276263</v>
      </c>
      <c r="AJ752">
        <v>0.92</v>
      </c>
    </row>
    <row r="753" spans="1:36">
      <c r="A753" s="1" t="s">
        <v>787</v>
      </c>
      <c r="B753" t="s">
        <v>1651</v>
      </c>
      <c r="C753" t="str">
        <f>HYPERLINK("https://finance.naver.com/item/coinfo.nhn?code=036580", "A036580")</f>
        <v>A036580</v>
      </c>
      <c r="D753" t="str">
        <f>HYPERLINK("http://comp.fnguide.com/SVO2/ASP/SVD_Consensus.asp?pGB=1&amp;gicode=A036580&amp;cID=&amp;MenuYn=Y&amp;ReportGB=&amp;NewMenuID=108&amp;stkGb=701", "팜스코")</f>
        <v>팜스코</v>
      </c>
      <c r="E753">
        <v>3</v>
      </c>
      <c r="F753">
        <v>4400</v>
      </c>
      <c r="G753">
        <v>0</v>
      </c>
      <c r="I753">
        <v>2717</v>
      </c>
      <c r="J753">
        <v>6116</v>
      </c>
      <c r="K753">
        <v>7082</v>
      </c>
      <c r="L753">
        <v>38.25</v>
      </c>
      <c r="M753">
        <v>-39.01</v>
      </c>
      <c r="N753">
        <v>-60.96</v>
      </c>
      <c r="O753">
        <v>2.58</v>
      </c>
      <c r="P753" t="b">
        <v>0</v>
      </c>
      <c r="Q753">
        <v>0</v>
      </c>
      <c r="R753">
        <v>-225</v>
      </c>
      <c r="U753" t="s">
        <v>2515</v>
      </c>
      <c r="V753" t="s">
        <v>3379</v>
      </c>
      <c r="W753">
        <v>0</v>
      </c>
      <c r="X753">
        <v>0</v>
      </c>
      <c r="Y753" t="s">
        <v>4173</v>
      </c>
      <c r="Z753">
        <v>-30.316657507709859</v>
      </c>
      <c r="AA753">
        <v>1616</v>
      </c>
      <c r="AB753">
        <v>124826</v>
      </c>
      <c r="AC753" t="s">
        <v>5034</v>
      </c>
      <c r="AD753">
        <v>56.57</v>
      </c>
      <c r="AE753" t="s">
        <v>5898</v>
      </c>
      <c r="AF753" t="s">
        <v>6707</v>
      </c>
      <c r="AG753">
        <v>11650</v>
      </c>
      <c r="AH753">
        <v>202</v>
      </c>
      <c r="AI753">
        <v>1709107</v>
      </c>
      <c r="AJ753">
        <v>1.0900000000000001</v>
      </c>
    </row>
    <row r="754" spans="1:36">
      <c r="A754" s="1" t="s">
        <v>788</v>
      </c>
      <c r="B754" t="s">
        <v>1652</v>
      </c>
      <c r="C754" t="str">
        <f>HYPERLINK("https://finance.naver.com/item/coinfo.nhn?code=033530", "A033530")</f>
        <v>A033530</v>
      </c>
      <c r="D754" t="str">
        <f>HYPERLINK("http://comp.fnguide.com/SVO2/ASP/SVD_Consensus.asp?pGB=1&amp;gicode=A033530&amp;cID=&amp;MenuYn=Y&amp;ReportGB=&amp;NewMenuID=108&amp;stkGb=701", "세종공업")</f>
        <v>세종공업</v>
      </c>
      <c r="E754">
        <v>3</v>
      </c>
      <c r="F754">
        <v>8680</v>
      </c>
      <c r="G754">
        <v>0</v>
      </c>
      <c r="H754">
        <v>18.79</v>
      </c>
      <c r="I754">
        <v>1328</v>
      </c>
      <c r="J754">
        <v>8874</v>
      </c>
      <c r="K754">
        <v>11019</v>
      </c>
      <c r="L754">
        <v>84.7</v>
      </c>
      <c r="M754">
        <v>-2.2400000000000002</v>
      </c>
      <c r="N754">
        <v>-26.95</v>
      </c>
      <c r="O754">
        <v>0.76</v>
      </c>
      <c r="P754" t="b">
        <v>0</v>
      </c>
      <c r="Q754">
        <v>0</v>
      </c>
      <c r="R754">
        <v>247</v>
      </c>
      <c r="U754" t="s">
        <v>2516</v>
      </c>
      <c r="V754" t="s">
        <v>3380</v>
      </c>
      <c r="W754">
        <v>0</v>
      </c>
      <c r="X754">
        <v>0</v>
      </c>
      <c r="Y754" t="s">
        <v>4174</v>
      </c>
      <c r="Z754">
        <v>-36</v>
      </c>
      <c r="AA754">
        <v>2410</v>
      </c>
      <c r="AB754">
        <v>1271033</v>
      </c>
      <c r="AC754" t="s">
        <v>5035</v>
      </c>
      <c r="AD754">
        <v>43.87</v>
      </c>
      <c r="AE754" t="s">
        <v>5899</v>
      </c>
      <c r="AF754" t="s">
        <v>6708</v>
      </c>
      <c r="AG754">
        <v>12217</v>
      </c>
      <c r="AH754">
        <v>132</v>
      </c>
      <c r="AI754">
        <v>844382</v>
      </c>
      <c r="AJ754">
        <v>1.08</v>
      </c>
    </row>
    <row r="755" spans="1:36">
      <c r="A755" s="1" t="s">
        <v>789</v>
      </c>
      <c r="B755" t="s">
        <v>1653</v>
      </c>
      <c r="C755" t="str">
        <f>HYPERLINK("https://finance.naver.com/item/coinfo.nhn?code=004870", "A004870")</f>
        <v>A004870</v>
      </c>
      <c r="D755" t="str">
        <f>HYPERLINK("http://comp.fnguide.com/SVO2/ASP/SVD_Consensus.asp?pGB=1&amp;gicode=A004870&amp;cID=&amp;MenuYn=Y&amp;ReportGB=&amp;NewMenuID=108&amp;stkGb=701", "티웨이홀딩스")</f>
        <v>티웨이홀딩스</v>
      </c>
      <c r="E755">
        <v>3</v>
      </c>
      <c r="F755">
        <v>1040</v>
      </c>
      <c r="G755">
        <v>0</v>
      </c>
      <c r="I755">
        <v>3639</v>
      </c>
      <c r="J755">
        <v>2714</v>
      </c>
      <c r="K755">
        <v>2452</v>
      </c>
      <c r="L755">
        <v>-249.92</v>
      </c>
      <c r="M755">
        <v>-161</v>
      </c>
      <c r="N755">
        <v>-135.74</v>
      </c>
      <c r="O755">
        <v>13.74</v>
      </c>
      <c r="P755" t="b">
        <v>0</v>
      </c>
      <c r="Q755">
        <v>0</v>
      </c>
      <c r="R755">
        <v>-385</v>
      </c>
      <c r="U755" t="s">
        <v>2517</v>
      </c>
      <c r="V755" t="s">
        <v>3381</v>
      </c>
      <c r="W755">
        <v>0</v>
      </c>
      <c r="X755">
        <v>0</v>
      </c>
      <c r="Y755" t="s">
        <v>4175</v>
      </c>
      <c r="Z755">
        <v>110.05829674029189</v>
      </c>
      <c r="AA755">
        <v>797</v>
      </c>
      <c r="AB755">
        <v>214494</v>
      </c>
      <c r="AC755" t="s">
        <v>5036</v>
      </c>
      <c r="AD755">
        <v>60.81</v>
      </c>
      <c r="AE755" t="s">
        <v>5900</v>
      </c>
      <c r="AF755" t="s">
        <v>6709</v>
      </c>
      <c r="AG755">
        <v>8175</v>
      </c>
      <c r="AH755">
        <v>-238</v>
      </c>
      <c r="AI755">
        <v>509</v>
      </c>
    </row>
    <row r="756" spans="1:36">
      <c r="A756" s="1" t="s">
        <v>790</v>
      </c>
      <c r="B756" t="s">
        <v>1654</v>
      </c>
      <c r="C756" t="str">
        <f>HYPERLINK("https://finance.naver.com/item/coinfo.nhn?code=010640", "A010640")</f>
        <v>A010640</v>
      </c>
      <c r="D756" t="str">
        <f>HYPERLINK("http://comp.fnguide.com/SVO2/ASP/SVD_Consensus.asp?pGB=1&amp;gicode=A010640&amp;cID=&amp;MenuYn=Y&amp;ReportGB=&amp;NewMenuID=108&amp;stkGb=701", "진양폴리")</f>
        <v>진양폴리</v>
      </c>
      <c r="E756">
        <v>2</v>
      </c>
      <c r="F756">
        <v>3680</v>
      </c>
      <c r="G756">
        <v>0</v>
      </c>
      <c r="H756">
        <v>5.16</v>
      </c>
      <c r="I756">
        <v>6290</v>
      </c>
      <c r="J756">
        <v>4106</v>
      </c>
      <c r="K756">
        <v>3485</v>
      </c>
      <c r="L756">
        <v>-70.92</v>
      </c>
      <c r="M756">
        <v>-11.57</v>
      </c>
      <c r="N756">
        <v>5.29</v>
      </c>
      <c r="O756">
        <v>18.77</v>
      </c>
      <c r="P756" t="b">
        <v>1</v>
      </c>
      <c r="Q756">
        <v>0</v>
      </c>
      <c r="R756">
        <v>755</v>
      </c>
      <c r="U756" t="s">
        <v>2518</v>
      </c>
      <c r="V756" t="s">
        <v>3382</v>
      </c>
      <c r="W756">
        <v>0</v>
      </c>
      <c r="X756">
        <v>-78.2</v>
      </c>
      <c r="Y756" t="s">
        <v>4176</v>
      </c>
      <c r="Z756">
        <v>-30.48750885169499</v>
      </c>
      <c r="AA756">
        <v>368</v>
      </c>
      <c r="AB756">
        <v>101307</v>
      </c>
      <c r="AC756" t="s">
        <v>5037</v>
      </c>
      <c r="AD756">
        <v>50.5</v>
      </c>
      <c r="AE756" t="s">
        <v>5901</v>
      </c>
      <c r="AF756" t="s">
        <v>6710</v>
      </c>
      <c r="AG756">
        <v>351</v>
      </c>
      <c r="AH756">
        <v>31</v>
      </c>
      <c r="AJ756">
        <v>2.56</v>
      </c>
    </row>
    <row r="757" spans="1:36">
      <c r="A757" s="1" t="s">
        <v>791</v>
      </c>
      <c r="B757" t="s">
        <v>1655</v>
      </c>
      <c r="C757" t="str">
        <f>HYPERLINK("https://finance.naver.com/item/coinfo.nhn?code=083450", "A083450")</f>
        <v>A083450</v>
      </c>
      <c r="D757" t="str">
        <f>HYPERLINK("http://comp.fnguide.com/SVO2/ASP/SVD_Consensus.asp?pGB=1&amp;gicode=A083450&amp;cID=&amp;MenuYn=Y&amp;ReportGB=&amp;NewMenuID=108&amp;stkGb=701", "GST")</f>
        <v>GST</v>
      </c>
      <c r="E757">
        <v>2</v>
      </c>
      <c r="F757">
        <v>16500</v>
      </c>
      <c r="G757">
        <v>0</v>
      </c>
      <c r="H757">
        <v>5.32</v>
      </c>
      <c r="I757">
        <v>25673</v>
      </c>
      <c r="J757">
        <v>17067</v>
      </c>
      <c r="K757">
        <v>14621</v>
      </c>
      <c r="L757">
        <v>-55.6</v>
      </c>
      <c r="M757">
        <v>-3.44</v>
      </c>
      <c r="N757">
        <v>11.39</v>
      </c>
      <c r="O757">
        <v>17.93</v>
      </c>
      <c r="P757" t="b">
        <v>1</v>
      </c>
      <c r="Q757">
        <v>0</v>
      </c>
      <c r="R757">
        <v>1918</v>
      </c>
      <c r="U757" t="s">
        <v>2519</v>
      </c>
      <c r="V757" t="s">
        <v>3383</v>
      </c>
      <c r="W757">
        <v>0</v>
      </c>
      <c r="X757">
        <v>8.8000000000000007</v>
      </c>
      <c r="Y757" t="s">
        <v>4177</v>
      </c>
      <c r="Z757">
        <v>29.84787235561015</v>
      </c>
      <c r="AA757">
        <v>1537</v>
      </c>
      <c r="AB757">
        <v>102640</v>
      </c>
      <c r="AC757" t="s">
        <v>5038</v>
      </c>
      <c r="AD757">
        <v>25.95</v>
      </c>
      <c r="AE757" t="s">
        <v>5902</v>
      </c>
      <c r="AF757" t="s">
        <v>6711</v>
      </c>
      <c r="AG757">
        <v>1682</v>
      </c>
      <c r="AH757">
        <v>219</v>
      </c>
      <c r="AI757">
        <v>583500</v>
      </c>
      <c r="AJ757">
        <v>1.96</v>
      </c>
    </row>
    <row r="758" spans="1:36">
      <c r="A758" s="1" t="s">
        <v>792</v>
      </c>
      <c r="B758" t="s">
        <v>1656</v>
      </c>
      <c r="C758" t="str">
        <f>HYPERLINK("https://finance.naver.com/item/coinfo.nhn?code=298000", "A298000")</f>
        <v>A298000</v>
      </c>
      <c r="D758" t="str">
        <f>HYPERLINK("http://comp.fnguide.com/SVO2/ASP/SVD_Consensus.asp?pGB=1&amp;gicode=A298000&amp;cID=&amp;MenuYn=Y&amp;ReportGB=&amp;NewMenuID=108&amp;stkGb=701", "효성화학")</f>
        <v>효성화학</v>
      </c>
      <c r="E758">
        <v>2</v>
      </c>
      <c r="F758">
        <v>156500</v>
      </c>
      <c r="G758">
        <v>0</v>
      </c>
      <c r="H758">
        <v>5.25</v>
      </c>
      <c r="I758">
        <v>192554</v>
      </c>
      <c r="J758">
        <v>162791</v>
      </c>
      <c r="K758">
        <v>154333</v>
      </c>
      <c r="L758">
        <v>-23.04</v>
      </c>
      <c r="M758">
        <v>-4.0199999999999996</v>
      </c>
      <c r="N758">
        <v>1.38</v>
      </c>
      <c r="O758">
        <v>10.69</v>
      </c>
      <c r="P758" t="b">
        <v>1</v>
      </c>
      <c r="Q758">
        <v>0</v>
      </c>
      <c r="R758">
        <v>27530</v>
      </c>
      <c r="S758">
        <v>3648</v>
      </c>
      <c r="T758">
        <v>-86.7</v>
      </c>
      <c r="U758" t="s">
        <v>2520</v>
      </c>
      <c r="V758" t="s">
        <v>3384</v>
      </c>
      <c r="W758">
        <v>0</v>
      </c>
      <c r="X758">
        <v>0</v>
      </c>
      <c r="Y758" t="s">
        <v>4178</v>
      </c>
      <c r="Z758">
        <v>0</v>
      </c>
      <c r="AA758">
        <v>4993</v>
      </c>
      <c r="AB758">
        <v>26573</v>
      </c>
      <c r="AC758" t="s">
        <v>5039</v>
      </c>
      <c r="AD758">
        <v>43.76</v>
      </c>
      <c r="AE758" t="s">
        <v>5903</v>
      </c>
      <c r="AF758" t="s">
        <v>6712</v>
      </c>
      <c r="AG758">
        <v>18125</v>
      </c>
      <c r="AH758">
        <v>1539</v>
      </c>
      <c r="AI758">
        <v>12331</v>
      </c>
      <c r="AJ758">
        <v>3.46</v>
      </c>
    </row>
    <row r="759" spans="1:36">
      <c r="A759" s="1" t="s">
        <v>793</v>
      </c>
      <c r="B759" t="s">
        <v>1657</v>
      </c>
      <c r="C759" t="str">
        <f>HYPERLINK("https://finance.naver.com/item/coinfo.nhn?code=282880", "A282880")</f>
        <v>A282880</v>
      </c>
      <c r="D759" t="str">
        <f>HYPERLINK("http://comp.fnguide.com/SVO2/ASP/SVD_Consensus.asp?pGB=1&amp;gicode=A282880&amp;cID=&amp;MenuYn=Y&amp;ReportGB=&amp;NewMenuID=108&amp;stkGb=701", "코윈테크")</f>
        <v>코윈테크</v>
      </c>
      <c r="E759">
        <v>2</v>
      </c>
      <c r="F759">
        <v>23000</v>
      </c>
      <c r="G759">
        <v>0.83</v>
      </c>
      <c r="H759">
        <v>11.87</v>
      </c>
      <c r="I759">
        <v>57697</v>
      </c>
      <c r="J759">
        <v>29938</v>
      </c>
      <c r="K759">
        <v>22049</v>
      </c>
      <c r="L759">
        <v>-150.86000000000001</v>
      </c>
      <c r="M759">
        <v>-30.16</v>
      </c>
      <c r="N759">
        <v>4.13</v>
      </c>
      <c r="O759">
        <v>39.630000000000003</v>
      </c>
      <c r="P759" t="b">
        <v>1</v>
      </c>
      <c r="Q759">
        <v>0</v>
      </c>
      <c r="R759">
        <v>2120</v>
      </c>
      <c r="S759">
        <v>659</v>
      </c>
      <c r="T759">
        <v>-68.900000000000006</v>
      </c>
      <c r="U759" t="s">
        <v>2521</v>
      </c>
      <c r="V759" t="s">
        <v>3385</v>
      </c>
      <c r="W759">
        <v>14.349150955447669</v>
      </c>
      <c r="X759">
        <v>-92.5</v>
      </c>
      <c r="Y759" t="s">
        <v>4179</v>
      </c>
      <c r="Z759">
        <v>0</v>
      </c>
      <c r="AA759">
        <v>2128</v>
      </c>
      <c r="AB759">
        <v>104816</v>
      </c>
      <c r="AC759" t="s">
        <v>5040</v>
      </c>
      <c r="AD759">
        <v>24.47</v>
      </c>
      <c r="AE759" t="s">
        <v>5904</v>
      </c>
      <c r="AF759" t="s">
        <v>6713</v>
      </c>
      <c r="AG759">
        <v>911</v>
      </c>
      <c r="AH759">
        <v>208</v>
      </c>
      <c r="AI759">
        <v>307389</v>
      </c>
      <c r="AJ759">
        <v>1.85</v>
      </c>
    </row>
    <row r="760" spans="1:36">
      <c r="A760" s="1" t="s">
        <v>794</v>
      </c>
      <c r="B760" t="s">
        <v>1658</v>
      </c>
      <c r="C760" t="str">
        <f>HYPERLINK("https://finance.naver.com/item/coinfo.nhn?code=039490", "A039490")</f>
        <v>A039490</v>
      </c>
      <c r="D760" t="str">
        <f>HYPERLINK("http://comp.fnguide.com/SVO2/ASP/SVD_Consensus.asp?pGB=1&amp;gicode=A039490&amp;cID=&amp;MenuYn=Y&amp;ReportGB=&amp;NewMenuID=108&amp;stkGb=701", "키움증권")</f>
        <v>키움증권</v>
      </c>
      <c r="E760">
        <v>2</v>
      </c>
      <c r="F760">
        <v>126500</v>
      </c>
      <c r="G760">
        <v>0.18</v>
      </c>
      <c r="H760">
        <v>5.56</v>
      </c>
      <c r="I760">
        <v>181165</v>
      </c>
      <c r="J760">
        <v>129894</v>
      </c>
      <c r="K760">
        <v>115323</v>
      </c>
      <c r="L760">
        <v>-43.21</v>
      </c>
      <c r="M760">
        <v>-2.68</v>
      </c>
      <c r="N760">
        <v>8.84</v>
      </c>
      <c r="O760">
        <v>14.99</v>
      </c>
      <c r="P760" t="b">
        <v>1</v>
      </c>
      <c r="Q760">
        <v>2</v>
      </c>
      <c r="R760">
        <v>14287</v>
      </c>
      <c r="S760">
        <v>23956</v>
      </c>
      <c r="T760">
        <v>67.7</v>
      </c>
      <c r="U760" t="s">
        <v>2522</v>
      </c>
      <c r="V760" t="s">
        <v>3386</v>
      </c>
      <c r="W760">
        <v>30.13156194064312</v>
      </c>
      <c r="X760">
        <v>27.1</v>
      </c>
      <c r="Y760" t="s">
        <v>4180</v>
      </c>
      <c r="Z760">
        <v>17.40151881375067</v>
      </c>
      <c r="AA760">
        <v>30033</v>
      </c>
      <c r="AB760">
        <v>236415</v>
      </c>
      <c r="AC760" t="s">
        <v>5041</v>
      </c>
      <c r="AD760">
        <v>45.52</v>
      </c>
      <c r="AE760" t="s">
        <v>5905</v>
      </c>
      <c r="AF760" t="s">
        <v>6714</v>
      </c>
      <c r="AG760">
        <v>8651</v>
      </c>
      <c r="AH760">
        <v>4737</v>
      </c>
      <c r="AI760">
        <v>500000</v>
      </c>
      <c r="AJ760">
        <v>2.52</v>
      </c>
    </row>
    <row r="761" spans="1:36">
      <c r="A761" s="1" t="s">
        <v>795</v>
      </c>
      <c r="B761" t="s">
        <v>1659</v>
      </c>
      <c r="C761" t="str">
        <f>HYPERLINK("https://finance.naver.com/item/coinfo.nhn?code=051600", "A051600")</f>
        <v>A051600</v>
      </c>
      <c r="D761" t="str">
        <f>HYPERLINK("http://comp.fnguide.com/SVO2/ASP/SVD_Consensus.asp?pGB=1&amp;gicode=A051600&amp;cID=&amp;MenuYn=Y&amp;ReportGB=&amp;NewMenuID=108&amp;stkGb=701", "한전KPS")</f>
        <v>한전KPS</v>
      </c>
      <c r="E761">
        <v>2</v>
      </c>
      <c r="F761">
        <v>30650</v>
      </c>
      <c r="G761">
        <v>-2.5</v>
      </c>
      <c r="H761">
        <v>11.49</v>
      </c>
      <c r="I761">
        <v>47193</v>
      </c>
      <c r="J761">
        <v>33016</v>
      </c>
      <c r="K761">
        <v>28988</v>
      </c>
      <c r="L761">
        <v>-53.97</v>
      </c>
      <c r="M761">
        <v>-7.72</v>
      </c>
      <c r="N761">
        <v>5.42</v>
      </c>
      <c r="O761">
        <v>15.86</v>
      </c>
      <c r="P761" t="b">
        <v>0</v>
      </c>
      <c r="Q761">
        <v>0</v>
      </c>
      <c r="R761">
        <v>3407</v>
      </c>
      <c r="S761">
        <v>2622</v>
      </c>
      <c r="T761">
        <v>-23</v>
      </c>
      <c r="U761" t="s">
        <v>2523</v>
      </c>
      <c r="V761" t="s">
        <v>3387</v>
      </c>
      <c r="W761">
        <v>-4.5985410141571537</v>
      </c>
      <c r="X761">
        <v>-31.8</v>
      </c>
      <c r="Y761" t="s">
        <v>4181</v>
      </c>
      <c r="Z761">
        <v>-9.2745030949948237</v>
      </c>
      <c r="AA761">
        <v>13793</v>
      </c>
      <c r="AB761">
        <v>407242</v>
      </c>
      <c r="AC761" t="s">
        <v>5042</v>
      </c>
      <c r="AD761">
        <v>51</v>
      </c>
      <c r="AE761" t="s">
        <v>5906</v>
      </c>
      <c r="AF761" t="s">
        <v>6715</v>
      </c>
      <c r="AG761">
        <v>12469</v>
      </c>
      <c r="AH761">
        <v>1939</v>
      </c>
      <c r="AJ761">
        <v>4.9000000000000004</v>
      </c>
    </row>
    <row r="762" spans="1:36">
      <c r="A762" s="1" t="s">
        <v>796</v>
      </c>
      <c r="B762" t="s">
        <v>1660</v>
      </c>
      <c r="C762" t="str">
        <f>HYPERLINK("https://finance.naver.com/item/coinfo.nhn?code=001880", "A001880")</f>
        <v>A001880</v>
      </c>
      <c r="D762" t="str">
        <f>HYPERLINK("http://comp.fnguide.com/SVO2/ASP/SVD_Consensus.asp?pGB=1&amp;gicode=A001880&amp;cID=&amp;MenuYn=Y&amp;ReportGB=&amp;NewMenuID=108&amp;stkGb=701", "대림건설")</f>
        <v>대림건설</v>
      </c>
      <c r="E762">
        <v>2</v>
      </c>
      <c r="F762">
        <v>29800</v>
      </c>
      <c r="G762">
        <v>0</v>
      </c>
      <c r="H762">
        <v>3.17</v>
      </c>
      <c r="I762">
        <v>56107</v>
      </c>
      <c r="J762">
        <v>34839</v>
      </c>
      <c r="K762">
        <v>28795</v>
      </c>
      <c r="L762">
        <v>-88.28</v>
      </c>
      <c r="M762">
        <v>-16.91</v>
      </c>
      <c r="N762">
        <v>3.37</v>
      </c>
      <c r="O762">
        <v>21.46</v>
      </c>
      <c r="P762" t="b">
        <v>1</v>
      </c>
      <c r="Q762">
        <v>0</v>
      </c>
      <c r="R762">
        <v>6265</v>
      </c>
      <c r="U762" t="s">
        <v>2524</v>
      </c>
      <c r="V762" t="s">
        <v>3388</v>
      </c>
      <c r="W762">
        <v>0</v>
      </c>
      <c r="X762">
        <v>22.6</v>
      </c>
      <c r="Y762" t="s">
        <v>4182</v>
      </c>
      <c r="Z762">
        <v>23.817052945245191</v>
      </c>
      <c r="AA762">
        <v>6572</v>
      </c>
      <c r="AB762">
        <v>132177</v>
      </c>
      <c r="AC762" t="s">
        <v>5043</v>
      </c>
      <c r="AD762">
        <v>66.36</v>
      </c>
      <c r="AE762" t="s">
        <v>5907</v>
      </c>
      <c r="AF762" t="s">
        <v>6716</v>
      </c>
      <c r="AG762">
        <v>12799</v>
      </c>
      <c r="AH762">
        <v>1430</v>
      </c>
      <c r="AI762">
        <v>371</v>
      </c>
      <c r="AJ762">
        <v>2.02</v>
      </c>
    </row>
    <row r="763" spans="1:36">
      <c r="A763" s="1" t="s">
        <v>797</v>
      </c>
      <c r="B763" t="s">
        <v>1661</v>
      </c>
      <c r="C763" t="str">
        <f>HYPERLINK("https://finance.naver.com/item/coinfo.nhn?code=192440", "A192440")</f>
        <v>A192440</v>
      </c>
      <c r="D763" t="str">
        <f>HYPERLINK("http://comp.fnguide.com/SVO2/ASP/SVD_Consensus.asp?pGB=1&amp;gicode=A192440&amp;cID=&amp;MenuYn=Y&amp;ReportGB=&amp;NewMenuID=108&amp;stkGb=701", "슈피겐코리아")</f>
        <v>슈피겐코리아</v>
      </c>
      <c r="E763">
        <v>2</v>
      </c>
      <c r="F763">
        <v>65000</v>
      </c>
      <c r="G763">
        <v>0.41</v>
      </c>
      <c r="H763">
        <v>7.86</v>
      </c>
      <c r="I763">
        <v>101033</v>
      </c>
      <c r="J763">
        <v>69630</v>
      </c>
      <c r="K763">
        <v>60706</v>
      </c>
      <c r="L763">
        <v>-55.44</v>
      </c>
      <c r="M763">
        <v>-7.12</v>
      </c>
      <c r="N763">
        <v>6.61</v>
      </c>
      <c r="O763">
        <v>16.43</v>
      </c>
      <c r="P763" t="b">
        <v>1</v>
      </c>
      <c r="Q763">
        <v>1</v>
      </c>
      <c r="R763">
        <v>6489</v>
      </c>
      <c r="S763">
        <v>11043</v>
      </c>
      <c r="T763">
        <v>70.2</v>
      </c>
      <c r="U763" t="s">
        <v>2525</v>
      </c>
      <c r="V763" t="s">
        <v>3389</v>
      </c>
      <c r="W763">
        <v>19.085866515665369</v>
      </c>
      <c r="X763">
        <v>72.8</v>
      </c>
      <c r="Y763" t="s">
        <v>4183</v>
      </c>
      <c r="Z763">
        <v>13.341137991681929</v>
      </c>
      <c r="AA763">
        <v>4041</v>
      </c>
      <c r="AB763">
        <v>48267</v>
      </c>
      <c r="AC763" t="s">
        <v>5044</v>
      </c>
      <c r="AD763">
        <v>40.99</v>
      </c>
      <c r="AE763" t="s">
        <v>5908</v>
      </c>
      <c r="AF763" t="s">
        <v>6717</v>
      </c>
      <c r="AG763">
        <v>3086</v>
      </c>
      <c r="AH763">
        <v>441</v>
      </c>
      <c r="AI763">
        <v>186531</v>
      </c>
      <c r="AJ763">
        <v>2.5499999999999998</v>
      </c>
    </row>
    <row r="764" spans="1:36">
      <c r="A764" s="1" t="s">
        <v>798</v>
      </c>
      <c r="B764" t="s">
        <v>1662</v>
      </c>
      <c r="C764" t="str">
        <f>HYPERLINK("https://finance.naver.com/item/coinfo.nhn?code=267790", "A267790")</f>
        <v>A267790</v>
      </c>
      <c r="D764" t="str">
        <f>HYPERLINK("http://comp.fnguide.com/SVO2/ASP/SVD_Consensus.asp?pGB=1&amp;gicode=A267790&amp;cID=&amp;MenuYn=Y&amp;ReportGB=&amp;NewMenuID=108&amp;stkGb=701", "배럴")</f>
        <v>배럴</v>
      </c>
      <c r="E764">
        <v>2</v>
      </c>
      <c r="F764">
        <v>8320</v>
      </c>
      <c r="G764">
        <v>0</v>
      </c>
      <c r="H764">
        <v>13.7</v>
      </c>
      <c r="I764">
        <v>14768</v>
      </c>
      <c r="J764">
        <v>9377</v>
      </c>
      <c r="K764">
        <v>7845</v>
      </c>
      <c r="L764">
        <v>-77.5</v>
      </c>
      <c r="M764">
        <v>-12.7</v>
      </c>
      <c r="N764">
        <v>5.71</v>
      </c>
      <c r="O764">
        <v>20.190000000000001</v>
      </c>
      <c r="P764" t="b">
        <v>1</v>
      </c>
      <c r="Q764">
        <v>0</v>
      </c>
      <c r="R764">
        <v>883</v>
      </c>
      <c r="U764" t="s">
        <v>2526</v>
      </c>
      <c r="V764" t="s">
        <v>3390</v>
      </c>
      <c r="W764">
        <v>0</v>
      </c>
      <c r="X764">
        <v>0</v>
      </c>
      <c r="Y764" t="s">
        <v>4184</v>
      </c>
      <c r="Z764">
        <v>5.1279536442176754</v>
      </c>
      <c r="AA764">
        <v>656</v>
      </c>
      <c r="AB764">
        <v>23954</v>
      </c>
      <c r="AC764" t="s">
        <v>5045</v>
      </c>
      <c r="AD764">
        <v>47.73</v>
      </c>
      <c r="AE764" t="s">
        <v>5909</v>
      </c>
      <c r="AF764" t="s">
        <v>6718</v>
      </c>
      <c r="AG764">
        <v>599</v>
      </c>
      <c r="AH764">
        <v>85</v>
      </c>
    </row>
    <row r="765" spans="1:36">
      <c r="A765" s="1" t="s">
        <v>799</v>
      </c>
      <c r="B765" t="s">
        <v>1663</v>
      </c>
      <c r="C765" t="str">
        <f>HYPERLINK("https://finance.naver.com/item/coinfo.nhn?code=131030", "A131030")</f>
        <v>A131030</v>
      </c>
      <c r="D765" t="str">
        <f>HYPERLINK("http://comp.fnguide.com/SVO2/ASP/SVD_Consensus.asp?pGB=1&amp;gicode=A131030&amp;cID=&amp;MenuYn=Y&amp;ReportGB=&amp;NewMenuID=108&amp;stkGb=701", "디에이치피코리아")</f>
        <v>디에이치피코리아</v>
      </c>
      <c r="E765">
        <v>2</v>
      </c>
      <c r="F765">
        <v>8290</v>
      </c>
      <c r="G765">
        <v>0</v>
      </c>
      <c r="H765">
        <v>8.77</v>
      </c>
      <c r="I765">
        <v>11445</v>
      </c>
      <c r="J765">
        <v>8598</v>
      </c>
      <c r="K765">
        <v>7790</v>
      </c>
      <c r="L765">
        <v>-38.06</v>
      </c>
      <c r="M765">
        <v>-3.72</v>
      </c>
      <c r="N765">
        <v>6.04</v>
      </c>
      <c r="O765">
        <v>13.54</v>
      </c>
      <c r="P765" t="b">
        <v>1</v>
      </c>
      <c r="Q765">
        <v>0</v>
      </c>
      <c r="R765">
        <v>881</v>
      </c>
      <c r="U765" t="s">
        <v>2527</v>
      </c>
      <c r="V765" t="s">
        <v>3391</v>
      </c>
      <c r="W765">
        <v>0</v>
      </c>
      <c r="X765">
        <v>1.6</v>
      </c>
      <c r="Y765" t="s">
        <v>4185</v>
      </c>
      <c r="Z765">
        <v>7.5599142163243824</v>
      </c>
      <c r="AA765">
        <v>1373</v>
      </c>
      <c r="AB765">
        <v>180585</v>
      </c>
      <c r="AC765" t="s">
        <v>5046</v>
      </c>
      <c r="AD765">
        <v>38.380000000000003</v>
      </c>
      <c r="AE765" t="s">
        <v>5910</v>
      </c>
      <c r="AF765" t="s">
        <v>6719</v>
      </c>
      <c r="AG765">
        <v>604</v>
      </c>
      <c r="AH765">
        <v>152</v>
      </c>
      <c r="AI765">
        <v>523536</v>
      </c>
      <c r="AJ765">
        <v>1.29</v>
      </c>
    </row>
    <row r="766" spans="1:36">
      <c r="A766" s="1" t="s">
        <v>800</v>
      </c>
      <c r="B766" t="s">
        <v>1664</v>
      </c>
      <c r="C766" t="str">
        <f>HYPERLINK("https://finance.naver.com/item/coinfo.nhn?code=035510", "A035510")</f>
        <v>A035510</v>
      </c>
      <c r="D766" t="str">
        <f>HYPERLINK("http://comp.fnguide.com/SVO2/ASP/SVD_Consensus.asp?pGB=1&amp;gicode=A035510&amp;cID=&amp;MenuYn=Y&amp;ReportGB=&amp;NewMenuID=108&amp;stkGb=701", "신세계 I&amp;C")</f>
        <v>신세계 I&amp;C</v>
      </c>
      <c r="E766">
        <v>2</v>
      </c>
      <c r="F766">
        <v>125000</v>
      </c>
      <c r="G766">
        <v>0</v>
      </c>
      <c r="H766">
        <v>17.350000000000001</v>
      </c>
      <c r="I766">
        <v>137849</v>
      </c>
      <c r="J766">
        <v>126828</v>
      </c>
      <c r="K766">
        <v>123697</v>
      </c>
      <c r="L766">
        <v>-10.28</v>
      </c>
      <c r="M766">
        <v>-1.46</v>
      </c>
      <c r="N766">
        <v>1.04</v>
      </c>
      <c r="O766">
        <v>9.16</v>
      </c>
      <c r="P766" t="b">
        <v>1</v>
      </c>
      <c r="Q766">
        <v>0</v>
      </c>
      <c r="R766">
        <v>6196</v>
      </c>
      <c r="U766" t="s">
        <v>2528</v>
      </c>
      <c r="V766" t="s">
        <v>3392</v>
      </c>
      <c r="W766">
        <v>0</v>
      </c>
      <c r="X766">
        <v>953.9</v>
      </c>
      <c r="Y766" t="s">
        <v>4186</v>
      </c>
      <c r="Z766">
        <v>75.154126597891974</v>
      </c>
      <c r="AA766">
        <v>2150</v>
      </c>
      <c r="AB766">
        <v>3276</v>
      </c>
      <c r="AC766" t="s">
        <v>5047</v>
      </c>
      <c r="AD766">
        <v>35.869999999999997</v>
      </c>
      <c r="AE766" t="s">
        <v>5911</v>
      </c>
      <c r="AF766" t="s">
        <v>6720</v>
      </c>
      <c r="AG766">
        <v>4560</v>
      </c>
      <c r="AH766">
        <v>185</v>
      </c>
      <c r="AI766">
        <v>53509</v>
      </c>
      <c r="AJ766">
        <v>1.86</v>
      </c>
    </row>
    <row r="767" spans="1:36">
      <c r="A767" s="1" t="s">
        <v>801</v>
      </c>
      <c r="B767" t="s">
        <v>1665</v>
      </c>
      <c r="C767" t="str">
        <f>HYPERLINK("https://finance.naver.com/item/coinfo.nhn?code=267980", "A267980")</f>
        <v>A267980</v>
      </c>
      <c r="D767" t="str">
        <f>HYPERLINK("http://comp.fnguide.com/SVO2/ASP/SVD_Consensus.asp?pGB=1&amp;gicode=A267980&amp;cID=&amp;MenuYn=Y&amp;ReportGB=&amp;NewMenuID=108&amp;stkGb=701", "매일유업")</f>
        <v>매일유업</v>
      </c>
      <c r="E767">
        <v>2</v>
      </c>
      <c r="F767">
        <v>69600</v>
      </c>
      <c r="G767">
        <v>0.53</v>
      </c>
      <c r="H767">
        <v>10.5</v>
      </c>
      <c r="I767">
        <v>98109</v>
      </c>
      <c r="J767">
        <v>70963</v>
      </c>
      <c r="K767">
        <v>63249</v>
      </c>
      <c r="L767">
        <v>-40.96</v>
      </c>
      <c r="M767">
        <v>-1.96</v>
      </c>
      <c r="N767">
        <v>9.1199999999999992</v>
      </c>
      <c r="O767">
        <v>14.7</v>
      </c>
      <c r="P767" t="b">
        <v>1</v>
      </c>
      <c r="Q767">
        <v>0</v>
      </c>
      <c r="R767">
        <v>8202</v>
      </c>
      <c r="S767">
        <v>8124</v>
      </c>
      <c r="T767">
        <v>-1</v>
      </c>
      <c r="U767" t="s">
        <v>2529</v>
      </c>
      <c r="V767" t="s">
        <v>3393</v>
      </c>
      <c r="W767">
        <v>19.904968511668251</v>
      </c>
      <c r="X767">
        <v>-14.5</v>
      </c>
      <c r="Y767" t="s">
        <v>4187</v>
      </c>
      <c r="Z767">
        <v>0</v>
      </c>
      <c r="AA767">
        <v>5459</v>
      </c>
      <c r="AB767">
        <v>27761</v>
      </c>
      <c r="AC767" t="s">
        <v>5048</v>
      </c>
      <c r="AD767">
        <v>56.27</v>
      </c>
      <c r="AE767" t="s">
        <v>5912</v>
      </c>
      <c r="AF767" t="s">
        <v>6721</v>
      </c>
      <c r="AG767">
        <v>13933</v>
      </c>
      <c r="AH767">
        <v>853</v>
      </c>
      <c r="AI767">
        <v>227402</v>
      </c>
      <c r="AJ767">
        <v>0.93</v>
      </c>
    </row>
    <row r="768" spans="1:36">
      <c r="A768" s="1" t="s">
        <v>802</v>
      </c>
      <c r="B768" t="s">
        <v>1666</v>
      </c>
      <c r="C768" t="str">
        <f>HYPERLINK("https://finance.naver.com/item/coinfo.nhn?code=002870", "A002870")</f>
        <v>A002870</v>
      </c>
      <c r="D768" t="str">
        <f>HYPERLINK("http://comp.fnguide.com/SVO2/ASP/SVD_Consensus.asp?pGB=1&amp;gicode=A002870&amp;cID=&amp;MenuYn=Y&amp;ReportGB=&amp;NewMenuID=108&amp;stkGb=701", "신풍제지")</f>
        <v>신풍제지</v>
      </c>
      <c r="E768">
        <v>2</v>
      </c>
      <c r="F768">
        <v>3890</v>
      </c>
      <c r="G768">
        <v>0</v>
      </c>
      <c r="H768">
        <v>2.66</v>
      </c>
      <c r="I768">
        <v>7087</v>
      </c>
      <c r="J768">
        <v>4328</v>
      </c>
      <c r="K768">
        <v>3544</v>
      </c>
      <c r="L768">
        <v>-82.19</v>
      </c>
      <c r="M768">
        <v>-11.26</v>
      </c>
      <c r="N768">
        <v>8.9</v>
      </c>
      <c r="O768">
        <v>22.5</v>
      </c>
      <c r="P768" t="b">
        <v>1</v>
      </c>
      <c r="Q768">
        <v>0</v>
      </c>
      <c r="R768">
        <v>562</v>
      </c>
      <c r="U768" t="s">
        <v>2530</v>
      </c>
      <c r="V768" t="s">
        <v>3394</v>
      </c>
      <c r="W768">
        <v>0</v>
      </c>
      <c r="X768">
        <v>0</v>
      </c>
      <c r="Y768" t="s">
        <v>4188</v>
      </c>
      <c r="Z768">
        <v>144.6868892434411</v>
      </c>
      <c r="AA768">
        <v>1360</v>
      </c>
      <c r="AB768">
        <v>4160444</v>
      </c>
      <c r="AC768" t="s">
        <v>5049</v>
      </c>
      <c r="AD768">
        <v>34.869999999999997</v>
      </c>
      <c r="AE768" t="s">
        <v>5913</v>
      </c>
      <c r="AF768" t="s">
        <v>6722</v>
      </c>
      <c r="AG768">
        <v>1569</v>
      </c>
      <c r="AH768">
        <v>114</v>
      </c>
      <c r="AI768">
        <v>7252320</v>
      </c>
      <c r="AJ768">
        <v>4.01</v>
      </c>
    </row>
    <row r="769" spans="1:36">
      <c r="A769" s="1" t="s">
        <v>803</v>
      </c>
      <c r="B769" t="s">
        <v>1667</v>
      </c>
      <c r="C769" t="str">
        <f>HYPERLINK("https://finance.naver.com/item/coinfo.nhn?code=297890", "A297890")</f>
        <v>A297890</v>
      </c>
      <c r="D769" t="str">
        <f>HYPERLINK("http://comp.fnguide.com/SVO2/ASP/SVD_Consensus.asp?pGB=1&amp;gicode=A297890&amp;cID=&amp;MenuYn=Y&amp;ReportGB=&amp;NewMenuID=108&amp;stkGb=701", "엘이티")</f>
        <v>엘이티</v>
      </c>
      <c r="E769">
        <v>2</v>
      </c>
      <c r="F769">
        <v>15350</v>
      </c>
      <c r="G769">
        <v>0</v>
      </c>
      <c r="I769">
        <v>33792</v>
      </c>
      <c r="J769">
        <v>16025</v>
      </c>
      <c r="K769">
        <v>10975</v>
      </c>
      <c r="L769">
        <v>-120.14</v>
      </c>
      <c r="M769">
        <v>-4.4000000000000004</v>
      </c>
      <c r="N769">
        <v>28.5</v>
      </c>
      <c r="O769">
        <v>62.96</v>
      </c>
      <c r="P769" t="b">
        <v>0</v>
      </c>
      <c r="Q769">
        <v>0</v>
      </c>
      <c r="R769">
        <v>1138</v>
      </c>
      <c r="U769" t="s">
        <v>2531</v>
      </c>
      <c r="V769" t="s">
        <v>3395</v>
      </c>
      <c r="W769">
        <v>0</v>
      </c>
      <c r="Y769" t="s">
        <v>4189</v>
      </c>
      <c r="Z769">
        <v>0</v>
      </c>
      <c r="AA769">
        <v>1091</v>
      </c>
      <c r="AB769">
        <v>26436</v>
      </c>
      <c r="AC769" t="s">
        <v>5050</v>
      </c>
      <c r="AD769">
        <v>65.56</v>
      </c>
      <c r="AE769" t="s">
        <v>5914</v>
      </c>
      <c r="AF769" t="s">
        <v>6021</v>
      </c>
      <c r="AG769">
        <v>469</v>
      </c>
      <c r="AH769">
        <v>109</v>
      </c>
    </row>
    <row r="770" spans="1:36">
      <c r="A770" s="1" t="s">
        <v>804</v>
      </c>
      <c r="B770" t="s">
        <v>1668</v>
      </c>
      <c r="C770" t="str">
        <f>HYPERLINK("https://finance.naver.com/item/coinfo.nhn?code=289010", "A289010")</f>
        <v>A289010</v>
      </c>
      <c r="D770" t="str">
        <f>HYPERLINK("http://comp.fnguide.com/SVO2/ASP/SVD_Consensus.asp?pGB=1&amp;gicode=A289010&amp;cID=&amp;MenuYn=Y&amp;ReportGB=&amp;NewMenuID=108&amp;stkGb=701", "아이스크림에듀")</f>
        <v>아이스크림에듀</v>
      </c>
      <c r="E770">
        <v>2</v>
      </c>
      <c r="F770">
        <v>8450</v>
      </c>
      <c r="G770">
        <v>0</v>
      </c>
      <c r="H770">
        <v>19.32</v>
      </c>
      <c r="I770">
        <v>12297</v>
      </c>
      <c r="J770">
        <v>8475</v>
      </c>
      <c r="K770">
        <v>7388</v>
      </c>
      <c r="L770">
        <v>-45.53</v>
      </c>
      <c r="M770">
        <v>-0.28999999999999998</v>
      </c>
      <c r="N770">
        <v>12.56</v>
      </c>
      <c r="O770">
        <v>16.43</v>
      </c>
      <c r="P770" t="b">
        <v>1</v>
      </c>
      <c r="Q770">
        <v>0</v>
      </c>
      <c r="R770">
        <v>415</v>
      </c>
      <c r="U770" t="s">
        <v>2532</v>
      </c>
      <c r="V770" t="s">
        <v>3396</v>
      </c>
      <c r="W770">
        <v>0</v>
      </c>
      <c r="X770">
        <v>-16.600000000000001</v>
      </c>
      <c r="Y770" t="s">
        <v>4190</v>
      </c>
      <c r="Z770">
        <v>0.88480725531867588</v>
      </c>
      <c r="AA770">
        <v>1087</v>
      </c>
      <c r="AB770">
        <v>239584</v>
      </c>
      <c r="AC770" t="s">
        <v>5051</v>
      </c>
      <c r="AD770">
        <v>45.06</v>
      </c>
      <c r="AE770" t="s">
        <v>5915</v>
      </c>
      <c r="AF770" t="s">
        <v>6723</v>
      </c>
      <c r="AG770">
        <v>1064</v>
      </c>
      <c r="AH770">
        <v>54</v>
      </c>
      <c r="AI770">
        <v>330577</v>
      </c>
      <c r="AJ770">
        <v>1.25</v>
      </c>
    </row>
    <row r="771" spans="1:36">
      <c r="A771" s="1" t="s">
        <v>805</v>
      </c>
      <c r="B771" t="s">
        <v>1669</v>
      </c>
      <c r="C771" t="str">
        <f>HYPERLINK("https://finance.naver.com/item/coinfo.nhn?code=007530", "A007530")</f>
        <v>A007530</v>
      </c>
      <c r="D771" t="str">
        <f>HYPERLINK("http://comp.fnguide.com/SVO2/ASP/SVD_Consensus.asp?pGB=1&amp;gicode=A007530&amp;cID=&amp;MenuYn=Y&amp;ReportGB=&amp;NewMenuID=108&amp;stkGb=701", "영신금속")</f>
        <v>영신금속</v>
      </c>
      <c r="E771">
        <v>2</v>
      </c>
      <c r="F771">
        <v>3600</v>
      </c>
      <c r="G771">
        <v>0</v>
      </c>
      <c r="H771">
        <v>3.64</v>
      </c>
      <c r="I771">
        <v>4293</v>
      </c>
      <c r="J771">
        <v>3698</v>
      </c>
      <c r="K771">
        <v>3529</v>
      </c>
      <c r="L771">
        <v>-19.260000000000002</v>
      </c>
      <c r="M771">
        <v>-2.72</v>
      </c>
      <c r="N771">
        <v>1.98</v>
      </c>
      <c r="O771">
        <v>10.32</v>
      </c>
      <c r="P771" t="b">
        <v>1</v>
      </c>
      <c r="Q771">
        <v>0</v>
      </c>
      <c r="R771">
        <v>450</v>
      </c>
      <c r="U771" t="s">
        <v>2533</v>
      </c>
      <c r="V771" t="s">
        <v>3397</v>
      </c>
      <c r="W771">
        <v>0</v>
      </c>
      <c r="X771">
        <v>0</v>
      </c>
      <c r="Y771" t="s">
        <v>4191</v>
      </c>
      <c r="Z771">
        <v>1.946799851687353</v>
      </c>
      <c r="AA771">
        <v>462</v>
      </c>
      <c r="AB771">
        <v>107339</v>
      </c>
      <c r="AC771" t="s">
        <v>5052</v>
      </c>
      <c r="AD771">
        <v>29.19</v>
      </c>
      <c r="AE771" t="s">
        <v>5916</v>
      </c>
      <c r="AF771" t="s">
        <v>6724</v>
      </c>
      <c r="AG771">
        <v>1198</v>
      </c>
      <c r="AH771">
        <v>64</v>
      </c>
      <c r="AI771">
        <v>150000</v>
      </c>
    </row>
    <row r="772" spans="1:36">
      <c r="A772" s="1" t="s">
        <v>806</v>
      </c>
      <c r="B772" t="s">
        <v>1670</v>
      </c>
      <c r="C772" t="str">
        <f>HYPERLINK("https://finance.naver.com/item/coinfo.nhn?code=317330", "A317330")</f>
        <v>A317330</v>
      </c>
      <c r="D772" t="str">
        <f>HYPERLINK("http://comp.fnguide.com/SVO2/ASP/SVD_Consensus.asp?pGB=1&amp;gicode=A317330&amp;cID=&amp;MenuYn=Y&amp;ReportGB=&amp;NewMenuID=108&amp;stkGb=701", "덕산테코피아")</f>
        <v>덕산테코피아</v>
      </c>
      <c r="E772">
        <v>2</v>
      </c>
      <c r="F772">
        <v>15800</v>
      </c>
      <c r="G772">
        <v>-1.38</v>
      </c>
      <c r="H772">
        <v>28.44</v>
      </c>
      <c r="I772">
        <v>28617</v>
      </c>
      <c r="J772">
        <v>16171</v>
      </c>
      <c r="K772">
        <v>12635</v>
      </c>
      <c r="L772">
        <v>-81.12</v>
      </c>
      <c r="M772">
        <v>-2.35</v>
      </c>
      <c r="N772">
        <v>20.03</v>
      </c>
      <c r="O772">
        <v>28.65</v>
      </c>
      <c r="P772" t="b">
        <v>1</v>
      </c>
      <c r="Q772">
        <v>1</v>
      </c>
      <c r="R772">
        <v>673</v>
      </c>
      <c r="S772">
        <v>707</v>
      </c>
      <c r="T772">
        <v>5.0999999999999996</v>
      </c>
      <c r="U772" t="s">
        <v>2534</v>
      </c>
      <c r="V772" t="s">
        <v>3398</v>
      </c>
      <c r="W772">
        <v>-20.652387214410719</v>
      </c>
      <c r="X772">
        <v>-15.6</v>
      </c>
      <c r="Y772" t="s">
        <v>4192</v>
      </c>
      <c r="Z772">
        <v>28.48301500386188</v>
      </c>
      <c r="AA772">
        <v>2904</v>
      </c>
      <c r="AB772">
        <v>108604</v>
      </c>
      <c r="AC772" t="s">
        <v>5053</v>
      </c>
      <c r="AD772">
        <v>57.85</v>
      </c>
      <c r="AE772" t="s">
        <v>5917</v>
      </c>
      <c r="AF772" t="s">
        <v>6725</v>
      </c>
      <c r="AG772">
        <v>618</v>
      </c>
      <c r="AH772">
        <v>134</v>
      </c>
      <c r="AI772">
        <v>71450</v>
      </c>
    </row>
    <row r="773" spans="1:36">
      <c r="A773" s="1" t="s">
        <v>807</v>
      </c>
      <c r="B773" t="s">
        <v>1671</v>
      </c>
      <c r="C773" t="str">
        <f>HYPERLINK("https://finance.naver.com/item/coinfo.nhn?code=045060", "A045060")</f>
        <v>A045060</v>
      </c>
      <c r="D773" t="str">
        <f>HYPERLINK("http://comp.fnguide.com/SVO2/ASP/SVD_Consensus.asp?pGB=1&amp;gicode=A045060&amp;cID=&amp;MenuYn=Y&amp;ReportGB=&amp;NewMenuID=108&amp;stkGb=701", "오공")</f>
        <v>오공</v>
      </c>
      <c r="E773">
        <v>2</v>
      </c>
      <c r="F773">
        <v>5040</v>
      </c>
      <c r="G773">
        <v>0</v>
      </c>
      <c r="H773">
        <v>7.63</v>
      </c>
      <c r="I773">
        <v>5874</v>
      </c>
      <c r="J773">
        <v>5181</v>
      </c>
      <c r="K773">
        <v>4984</v>
      </c>
      <c r="L773">
        <v>-16.54</v>
      </c>
      <c r="M773">
        <v>-2.8</v>
      </c>
      <c r="N773">
        <v>1.1000000000000001</v>
      </c>
      <c r="O773">
        <v>9.8800000000000008</v>
      </c>
      <c r="P773" t="b">
        <v>1</v>
      </c>
      <c r="Q773">
        <v>0</v>
      </c>
      <c r="R773">
        <v>442</v>
      </c>
      <c r="U773" t="s">
        <v>2535</v>
      </c>
      <c r="V773" t="s">
        <v>3399</v>
      </c>
      <c r="W773">
        <v>0</v>
      </c>
      <c r="X773">
        <v>6.7</v>
      </c>
      <c r="Y773" t="s">
        <v>4193</v>
      </c>
      <c r="Z773">
        <v>21.935389685253551</v>
      </c>
      <c r="AA773">
        <v>854</v>
      </c>
      <c r="AB773">
        <v>991403</v>
      </c>
      <c r="AC773" t="s">
        <v>5054</v>
      </c>
      <c r="AD773">
        <v>30.96</v>
      </c>
      <c r="AE773" t="s">
        <v>5918</v>
      </c>
      <c r="AF773" t="s">
        <v>6726</v>
      </c>
      <c r="AG773">
        <v>1519</v>
      </c>
      <c r="AH773">
        <v>89</v>
      </c>
      <c r="AI773">
        <v>87473</v>
      </c>
      <c r="AJ773">
        <v>1.48</v>
      </c>
    </row>
    <row r="774" spans="1:36">
      <c r="A774" s="1" t="s">
        <v>808</v>
      </c>
      <c r="B774" t="s">
        <v>1672</v>
      </c>
      <c r="C774" t="str">
        <f>HYPERLINK("https://finance.naver.com/item/coinfo.nhn?code=264660", "A264660")</f>
        <v>A264660</v>
      </c>
      <c r="D774" t="str">
        <f>HYPERLINK("http://comp.fnguide.com/SVO2/ASP/SVD_Consensus.asp?pGB=1&amp;gicode=A264660&amp;cID=&amp;MenuYn=Y&amp;ReportGB=&amp;NewMenuID=108&amp;stkGb=701", "씨앤지하이테크")</f>
        <v>씨앤지하이테크</v>
      </c>
      <c r="E774">
        <v>2</v>
      </c>
      <c r="F774">
        <v>12950</v>
      </c>
      <c r="G774">
        <v>0</v>
      </c>
      <c r="H774">
        <v>6.3</v>
      </c>
      <c r="I774">
        <v>25385</v>
      </c>
      <c r="J774">
        <v>15114</v>
      </c>
      <c r="K774">
        <v>12196</v>
      </c>
      <c r="L774">
        <v>-96.03</v>
      </c>
      <c r="M774">
        <v>-16.71</v>
      </c>
      <c r="N774">
        <v>5.83</v>
      </c>
      <c r="O774">
        <v>24.24</v>
      </c>
      <c r="P774" t="b">
        <v>1</v>
      </c>
      <c r="Q774">
        <v>0</v>
      </c>
      <c r="R774">
        <v>1404</v>
      </c>
      <c r="U774" t="s">
        <v>2536</v>
      </c>
      <c r="V774" t="s">
        <v>3400</v>
      </c>
      <c r="W774">
        <v>0</v>
      </c>
      <c r="X774">
        <v>-25.5</v>
      </c>
      <c r="Y774" t="s">
        <v>4194</v>
      </c>
      <c r="Z774">
        <v>9.2083272948043202</v>
      </c>
      <c r="AA774">
        <v>1089</v>
      </c>
      <c r="AB774">
        <v>79184</v>
      </c>
      <c r="AC774" t="s">
        <v>5055</v>
      </c>
      <c r="AD774">
        <v>33.44</v>
      </c>
      <c r="AE774" t="s">
        <v>5919</v>
      </c>
      <c r="AF774" t="s">
        <v>6727</v>
      </c>
      <c r="AG774">
        <v>1288</v>
      </c>
      <c r="AH774">
        <v>145</v>
      </c>
      <c r="AI774">
        <v>299270</v>
      </c>
      <c r="AJ774">
        <v>1.7</v>
      </c>
    </row>
    <row r="775" spans="1:36">
      <c r="A775" s="1" t="s">
        <v>809</v>
      </c>
      <c r="B775" t="s">
        <v>1673</v>
      </c>
      <c r="C775" t="str">
        <f>HYPERLINK("https://finance.naver.com/item/coinfo.nhn?code=122990", "A122990")</f>
        <v>A122990</v>
      </c>
      <c r="D775" t="str">
        <f>HYPERLINK("http://comp.fnguide.com/SVO2/ASP/SVD_Consensus.asp?pGB=1&amp;gicode=A122990&amp;cID=&amp;MenuYn=Y&amp;ReportGB=&amp;NewMenuID=108&amp;stkGb=701", "와이솔")</f>
        <v>와이솔</v>
      </c>
      <c r="E775">
        <v>2</v>
      </c>
      <c r="F775">
        <v>15850</v>
      </c>
      <c r="G775">
        <v>-0.43</v>
      </c>
      <c r="H775">
        <v>12.55</v>
      </c>
      <c r="I775">
        <v>23796</v>
      </c>
      <c r="J775">
        <v>16895</v>
      </c>
      <c r="K775">
        <v>14934</v>
      </c>
      <c r="L775">
        <v>-50.13</v>
      </c>
      <c r="M775">
        <v>-6.59</v>
      </c>
      <c r="N775">
        <v>5.78</v>
      </c>
      <c r="O775">
        <v>15.33</v>
      </c>
      <c r="P775" t="b">
        <v>1</v>
      </c>
      <c r="Q775">
        <v>0</v>
      </c>
      <c r="R775">
        <v>1203</v>
      </c>
      <c r="S775">
        <v>685</v>
      </c>
      <c r="T775">
        <v>-43.1</v>
      </c>
      <c r="U775" t="s">
        <v>2537</v>
      </c>
      <c r="V775" t="s">
        <v>3401</v>
      </c>
      <c r="W775">
        <v>-29.176657791815789</v>
      </c>
      <c r="X775">
        <v>-76.7</v>
      </c>
      <c r="Y775" t="s">
        <v>4195</v>
      </c>
      <c r="Z775">
        <v>-26.363538436015581</v>
      </c>
      <c r="AA775">
        <v>4465</v>
      </c>
      <c r="AB775">
        <v>246845</v>
      </c>
      <c r="AC775" t="s">
        <v>5056</v>
      </c>
      <c r="AD775">
        <v>36.090000000000003</v>
      </c>
      <c r="AE775" t="s">
        <v>5920</v>
      </c>
      <c r="AF775" t="s">
        <v>6728</v>
      </c>
      <c r="AG775">
        <v>3703</v>
      </c>
      <c r="AH775">
        <v>400</v>
      </c>
      <c r="AI775">
        <v>515408</v>
      </c>
      <c r="AJ775">
        <v>1.66</v>
      </c>
    </row>
    <row r="776" spans="1:36">
      <c r="A776" s="1" t="s">
        <v>810</v>
      </c>
      <c r="B776" t="s">
        <v>1674</v>
      </c>
      <c r="C776" t="str">
        <f>HYPERLINK("https://finance.naver.com/item/coinfo.nhn?code=290120", "A290120")</f>
        <v>A290120</v>
      </c>
      <c r="D776" t="str">
        <f>HYPERLINK("http://comp.fnguide.com/SVO2/ASP/SVD_Consensus.asp?pGB=1&amp;gicode=A290120&amp;cID=&amp;MenuYn=Y&amp;ReportGB=&amp;NewMenuID=108&amp;stkGb=701", "대유에이피")</f>
        <v>대유에이피</v>
      </c>
      <c r="E776">
        <v>2</v>
      </c>
      <c r="F776">
        <v>7210</v>
      </c>
      <c r="G776">
        <v>0</v>
      </c>
      <c r="H776">
        <v>9.73</v>
      </c>
      <c r="I776">
        <v>12089</v>
      </c>
      <c r="J776">
        <v>7397</v>
      </c>
      <c r="K776">
        <v>6064</v>
      </c>
      <c r="L776">
        <v>-67.67</v>
      </c>
      <c r="M776">
        <v>-2.59</v>
      </c>
      <c r="N776">
        <v>15.9</v>
      </c>
      <c r="O776">
        <v>22.37</v>
      </c>
      <c r="P776" t="b">
        <v>1</v>
      </c>
      <c r="Q776">
        <v>0</v>
      </c>
      <c r="R776">
        <v>733</v>
      </c>
      <c r="U776" t="s">
        <v>2538</v>
      </c>
      <c r="V776" t="s">
        <v>3402</v>
      </c>
      <c r="W776">
        <v>0</v>
      </c>
      <c r="X776">
        <v>196.1</v>
      </c>
      <c r="Y776" t="s">
        <v>4196</v>
      </c>
      <c r="Z776">
        <v>0</v>
      </c>
      <c r="AA776">
        <v>785</v>
      </c>
      <c r="AB776">
        <v>58393</v>
      </c>
      <c r="AC776" t="s">
        <v>5057</v>
      </c>
      <c r="AD776">
        <v>73.5</v>
      </c>
      <c r="AE776" t="s">
        <v>5921</v>
      </c>
      <c r="AF776" t="s">
        <v>6729</v>
      </c>
      <c r="AG776">
        <v>1575</v>
      </c>
      <c r="AH776">
        <v>101</v>
      </c>
      <c r="AJ776">
        <v>2.81</v>
      </c>
    </row>
    <row r="777" spans="1:36">
      <c r="A777" s="1" t="s">
        <v>811</v>
      </c>
      <c r="B777" t="s">
        <v>1675</v>
      </c>
      <c r="C777" t="str">
        <f>HYPERLINK("https://finance.naver.com/item/coinfo.nhn?code=043150", "A043150")</f>
        <v>A043150</v>
      </c>
      <c r="D777" t="str">
        <f>HYPERLINK("http://comp.fnguide.com/SVO2/ASP/SVD_Consensus.asp?pGB=1&amp;gicode=A043150&amp;cID=&amp;MenuYn=Y&amp;ReportGB=&amp;NewMenuID=108&amp;stkGb=701", "바텍")</f>
        <v>바텍</v>
      </c>
      <c r="E777">
        <v>2</v>
      </c>
      <c r="F777">
        <v>22250</v>
      </c>
      <c r="G777">
        <v>-0.35</v>
      </c>
      <c r="H777">
        <v>12.8</v>
      </c>
      <c r="I777">
        <v>40689</v>
      </c>
      <c r="J777">
        <v>26273</v>
      </c>
      <c r="K777">
        <v>22176</v>
      </c>
      <c r="L777">
        <v>-82.87</v>
      </c>
      <c r="M777">
        <v>-18.079999999999998</v>
      </c>
      <c r="N777">
        <v>0.33</v>
      </c>
      <c r="O777">
        <v>19.309999999999999</v>
      </c>
      <c r="P777" t="b">
        <v>1</v>
      </c>
      <c r="Q777">
        <v>0</v>
      </c>
      <c r="R777">
        <v>2281</v>
      </c>
      <c r="S777">
        <v>1357</v>
      </c>
      <c r="T777">
        <v>-40.5</v>
      </c>
      <c r="U777" t="s">
        <v>2539</v>
      </c>
      <c r="V777" t="s">
        <v>3403</v>
      </c>
      <c r="W777">
        <v>-36.573745892485967</v>
      </c>
      <c r="X777">
        <v>-65</v>
      </c>
      <c r="Y777" t="s">
        <v>4197</v>
      </c>
      <c r="Z777">
        <v>-11.03332079656073</v>
      </c>
      <c r="AA777">
        <v>3305</v>
      </c>
      <c r="AB777">
        <v>47340</v>
      </c>
      <c r="AC777" t="s">
        <v>5058</v>
      </c>
      <c r="AD777">
        <v>53.65</v>
      </c>
      <c r="AE777" t="s">
        <v>5922</v>
      </c>
      <c r="AF777" t="s">
        <v>6730</v>
      </c>
      <c r="AG777">
        <v>2717</v>
      </c>
      <c r="AH777">
        <v>429</v>
      </c>
      <c r="AJ777">
        <v>0.34</v>
      </c>
    </row>
    <row r="778" spans="1:36">
      <c r="A778" s="1" t="s">
        <v>812</v>
      </c>
      <c r="B778" t="s">
        <v>1676</v>
      </c>
      <c r="C778" t="str">
        <f>HYPERLINK("https://finance.naver.com/item/coinfo.nhn?code=056190", "A056190")</f>
        <v>A056190</v>
      </c>
      <c r="D778" t="str">
        <f>HYPERLINK("http://comp.fnguide.com/SVO2/ASP/SVD_Consensus.asp?pGB=1&amp;gicode=A056190&amp;cID=&amp;MenuYn=Y&amp;ReportGB=&amp;NewMenuID=108&amp;stkGb=701", "에스에프에이")</f>
        <v>에스에프에이</v>
      </c>
      <c r="E778">
        <v>2</v>
      </c>
      <c r="F778">
        <v>37950</v>
      </c>
      <c r="G778">
        <v>-0.71</v>
      </c>
      <c r="H778">
        <v>12.58</v>
      </c>
      <c r="I778">
        <v>60076</v>
      </c>
      <c r="J778">
        <v>38598</v>
      </c>
      <c r="K778">
        <v>32494</v>
      </c>
      <c r="L778">
        <v>-58.3</v>
      </c>
      <c r="M778">
        <v>-1.71</v>
      </c>
      <c r="N778">
        <v>14.38</v>
      </c>
      <c r="O778">
        <v>19.57</v>
      </c>
      <c r="P778" t="b">
        <v>1</v>
      </c>
      <c r="Q778">
        <v>0</v>
      </c>
      <c r="R778">
        <v>3676</v>
      </c>
      <c r="S778">
        <v>3054</v>
      </c>
      <c r="T778">
        <v>-16.899999999999999</v>
      </c>
      <c r="U778" t="s">
        <v>2540</v>
      </c>
      <c r="V778" t="s">
        <v>3404</v>
      </c>
      <c r="W778">
        <v>-17.713759031837832</v>
      </c>
      <c r="X778">
        <v>-9</v>
      </c>
      <c r="Y778" t="s">
        <v>4198</v>
      </c>
      <c r="Z778">
        <v>31.257807057461999</v>
      </c>
      <c r="AA778">
        <v>13627</v>
      </c>
      <c r="AB778">
        <v>142459</v>
      </c>
      <c r="AC778" t="s">
        <v>5059</v>
      </c>
      <c r="AD778">
        <v>54.02</v>
      </c>
      <c r="AE778" t="s">
        <v>5923</v>
      </c>
      <c r="AF778" t="s">
        <v>6731</v>
      </c>
      <c r="AG778">
        <v>15777</v>
      </c>
      <c r="AH778">
        <v>2142</v>
      </c>
      <c r="AJ778">
        <v>2.2799999999999998</v>
      </c>
    </row>
    <row r="779" spans="1:36">
      <c r="A779" s="1" t="s">
        <v>813</v>
      </c>
      <c r="B779" t="s">
        <v>1677</v>
      </c>
      <c r="C779" t="str">
        <f>HYPERLINK("https://finance.naver.com/item/coinfo.nhn?code=011780", "A011780")</f>
        <v>A011780</v>
      </c>
      <c r="D779" t="str">
        <f>HYPERLINK("http://comp.fnguide.com/SVO2/ASP/SVD_Consensus.asp?pGB=1&amp;gicode=A011780&amp;cID=&amp;MenuYn=Y&amp;ReportGB=&amp;NewMenuID=108&amp;stkGb=701", "금호석유")</f>
        <v>금호석유</v>
      </c>
      <c r="E779">
        <v>2</v>
      </c>
      <c r="F779">
        <v>138500</v>
      </c>
      <c r="G779">
        <v>0.25</v>
      </c>
      <c r="H779">
        <v>8.81</v>
      </c>
      <c r="I779">
        <v>210190</v>
      </c>
      <c r="J779">
        <v>147304</v>
      </c>
      <c r="K779">
        <v>129433</v>
      </c>
      <c r="L779">
        <v>-51.76</v>
      </c>
      <c r="M779">
        <v>-6.36</v>
      </c>
      <c r="N779">
        <v>6.55</v>
      </c>
      <c r="O779">
        <v>15.79</v>
      </c>
      <c r="P779" t="b">
        <v>1</v>
      </c>
      <c r="Q779">
        <v>1</v>
      </c>
      <c r="R779">
        <v>8796</v>
      </c>
      <c r="S779">
        <v>15667</v>
      </c>
      <c r="T779">
        <v>78.099999999999994</v>
      </c>
      <c r="U779" t="s">
        <v>2541</v>
      </c>
      <c r="V779" t="s">
        <v>3405</v>
      </c>
      <c r="W779">
        <v>34.952521026695969</v>
      </c>
      <c r="X779">
        <v>35</v>
      </c>
      <c r="Y779" t="s">
        <v>4199</v>
      </c>
      <c r="Z779">
        <v>27.325742470001831</v>
      </c>
      <c r="AA779">
        <v>42198</v>
      </c>
      <c r="AB779">
        <v>294190</v>
      </c>
      <c r="AC779" t="s">
        <v>5060</v>
      </c>
      <c r="AD779">
        <v>24.87</v>
      </c>
      <c r="AE779" t="s">
        <v>5924</v>
      </c>
      <c r="AF779" t="s">
        <v>6732</v>
      </c>
      <c r="AG779">
        <v>49779</v>
      </c>
      <c r="AH779">
        <v>3678</v>
      </c>
      <c r="AI779">
        <v>5592528</v>
      </c>
      <c r="AJ779">
        <v>1.94</v>
      </c>
    </row>
    <row r="780" spans="1:36">
      <c r="A780" s="1" t="s">
        <v>814</v>
      </c>
      <c r="B780" t="s">
        <v>1678</v>
      </c>
      <c r="C780" t="str">
        <f>HYPERLINK("https://finance.naver.com/item/coinfo.nhn?code=121800", "A121800")</f>
        <v>A121800</v>
      </c>
      <c r="D780" t="str">
        <f>HYPERLINK("http://comp.fnguide.com/SVO2/ASP/SVD_Consensus.asp?pGB=1&amp;gicode=A121800&amp;cID=&amp;MenuYn=Y&amp;ReportGB=&amp;NewMenuID=108&amp;stkGb=701", "비덴트")</f>
        <v>비덴트</v>
      </c>
      <c r="E780">
        <v>2</v>
      </c>
      <c r="F780">
        <v>7970</v>
      </c>
      <c r="G780">
        <v>0</v>
      </c>
      <c r="I780">
        <v>15614</v>
      </c>
      <c r="J780">
        <v>9513</v>
      </c>
      <c r="K780">
        <v>7780</v>
      </c>
      <c r="L780">
        <v>-95.9</v>
      </c>
      <c r="M780">
        <v>-19.37</v>
      </c>
      <c r="N780">
        <v>2.39</v>
      </c>
      <c r="O780">
        <v>22.64</v>
      </c>
      <c r="P780" t="b">
        <v>0</v>
      </c>
      <c r="Q780">
        <v>0</v>
      </c>
      <c r="R780">
        <v>-258</v>
      </c>
      <c r="U780" t="s">
        <v>2542</v>
      </c>
      <c r="V780" t="s">
        <v>3406</v>
      </c>
      <c r="W780">
        <v>0</v>
      </c>
      <c r="X780">
        <v>0</v>
      </c>
      <c r="Y780" t="s">
        <v>4200</v>
      </c>
      <c r="Z780">
        <v>-19.70000000000001</v>
      </c>
      <c r="AA780">
        <v>3627</v>
      </c>
      <c r="AB780">
        <v>1428540</v>
      </c>
      <c r="AC780" t="s">
        <v>5061</v>
      </c>
      <c r="AD780">
        <v>21.44</v>
      </c>
      <c r="AE780" t="s">
        <v>5925</v>
      </c>
      <c r="AF780" t="s">
        <v>6733</v>
      </c>
      <c r="AG780">
        <v>187</v>
      </c>
      <c r="AH780">
        <v>-18</v>
      </c>
      <c r="AI780">
        <v>4015</v>
      </c>
    </row>
    <row r="781" spans="1:36">
      <c r="A781" s="1" t="s">
        <v>815</v>
      </c>
      <c r="B781" t="s">
        <v>1679</v>
      </c>
      <c r="C781" t="str">
        <f>HYPERLINK("https://finance.naver.com/item/coinfo.nhn?code=272550", "A272550")</f>
        <v>A272550</v>
      </c>
      <c r="D781" t="str">
        <f>HYPERLINK("http://comp.fnguide.com/SVO2/ASP/SVD_Consensus.asp?pGB=1&amp;gicode=A272550&amp;cID=&amp;MenuYn=Y&amp;ReportGB=&amp;NewMenuID=108&amp;stkGb=701", "삼양패키징")</f>
        <v>삼양패키징</v>
      </c>
      <c r="E781">
        <v>2</v>
      </c>
      <c r="F781">
        <v>21700</v>
      </c>
      <c r="G781">
        <v>0</v>
      </c>
      <c r="H781">
        <v>7.88</v>
      </c>
      <c r="I781">
        <v>25231</v>
      </c>
      <c r="J781">
        <v>22169</v>
      </c>
      <c r="K781">
        <v>21298</v>
      </c>
      <c r="L781">
        <v>-16.27</v>
      </c>
      <c r="M781">
        <v>-2.16</v>
      </c>
      <c r="N781">
        <v>1.85</v>
      </c>
      <c r="O781">
        <v>9.9499999999999993</v>
      </c>
      <c r="P781" t="b">
        <v>1</v>
      </c>
      <c r="Q781">
        <v>0</v>
      </c>
      <c r="R781">
        <v>1998</v>
      </c>
      <c r="U781" t="s">
        <v>2543</v>
      </c>
      <c r="V781" t="s">
        <v>3407</v>
      </c>
      <c r="W781">
        <v>0</v>
      </c>
      <c r="X781">
        <v>54.4</v>
      </c>
      <c r="Y781" t="s">
        <v>4201</v>
      </c>
      <c r="Z781">
        <v>30.721490388338221</v>
      </c>
      <c r="AA781">
        <v>3084</v>
      </c>
      <c r="AB781">
        <v>31906</v>
      </c>
      <c r="AC781" t="s">
        <v>5062</v>
      </c>
      <c r="AD781">
        <v>71.010000000000005</v>
      </c>
      <c r="AE781" t="s">
        <v>5926</v>
      </c>
      <c r="AF781" t="s">
        <v>6734</v>
      </c>
      <c r="AG781">
        <v>3754</v>
      </c>
      <c r="AH781">
        <v>416</v>
      </c>
      <c r="AJ781">
        <v>4.76</v>
      </c>
    </row>
    <row r="782" spans="1:36">
      <c r="A782" s="1" t="s">
        <v>816</v>
      </c>
      <c r="B782" t="s">
        <v>1680</v>
      </c>
      <c r="C782" t="str">
        <f>HYPERLINK("https://finance.naver.com/item/coinfo.nhn?code=002410", "A002410")</f>
        <v>A002410</v>
      </c>
      <c r="D782" t="str">
        <f>HYPERLINK("http://comp.fnguide.com/SVO2/ASP/SVD_Consensus.asp?pGB=1&amp;gicode=A002410&amp;cID=&amp;MenuYn=Y&amp;ReportGB=&amp;NewMenuID=108&amp;stkGb=701", "범양건영")</f>
        <v>범양건영</v>
      </c>
      <c r="E782">
        <v>1</v>
      </c>
      <c r="F782">
        <v>4800</v>
      </c>
      <c r="G782">
        <v>0</v>
      </c>
      <c r="H782">
        <v>4.12</v>
      </c>
      <c r="I782">
        <v>7354</v>
      </c>
      <c r="J782">
        <v>4625</v>
      </c>
      <c r="K782">
        <v>3850</v>
      </c>
      <c r="L782">
        <v>-53.21</v>
      </c>
      <c r="M782">
        <v>3.64</v>
      </c>
      <c r="N782">
        <v>19.79</v>
      </c>
      <c r="O782">
        <v>20.71</v>
      </c>
      <c r="P782" t="b">
        <v>1</v>
      </c>
      <c r="Q782">
        <v>0</v>
      </c>
      <c r="R782">
        <v>794</v>
      </c>
      <c r="U782" t="s">
        <v>2544</v>
      </c>
      <c r="V782" t="s">
        <v>3408</v>
      </c>
      <c r="W782">
        <v>0</v>
      </c>
      <c r="X782">
        <v>-43.8</v>
      </c>
      <c r="Y782" t="s">
        <v>4202</v>
      </c>
      <c r="Z782">
        <v>112.6799412753776</v>
      </c>
      <c r="AA782">
        <v>1192</v>
      </c>
      <c r="AB782">
        <v>290950</v>
      </c>
      <c r="AC782" t="s">
        <v>5063</v>
      </c>
      <c r="AD782">
        <v>33.22</v>
      </c>
      <c r="AE782" t="s">
        <v>5927</v>
      </c>
      <c r="AF782" t="s">
        <v>6735</v>
      </c>
      <c r="AG782">
        <v>2761</v>
      </c>
      <c r="AH782">
        <v>115</v>
      </c>
      <c r="AI782">
        <v>2030</v>
      </c>
    </row>
    <row r="783" spans="1:36">
      <c r="A783" s="1" t="s">
        <v>817</v>
      </c>
      <c r="B783" t="s">
        <v>1681</v>
      </c>
      <c r="C783" t="str">
        <f>HYPERLINK("https://finance.naver.com/item/coinfo.nhn?code=086280", "A086280")</f>
        <v>A086280</v>
      </c>
      <c r="D783" t="str">
        <f>HYPERLINK("http://comp.fnguide.com/SVO2/ASP/SVD_Consensus.asp?pGB=1&amp;gicode=A086280&amp;cID=&amp;MenuYn=Y&amp;ReportGB=&amp;NewMenuID=108&amp;stkGb=701", "현대글로비스")</f>
        <v>현대글로비스</v>
      </c>
      <c r="E783">
        <v>1</v>
      </c>
      <c r="F783">
        <v>182000</v>
      </c>
      <c r="G783">
        <v>-1.87</v>
      </c>
      <c r="H783">
        <v>10.68</v>
      </c>
      <c r="I783">
        <v>191308</v>
      </c>
      <c r="J783">
        <v>151137</v>
      </c>
      <c r="K783">
        <v>139720</v>
      </c>
      <c r="L783">
        <v>-5.1100000000000003</v>
      </c>
      <c r="M783">
        <v>16.96</v>
      </c>
      <c r="N783">
        <v>23.23</v>
      </c>
      <c r="O783">
        <v>12.2</v>
      </c>
      <c r="P783" t="b">
        <v>0</v>
      </c>
      <c r="Q783">
        <v>2</v>
      </c>
      <c r="R783">
        <v>13395</v>
      </c>
      <c r="S783">
        <v>15205</v>
      </c>
      <c r="T783">
        <v>13.5</v>
      </c>
      <c r="U783" t="s">
        <v>2545</v>
      </c>
      <c r="V783" t="s">
        <v>3409</v>
      </c>
      <c r="W783">
        <v>-5.7005945878681459</v>
      </c>
      <c r="X783">
        <v>60.4</v>
      </c>
      <c r="Y783" t="s">
        <v>4203</v>
      </c>
      <c r="Z783">
        <v>16.423818867072409</v>
      </c>
      <c r="AA783">
        <v>68250</v>
      </c>
      <c r="AB783">
        <v>125458</v>
      </c>
      <c r="AC783" t="s">
        <v>5064</v>
      </c>
      <c r="AD783">
        <v>51.39</v>
      </c>
      <c r="AE783" t="s">
        <v>5928</v>
      </c>
      <c r="AF783" t="s">
        <v>6736</v>
      </c>
      <c r="AG783">
        <v>182701</v>
      </c>
      <c r="AH783">
        <v>8765</v>
      </c>
      <c r="AJ783">
        <v>2.4500000000000002</v>
      </c>
    </row>
    <row r="784" spans="1:36">
      <c r="A784" s="1" t="s">
        <v>818</v>
      </c>
      <c r="B784" t="s">
        <v>1682</v>
      </c>
      <c r="C784" t="str">
        <f>HYPERLINK("https://finance.naver.com/item/coinfo.nhn?code=215200", "A215200")</f>
        <v>A215200</v>
      </c>
      <c r="D784" t="str">
        <f>HYPERLINK("http://comp.fnguide.com/SVO2/ASP/SVD_Consensus.asp?pGB=1&amp;gicode=A215200&amp;cID=&amp;MenuYn=Y&amp;ReportGB=&amp;NewMenuID=108&amp;stkGb=701", "메가스터디교육")</f>
        <v>메가스터디교육</v>
      </c>
      <c r="E784">
        <v>1</v>
      </c>
      <c r="F784">
        <v>37400</v>
      </c>
      <c r="G784">
        <v>0.27</v>
      </c>
      <c r="H784">
        <v>10.42</v>
      </c>
      <c r="I784">
        <v>47831</v>
      </c>
      <c r="J784">
        <v>31678</v>
      </c>
      <c r="K784">
        <v>27087</v>
      </c>
      <c r="L784">
        <v>-27.89</v>
      </c>
      <c r="M784">
        <v>15.3</v>
      </c>
      <c r="N784">
        <v>27.57</v>
      </c>
      <c r="O784">
        <v>18.100000000000001</v>
      </c>
      <c r="P784" t="b">
        <v>0</v>
      </c>
      <c r="Q784">
        <v>0</v>
      </c>
      <c r="R784">
        <v>3985</v>
      </c>
      <c r="S784">
        <v>2206</v>
      </c>
      <c r="T784">
        <v>-44.6</v>
      </c>
      <c r="U784" t="s">
        <v>2546</v>
      </c>
      <c r="V784" t="s">
        <v>3410</v>
      </c>
      <c r="W784">
        <v>38.499706377235519</v>
      </c>
      <c r="X784">
        <v>-49.7</v>
      </c>
      <c r="Y784" t="s">
        <v>4204</v>
      </c>
      <c r="Z784">
        <v>23.811396712137231</v>
      </c>
      <c r="AA784">
        <v>4429</v>
      </c>
      <c r="AB784">
        <v>112882</v>
      </c>
      <c r="AC784" t="s">
        <v>5065</v>
      </c>
      <c r="AD784">
        <v>34.909999999999997</v>
      </c>
      <c r="AE784" t="s">
        <v>5929</v>
      </c>
      <c r="AF784" t="s">
        <v>6737</v>
      </c>
      <c r="AG784">
        <v>4373</v>
      </c>
      <c r="AH784">
        <v>596</v>
      </c>
      <c r="AI784">
        <v>80557</v>
      </c>
      <c r="AJ784">
        <v>2.65</v>
      </c>
    </row>
    <row r="785" spans="1:36">
      <c r="A785" s="1" t="s">
        <v>819</v>
      </c>
      <c r="B785" t="s">
        <v>1683</v>
      </c>
      <c r="C785" t="str">
        <f>HYPERLINK("https://finance.naver.com/item/coinfo.nhn?code=148150", "A148150")</f>
        <v>A148150</v>
      </c>
      <c r="D785" t="str">
        <f>HYPERLINK("http://comp.fnguide.com/SVO2/ASP/SVD_Consensus.asp?pGB=1&amp;gicode=A148150&amp;cID=&amp;MenuYn=Y&amp;ReportGB=&amp;NewMenuID=108&amp;stkGb=701", "세경하이테크")</f>
        <v>세경하이테크</v>
      </c>
      <c r="E785">
        <v>1</v>
      </c>
      <c r="F785">
        <v>21950</v>
      </c>
      <c r="G785">
        <v>0</v>
      </c>
      <c r="H785">
        <v>17.739999999999998</v>
      </c>
      <c r="I785">
        <v>36948</v>
      </c>
      <c r="J785">
        <v>21860</v>
      </c>
      <c r="K785">
        <v>17572</v>
      </c>
      <c r="L785">
        <v>-68.33</v>
      </c>
      <c r="M785">
        <v>0.41</v>
      </c>
      <c r="N785">
        <v>19.95</v>
      </c>
      <c r="O785">
        <v>24.71</v>
      </c>
      <c r="P785" t="b">
        <v>1</v>
      </c>
      <c r="Q785">
        <v>0</v>
      </c>
      <c r="R785">
        <v>2013</v>
      </c>
      <c r="S785">
        <v>180</v>
      </c>
      <c r="T785">
        <v>-91.1</v>
      </c>
      <c r="U785" t="s">
        <v>2547</v>
      </c>
      <c r="V785" t="s">
        <v>3411</v>
      </c>
      <c r="W785">
        <v>0</v>
      </c>
      <c r="X785">
        <v>0</v>
      </c>
      <c r="Y785" t="s">
        <v>4205</v>
      </c>
      <c r="Z785">
        <v>-44.291831837691873</v>
      </c>
      <c r="AA785">
        <v>2555</v>
      </c>
      <c r="AB785">
        <v>83023</v>
      </c>
      <c r="AC785" t="s">
        <v>5066</v>
      </c>
      <c r="AD785">
        <v>35.6</v>
      </c>
      <c r="AE785" t="s">
        <v>5930</v>
      </c>
      <c r="AF785" t="s">
        <v>6738</v>
      </c>
      <c r="AG785">
        <v>2813</v>
      </c>
      <c r="AH785">
        <v>234</v>
      </c>
      <c r="AJ785">
        <v>0.7</v>
      </c>
    </row>
    <row r="786" spans="1:36">
      <c r="A786" s="1" t="s">
        <v>820</v>
      </c>
      <c r="B786" t="s">
        <v>1684</v>
      </c>
      <c r="C786" t="str">
        <f>HYPERLINK("https://finance.naver.com/item/coinfo.nhn?code=248170", "A248170")</f>
        <v>A248170</v>
      </c>
      <c r="D786" t="str">
        <f>HYPERLINK("http://comp.fnguide.com/SVO2/ASP/SVD_Consensus.asp?pGB=1&amp;gicode=A248170&amp;cID=&amp;MenuYn=Y&amp;ReportGB=&amp;NewMenuID=108&amp;stkGb=701", "샘표식품")</f>
        <v>샘표식품</v>
      </c>
      <c r="E786">
        <v>1</v>
      </c>
      <c r="F786">
        <v>51700</v>
      </c>
      <c r="G786">
        <v>0</v>
      </c>
      <c r="H786">
        <v>5.79</v>
      </c>
      <c r="I786">
        <v>68832</v>
      </c>
      <c r="J786">
        <v>48103</v>
      </c>
      <c r="K786">
        <v>42213</v>
      </c>
      <c r="L786">
        <v>-33.14</v>
      </c>
      <c r="M786">
        <v>6.96</v>
      </c>
      <c r="N786">
        <v>18.350000000000001</v>
      </c>
      <c r="O786">
        <v>15.9</v>
      </c>
      <c r="P786" t="b">
        <v>1</v>
      </c>
      <c r="Q786">
        <v>0</v>
      </c>
      <c r="R786">
        <v>5870</v>
      </c>
      <c r="U786" t="s">
        <v>2548</v>
      </c>
      <c r="V786" t="s">
        <v>3412</v>
      </c>
      <c r="W786">
        <v>0</v>
      </c>
      <c r="X786">
        <v>48.1</v>
      </c>
      <c r="Y786" t="s">
        <v>4206</v>
      </c>
      <c r="Z786">
        <v>0</v>
      </c>
      <c r="AA786">
        <v>2362</v>
      </c>
      <c r="AB786">
        <v>192633</v>
      </c>
      <c r="AC786" t="s">
        <v>5067</v>
      </c>
      <c r="AD786">
        <v>60.02</v>
      </c>
      <c r="AE786" t="s">
        <v>5931</v>
      </c>
      <c r="AF786" t="s">
        <v>6739</v>
      </c>
      <c r="AG786">
        <v>2808</v>
      </c>
      <c r="AH786">
        <v>310</v>
      </c>
      <c r="AI786">
        <v>1690</v>
      </c>
      <c r="AJ786">
        <v>0.59</v>
      </c>
    </row>
    <row r="787" spans="1:36">
      <c r="A787" s="1" t="s">
        <v>821</v>
      </c>
      <c r="B787" t="s">
        <v>1685</v>
      </c>
      <c r="C787" t="str">
        <f>HYPERLINK("https://finance.naver.com/item/coinfo.nhn?code=067280", "A067280")</f>
        <v>A067280</v>
      </c>
      <c r="D787" t="str">
        <f>HYPERLINK("http://comp.fnguide.com/SVO2/ASP/SVD_Consensus.asp?pGB=1&amp;gicode=A067280&amp;cID=&amp;MenuYn=Y&amp;ReportGB=&amp;NewMenuID=108&amp;stkGb=701", "멀티캠퍼스")</f>
        <v>멀티캠퍼스</v>
      </c>
      <c r="E787">
        <v>1</v>
      </c>
      <c r="F787">
        <v>34500</v>
      </c>
      <c r="G787">
        <v>0</v>
      </c>
      <c r="H787">
        <v>11.03</v>
      </c>
      <c r="I787">
        <v>42186</v>
      </c>
      <c r="J787">
        <v>27940</v>
      </c>
      <c r="K787">
        <v>23892</v>
      </c>
      <c r="L787">
        <v>-22.28</v>
      </c>
      <c r="M787">
        <v>19.010000000000002</v>
      </c>
      <c r="N787">
        <v>30.75</v>
      </c>
      <c r="O787">
        <v>18.100000000000001</v>
      </c>
      <c r="P787" t="b">
        <v>1</v>
      </c>
      <c r="Q787">
        <v>0</v>
      </c>
      <c r="R787">
        <v>3143</v>
      </c>
      <c r="U787" t="s">
        <v>2549</v>
      </c>
      <c r="V787" t="s">
        <v>3413</v>
      </c>
      <c r="W787">
        <v>0</v>
      </c>
      <c r="X787">
        <v>-62</v>
      </c>
      <c r="Y787" t="s">
        <v>4207</v>
      </c>
      <c r="Z787">
        <v>-7.4099425031352588</v>
      </c>
      <c r="AA787">
        <v>2045</v>
      </c>
      <c r="AB787">
        <v>17282</v>
      </c>
      <c r="AC787" t="s">
        <v>5068</v>
      </c>
      <c r="AD787">
        <v>62.44</v>
      </c>
      <c r="AE787" t="s">
        <v>5932</v>
      </c>
      <c r="AF787" t="s">
        <v>6740</v>
      </c>
      <c r="AG787">
        <v>2880</v>
      </c>
      <c r="AH787">
        <v>242</v>
      </c>
      <c r="AJ787">
        <v>1.73</v>
      </c>
    </row>
    <row r="788" spans="1:36">
      <c r="A788" s="1" t="s">
        <v>822</v>
      </c>
      <c r="B788" t="s">
        <v>1686</v>
      </c>
      <c r="C788" t="str">
        <f>HYPERLINK("https://finance.naver.com/item/coinfo.nhn?code=339950", "A339950")</f>
        <v>A339950</v>
      </c>
      <c r="D788" t="str">
        <f>HYPERLINK("http://comp.fnguide.com/SVO2/ASP/SVD_Consensus.asp?pGB=1&amp;gicode=A339950&amp;cID=&amp;MenuYn=Y&amp;ReportGB=&amp;NewMenuID=108&amp;stkGb=701", "아이비김영")</f>
        <v>아이비김영</v>
      </c>
      <c r="E788">
        <v>1</v>
      </c>
      <c r="F788">
        <v>1640</v>
      </c>
      <c r="I788">
        <v>3453</v>
      </c>
      <c r="J788">
        <v>1611</v>
      </c>
      <c r="K788">
        <v>1087</v>
      </c>
      <c r="L788">
        <v>-110.53</v>
      </c>
      <c r="M788">
        <v>1.79</v>
      </c>
      <c r="N788">
        <v>33.71</v>
      </c>
      <c r="O788">
        <v>70.099999999999994</v>
      </c>
      <c r="P788" t="b">
        <v>0</v>
      </c>
      <c r="Q788">
        <v>0</v>
      </c>
      <c r="R788">
        <v>157</v>
      </c>
      <c r="S788">
        <v>22</v>
      </c>
      <c r="T788">
        <v>-86</v>
      </c>
      <c r="U788" t="s">
        <v>2550</v>
      </c>
      <c r="V788" t="s">
        <v>3414</v>
      </c>
      <c r="W788">
        <v>-12.676503610404041</v>
      </c>
      <c r="X788">
        <v>0</v>
      </c>
      <c r="Y788" t="s">
        <v>4208</v>
      </c>
      <c r="Z788">
        <v>254.06537402242989</v>
      </c>
      <c r="AA788">
        <v>697</v>
      </c>
      <c r="AB788">
        <v>92718</v>
      </c>
      <c r="AC788" t="s">
        <v>5069</v>
      </c>
      <c r="AD788">
        <v>68.41</v>
      </c>
      <c r="AE788" t="s">
        <v>5933</v>
      </c>
      <c r="AF788" t="s">
        <v>6741</v>
      </c>
      <c r="AG788">
        <v>547</v>
      </c>
      <c r="AH788">
        <v>73</v>
      </c>
      <c r="AI788">
        <v>1832829</v>
      </c>
    </row>
    <row r="789" spans="1:36">
      <c r="A789" s="1" t="s">
        <v>823</v>
      </c>
      <c r="B789" t="s">
        <v>1687</v>
      </c>
      <c r="C789" t="str">
        <f>HYPERLINK("https://finance.naver.com/item/coinfo.nhn?code=097950", "A097950")</f>
        <v>A097950</v>
      </c>
      <c r="D789" t="str">
        <f>HYPERLINK("http://comp.fnguide.com/SVO2/ASP/SVD_Consensus.asp?pGB=1&amp;gicode=A097950&amp;cID=&amp;MenuYn=Y&amp;ReportGB=&amp;NewMenuID=108&amp;stkGb=701", "CJ제일제당")</f>
        <v>CJ제일제당</v>
      </c>
      <c r="E789">
        <v>1</v>
      </c>
      <c r="F789">
        <v>382500</v>
      </c>
      <c r="G789">
        <v>1.1100000000000001</v>
      </c>
      <c r="H789">
        <v>27.12</v>
      </c>
      <c r="I789">
        <v>441342</v>
      </c>
      <c r="J789">
        <v>375617</v>
      </c>
      <c r="K789">
        <v>356939</v>
      </c>
      <c r="L789">
        <v>-15.38</v>
      </c>
      <c r="M789">
        <v>1.8</v>
      </c>
      <c r="N789">
        <v>6.68</v>
      </c>
      <c r="O789">
        <v>10.55</v>
      </c>
      <c r="P789" t="b">
        <v>0</v>
      </c>
      <c r="Q789">
        <v>1</v>
      </c>
      <c r="R789">
        <v>9312</v>
      </c>
      <c r="S789">
        <v>49057</v>
      </c>
      <c r="T789">
        <v>426.8</v>
      </c>
      <c r="U789" t="s">
        <v>2551</v>
      </c>
      <c r="V789" t="s">
        <v>3415</v>
      </c>
      <c r="W789">
        <v>24.348303426604989</v>
      </c>
      <c r="X789">
        <v>1077.9000000000001</v>
      </c>
      <c r="Y789" t="s">
        <v>4209</v>
      </c>
      <c r="Z789">
        <v>53.057323847170949</v>
      </c>
      <c r="AA789">
        <v>57582</v>
      </c>
      <c r="AB789">
        <v>54395</v>
      </c>
      <c r="AC789" t="s">
        <v>5070</v>
      </c>
      <c r="AD789">
        <v>45.51</v>
      </c>
      <c r="AE789" t="s">
        <v>5934</v>
      </c>
      <c r="AF789" t="s">
        <v>6742</v>
      </c>
      <c r="AG789">
        <v>223525</v>
      </c>
      <c r="AH789">
        <v>8969</v>
      </c>
      <c r="AI789">
        <v>357302</v>
      </c>
      <c r="AJ789">
        <v>1.39</v>
      </c>
    </row>
    <row r="790" spans="1:36">
      <c r="A790" s="1" t="s">
        <v>824</v>
      </c>
      <c r="B790" t="s">
        <v>1688</v>
      </c>
      <c r="C790" t="str">
        <f>HYPERLINK("https://finance.naver.com/item/coinfo.nhn?code=126700", "A126700")</f>
        <v>A126700</v>
      </c>
      <c r="D790" t="str">
        <f>HYPERLINK("http://comp.fnguide.com/SVO2/ASP/SVD_Consensus.asp?pGB=1&amp;gicode=A126700&amp;cID=&amp;MenuYn=Y&amp;ReportGB=&amp;NewMenuID=108&amp;stkGb=701", "하이비젼시스템")</f>
        <v>하이비젼시스템</v>
      </c>
      <c r="E790">
        <v>1</v>
      </c>
      <c r="F790">
        <v>12800</v>
      </c>
      <c r="G790">
        <v>-1.79</v>
      </c>
      <c r="H790">
        <v>22.26</v>
      </c>
      <c r="I790">
        <v>16211</v>
      </c>
      <c r="J790">
        <v>11862</v>
      </c>
      <c r="K790">
        <v>10626</v>
      </c>
      <c r="L790">
        <v>-26.65</v>
      </c>
      <c r="M790">
        <v>7.33</v>
      </c>
      <c r="N790">
        <v>16.98</v>
      </c>
      <c r="O790">
        <v>14.33</v>
      </c>
      <c r="P790" t="b">
        <v>1</v>
      </c>
      <c r="Q790">
        <v>1</v>
      </c>
      <c r="R790">
        <v>562</v>
      </c>
      <c r="S790">
        <v>924</v>
      </c>
      <c r="T790">
        <v>64.400000000000006</v>
      </c>
      <c r="U790" t="s">
        <v>2552</v>
      </c>
      <c r="V790" t="s">
        <v>3416</v>
      </c>
      <c r="W790">
        <v>-12.41026892124906</v>
      </c>
      <c r="X790">
        <v>-0.3</v>
      </c>
      <c r="Y790" t="s">
        <v>4210</v>
      </c>
      <c r="Z790">
        <v>-2.4626624602953622</v>
      </c>
      <c r="AA790">
        <v>1913</v>
      </c>
      <c r="AB790">
        <v>778532</v>
      </c>
      <c r="AC790" t="s">
        <v>5071</v>
      </c>
      <c r="AD790">
        <v>18.3</v>
      </c>
      <c r="AE790" t="s">
        <v>5935</v>
      </c>
      <c r="AF790" t="s">
        <v>6743</v>
      </c>
      <c r="AG790">
        <v>1342</v>
      </c>
      <c r="AH790">
        <v>36</v>
      </c>
      <c r="AI790">
        <v>1138431</v>
      </c>
      <c r="AJ790">
        <v>0.4</v>
      </c>
    </row>
    <row r="791" spans="1:36">
      <c r="A791" s="1" t="s">
        <v>825</v>
      </c>
      <c r="B791" t="s">
        <v>1689</v>
      </c>
      <c r="C791" t="str">
        <f>HYPERLINK("https://finance.naver.com/item/coinfo.nhn?code=033780", "A033780")</f>
        <v>A033780</v>
      </c>
      <c r="D791" t="str">
        <f>HYPERLINK("http://comp.fnguide.com/SVO2/ASP/SVD_Consensus.asp?pGB=1&amp;gicode=A033780&amp;cID=&amp;MenuYn=Y&amp;ReportGB=&amp;NewMenuID=108&amp;stkGb=701", "KT&amp;G")</f>
        <v>KT&amp;G</v>
      </c>
      <c r="E791">
        <v>1</v>
      </c>
      <c r="F791">
        <v>88400</v>
      </c>
      <c r="G791">
        <v>-5.76</v>
      </c>
      <c r="H791">
        <v>12.42</v>
      </c>
      <c r="I791">
        <v>110694</v>
      </c>
      <c r="J791">
        <v>86040</v>
      </c>
      <c r="K791">
        <v>79034</v>
      </c>
      <c r="L791">
        <v>-25.22</v>
      </c>
      <c r="M791">
        <v>2.67</v>
      </c>
      <c r="N791">
        <v>10.6</v>
      </c>
      <c r="O791">
        <v>12.61</v>
      </c>
      <c r="P791" t="b">
        <v>1</v>
      </c>
      <c r="Q791">
        <v>2</v>
      </c>
      <c r="R791">
        <v>7549</v>
      </c>
      <c r="S791">
        <v>7936</v>
      </c>
      <c r="T791">
        <v>5.0999999999999996</v>
      </c>
      <c r="U791" t="s">
        <v>2553</v>
      </c>
      <c r="V791" t="s">
        <v>3417</v>
      </c>
      <c r="W791">
        <v>-2.1560253822777149</v>
      </c>
      <c r="X791">
        <v>-5.7</v>
      </c>
      <c r="Y791" t="s">
        <v>4211</v>
      </c>
      <c r="Z791">
        <v>-1.155639276967924</v>
      </c>
      <c r="AA791">
        <v>121367</v>
      </c>
      <c r="AB791">
        <v>888142</v>
      </c>
      <c r="AC791" t="s">
        <v>5072</v>
      </c>
      <c r="AD791">
        <v>12.24</v>
      </c>
      <c r="AE791" t="s">
        <v>5936</v>
      </c>
      <c r="AF791" t="s">
        <v>6744</v>
      </c>
      <c r="AG791">
        <v>49632</v>
      </c>
      <c r="AH791">
        <v>13820</v>
      </c>
      <c r="AI791">
        <v>13212574</v>
      </c>
      <c r="AJ791">
        <v>4.6900000000000004</v>
      </c>
    </row>
    <row r="792" spans="1:36">
      <c r="A792" s="1" t="s">
        <v>826</v>
      </c>
      <c r="B792" t="s">
        <v>1690</v>
      </c>
      <c r="C792" t="str">
        <f>HYPERLINK("https://finance.naver.com/item/coinfo.nhn?code=023770", "A023770")</f>
        <v>A023770</v>
      </c>
      <c r="D792" t="str">
        <f>HYPERLINK("http://comp.fnguide.com/SVO2/ASP/SVD_Consensus.asp?pGB=1&amp;gicode=A023770&amp;cID=&amp;MenuYn=Y&amp;ReportGB=&amp;NewMenuID=108&amp;stkGb=701", "플레이위드")</f>
        <v>플레이위드</v>
      </c>
      <c r="E792">
        <v>1</v>
      </c>
      <c r="F792">
        <v>9010</v>
      </c>
      <c r="G792">
        <v>0</v>
      </c>
      <c r="H792">
        <v>8.08</v>
      </c>
      <c r="I792">
        <v>10664</v>
      </c>
      <c r="J792">
        <v>5499</v>
      </c>
      <c r="K792">
        <v>4031</v>
      </c>
      <c r="L792">
        <v>-18.36</v>
      </c>
      <c r="M792">
        <v>38.97</v>
      </c>
      <c r="N792">
        <v>55.26</v>
      </c>
      <c r="O792">
        <v>40.72</v>
      </c>
      <c r="P792" t="b">
        <v>1</v>
      </c>
      <c r="Q792">
        <v>0</v>
      </c>
      <c r="R792">
        <v>1086</v>
      </c>
      <c r="U792" t="s">
        <v>2554</v>
      </c>
      <c r="V792" t="s">
        <v>3418</v>
      </c>
      <c r="W792">
        <v>0</v>
      </c>
      <c r="X792">
        <v>502.3</v>
      </c>
      <c r="Y792" t="s">
        <v>4212</v>
      </c>
      <c r="Z792">
        <v>254.96642094710879</v>
      </c>
      <c r="AA792">
        <v>784</v>
      </c>
      <c r="AB792">
        <v>50512</v>
      </c>
      <c r="AC792" t="s">
        <v>5073</v>
      </c>
      <c r="AD792">
        <v>22.62</v>
      </c>
      <c r="AE792" t="s">
        <v>5937</v>
      </c>
      <c r="AF792" t="s">
        <v>6745</v>
      </c>
      <c r="AG792">
        <v>560</v>
      </c>
      <c r="AH792">
        <v>136</v>
      </c>
    </row>
    <row r="793" spans="1:36">
      <c r="A793" s="1" t="s">
        <v>827</v>
      </c>
      <c r="B793" t="s">
        <v>1691</v>
      </c>
      <c r="C793" t="str">
        <f>HYPERLINK("https://finance.naver.com/item/coinfo.nhn?code=225190", "A225190")</f>
        <v>A225190</v>
      </c>
      <c r="D793" t="str">
        <f>HYPERLINK("http://comp.fnguide.com/SVO2/ASP/SVD_Consensus.asp?pGB=1&amp;gicode=A225190&amp;cID=&amp;MenuYn=Y&amp;ReportGB=&amp;NewMenuID=108&amp;stkGb=701", "삼양옵틱스")</f>
        <v>삼양옵틱스</v>
      </c>
      <c r="E793">
        <v>1</v>
      </c>
      <c r="F793">
        <v>10000</v>
      </c>
      <c r="G793">
        <v>0</v>
      </c>
      <c r="H793">
        <v>9.4700000000000006</v>
      </c>
      <c r="I793">
        <v>18736</v>
      </c>
      <c r="J793">
        <v>9813</v>
      </c>
      <c r="K793">
        <v>7277</v>
      </c>
      <c r="L793">
        <v>-87.36</v>
      </c>
      <c r="M793">
        <v>1.87</v>
      </c>
      <c r="N793">
        <v>27.23</v>
      </c>
      <c r="O793">
        <v>38.1</v>
      </c>
      <c r="P793" t="b">
        <v>1</v>
      </c>
      <c r="Q793">
        <v>0</v>
      </c>
      <c r="R793">
        <v>1347</v>
      </c>
      <c r="U793" t="s">
        <v>2555</v>
      </c>
      <c r="V793" t="s">
        <v>3419</v>
      </c>
      <c r="W793">
        <v>0</v>
      </c>
      <c r="X793">
        <v>-80.2</v>
      </c>
      <c r="Y793" t="s">
        <v>4213</v>
      </c>
      <c r="Z793">
        <v>-27.275517905315759</v>
      </c>
      <c r="AA793">
        <v>1009</v>
      </c>
      <c r="AB793">
        <v>119068</v>
      </c>
      <c r="AC793" t="s">
        <v>5074</v>
      </c>
      <c r="AD793">
        <v>68.13</v>
      </c>
      <c r="AE793" t="s">
        <v>5938</v>
      </c>
      <c r="AF793" t="s">
        <v>6746</v>
      </c>
      <c r="AG793">
        <v>636</v>
      </c>
      <c r="AH793">
        <v>157</v>
      </c>
      <c r="AI793">
        <v>28580</v>
      </c>
      <c r="AJ793">
        <v>7.84</v>
      </c>
    </row>
    <row r="794" spans="1:36">
      <c r="A794" s="1" t="s">
        <v>828</v>
      </c>
      <c r="B794" t="s">
        <v>1692</v>
      </c>
      <c r="C794" t="str">
        <f>HYPERLINK("https://finance.naver.com/item/coinfo.nhn?code=027970", "A027970")</f>
        <v>A027970</v>
      </c>
      <c r="D794" t="str">
        <f>HYPERLINK("http://comp.fnguide.com/SVO2/ASP/SVD_Consensus.asp?pGB=1&amp;gicode=A027970&amp;cID=&amp;MenuYn=Y&amp;ReportGB=&amp;NewMenuID=108&amp;stkGb=701", "세하")</f>
        <v>세하</v>
      </c>
      <c r="E794">
        <v>1</v>
      </c>
      <c r="F794">
        <v>1785</v>
      </c>
      <c r="G794">
        <v>0</v>
      </c>
      <c r="H794">
        <v>5.57</v>
      </c>
      <c r="I794">
        <v>2084</v>
      </c>
      <c r="J794">
        <v>1226</v>
      </c>
      <c r="K794">
        <v>983</v>
      </c>
      <c r="L794">
        <v>-16.760000000000002</v>
      </c>
      <c r="M794">
        <v>31.3</v>
      </c>
      <c r="N794">
        <v>44.95</v>
      </c>
      <c r="O794">
        <v>25.13</v>
      </c>
      <c r="P794" t="b">
        <v>1</v>
      </c>
      <c r="Q794">
        <v>0</v>
      </c>
      <c r="R794">
        <v>380</v>
      </c>
      <c r="U794" t="s">
        <v>2556</v>
      </c>
      <c r="V794" t="s">
        <v>3420</v>
      </c>
      <c r="W794">
        <v>0</v>
      </c>
      <c r="X794">
        <v>54.3</v>
      </c>
      <c r="Y794" t="s">
        <v>4214</v>
      </c>
      <c r="Z794">
        <v>80.436415393345712</v>
      </c>
      <c r="AA794">
        <v>1028</v>
      </c>
      <c r="AB794">
        <v>959532</v>
      </c>
      <c r="AC794" t="s">
        <v>5075</v>
      </c>
      <c r="AD794">
        <v>50.73</v>
      </c>
      <c r="AE794" t="s">
        <v>5939</v>
      </c>
      <c r="AF794" t="s">
        <v>6747</v>
      </c>
      <c r="AG794">
        <v>1777</v>
      </c>
      <c r="AH794">
        <v>141</v>
      </c>
      <c r="AI794">
        <v>1305</v>
      </c>
    </row>
    <row r="795" spans="1:36">
      <c r="A795" s="1" t="s">
        <v>829</v>
      </c>
      <c r="B795" t="s">
        <v>1693</v>
      </c>
      <c r="C795" t="str">
        <f>HYPERLINK("https://finance.naver.com/item/coinfo.nhn?code=065710", "A065710")</f>
        <v>A065710</v>
      </c>
      <c r="D795" t="str">
        <f>HYPERLINK("http://comp.fnguide.com/SVO2/ASP/SVD_Consensus.asp?pGB=1&amp;gicode=A065710&amp;cID=&amp;MenuYn=Y&amp;ReportGB=&amp;NewMenuID=108&amp;stkGb=701", "서호전기")</f>
        <v>서호전기</v>
      </c>
      <c r="E795">
        <v>1</v>
      </c>
      <c r="F795">
        <v>22000</v>
      </c>
      <c r="G795">
        <v>0</v>
      </c>
      <c r="H795">
        <v>7.87</v>
      </c>
      <c r="I795">
        <v>29082</v>
      </c>
      <c r="J795">
        <v>20338</v>
      </c>
      <c r="K795">
        <v>17854</v>
      </c>
      <c r="L795">
        <v>-32.19</v>
      </c>
      <c r="M795">
        <v>7.55</v>
      </c>
      <c r="N795">
        <v>18.850000000000001</v>
      </c>
      <c r="O795">
        <v>15.87</v>
      </c>
      <c r="P795" t="b">
        <v>1</v>
      </c>
      <c r="Q795">
        <v>0</v>
      </c>
      <c r="R795">
        <v>2973</v>
      </c>
      <c r="U795" t="s">
        <v>2557</v>
      </c>
      <c r="V795" t="s">
        <v>3421</v>
      </c>
      <c r="W795">
        <v>0</v>
      </c>
      <c r="X795">
        <v>-53.1</v>
      </c>
      <c r="Y795" t="s">
        <v>4215</v>
      </c>
      <c r="Z795">
        <v>19.817472365224241</v>
      </c>
      <c r="AA795">
        <v>1133</v>
      </c>
      <c r="AB795">
        <v>13536</v>
      </c>
      <c r="AC795" t="s">
        <v>5076</v>
      </c>
      <c r="AD795">
        <v>58.01</v>
      </c>
      <c r="AE795" t="s">
        <v>5940</v>
      </c>
      <c r="AF795" t="s">
        <v>6748</v>
      </c>
      <c r="AG795">
        <v>649</v>
      </c>
      <c r="AH795">
        <v>122</v>
      </c>
      <c r="AI795">
        <v>9078</v>
      </c>
      <c r="AJ795">
        <v>5.13</v>
      </c>
    </row>
    <row r="796" spans="1:36">
      <c r="A796" s="1" t="s">
        <v>830</v>
      </c>
      <c r="B796" t="s">
        <v>1694</v>
      </c>
      <c r="C796" t="str">
        <f>HYPERLINK("https://finance.naver.com/item/coinfo.nhn?code=001820", "A001820")</f>
        <v>A001820</v>
      </c>
      <c r="D796" t="str">
        <f>HYPERLINK("http://comp.fnguide.com/SVO2/ASP/SVD_Consensus.asp?pGB=1&amp;gicode=A001820&amp;cID=&amp;MenuYn=Y&amp;ReportGB=&amp;NewMenuID=108&amp;stkGb=701", "삼화콘덴서")</f>
        <v>삼화콘덴서</v>
      </c>
      <c r="E796">
        <v>1</v>
      </c>
      <c r="F796">
        <v>61600</v>
      </c>
      <c r="G796">
        <v>1.1200000000000001</v>
      </c>
      <c r="H796">
        <v>18.34</v>
      </c>
      <c r="I796">
        <v>67664</v>
      </c>
      <c r="J796">
        <v>35912</v>
      </c>
      <c r="K796">
        <v>26889</v>
      </c>
      <c r="L796">
        <v>-9.84</v>
      </c>
      <c r="M796">
        <v>41.7</v>
      </c>
      <c r="N796">
        <v>56.35</v>
      </c>
      <c r="O796">
        <v>36.08</v>
      </c>
      <c r="P796" t="b">
        <v>1</v>
      </c>
      <c r="Q796">
        <v>0</v>
      </c>
      <c r="R796">
        <v>2852</v>
      </c>
      <c r="S796">
        <v>2357</v>
      </c>
      <c r="T796">
        <v>-17.399999999999999</v>
      </c>
      <c r="U796" t="s">
        <v>2558</v>
      </c>
      <c r="V796" t="s">
        <v>3422</v>
      </c>
      <c r="W796">
        <v>16.44142548399812</v>
      </c>
      <c r="X796">
        <v>-28.4</v>
      </c>
      <c r="Y796" t="s">
        <v>4216</v>
      </c>
      <c r="Z796">
        <v>51.430109356852498</v>
      </c>
      <c r="AA796">
        <v>6403</v>
      </c>
      <c r="AB796">
        <v>619002</v>
      </c>
      <c r="AC796" t="s">
        <v>5077</v>
      </c>
      <c r="AD796">
        <v>28.15</v>
      </c>
      <c r="AE796" t="s">
        <v>5941</v>
      </c>
      <c r="AF796" t="s">
        <v>6749</v>
      </c>
      <c r="AG796">
        <v>2545</v>
      </c>
      <c r="AH796">
        <v>373</v>
      </c>
      <c r="AI796">
        <v>134000</v>
      </c>
      <c r="AJ796">
        <v>0.48</v>
      </c>
    </row>
    <row r="797" spans="1:36">
      <c r="A797" s="1" t="s">
        <v>831</v>
      </c>
      <c r="B797" t="s">
        <v>1695</v>
      </c>
      <c r="C797" t="str">
        <f>HYPERLINK("https://finance.naver.com/item/coinfo.nhn?code=290550", "A290550")</f>
        <v>A290550</v>
      </c>
      <c r="D797" t="str">
        <f>HYPERLINK("http://comp.fnguide.com/SVO2/ASP/SVD_Consensus.asp?pGB=1&amp;gicode=A290550&amp;cID=&amp;MenuYn=Y&amp;ReportGB=&amp;NewMenuID=108&amp;stkGb=701", "디케이티")</f>
        <v>디케이티</v>
      </c>
      <c r="E797">
        <v>1</v>
      </c>
      <c r="F797">
        <v>20700</v>
      </c>
      <c r="G797">
        <v>0</v>
      </c>
      <c r="H797">
        <v>14.3</v>
      </c>
      <c r="I797">
        <v>25224</v>
      </c>
      <c r="J797">
        <v>14309</v>
      </c>
      <c r="K797">
        <v>11207</v>
      </c>
      <c r="L797">
        <v>-21.85</v>
      </c>
      <c r="M797">
        <v>30.88</v>
      </c>
      <c r="N797">
        <v>45.86</v>
      </c>
      <c r="O797">
        <v>28.28</v>
      </c>
      <c r="P797" t="b">
        <v>1</v>
      </c>
      <c r="Q797">
        <v>0</v>
      </c>
      <c r="R797">
        <v>965</v>
      </c>
      <c r="U797" t="s">
        <v>2559</v>
      </c>
      <c r="V797" t="s">
        <v>3423</v>
      </c>
      <c r="W797">
        <v>0</v>
      </c>
      <c r="X797">
        <v>52.1</v>
      </c>
      <c r="Y797" t="s">
        <v>4217</v>
      </c>
      <c r="Z797">
        <v>190.25538754689799</v>
      </c>
      <c r="AA797">
        <v>1704</v>
      </c>
      <c r="AB797">
        <v>77594</v>
      </c>
      <c r="AC797" t="s">
        <v>5078</v>
      </c>
      <c r="AD797">
        <v>52.24</v>
      </c>
      <c r="AE797" t="s">
        <v>5942</v>
      </c>
      <c r="AF797" t="s">
        <v>6750</v>
      </c>
      <c r="AG797">
        <v>3377</v>
      </c>
      <c r="AH797">
        <v>129</v>
      </c>
    </row>
    <row r="798" spans="1:36">
      <c r="A798" s="1" t="s">
        <v>832</v>
      </c>
      <c r="B798" t="s">
        <v>1696</v>
      </c>
      <c r="C798" t="str">
        <f>HYPERLINK("https://finance.naver.com/item/coinfo.nhn?code=090460", "A090460")</f>
        <v>A090460</v>
      </c>
      <c r="D798" t="str">
        <f>HYPERLINK("http://comp.fnguide.com/SVO2/ASP/SVD_Consensus.asp?pGB=1&amp;gicode=A090460&amp;cID=&amp;MenuYn=Y&amp;ReportGB=&amp;NewMenuID=108&amp;stkGb=701", "비에이치")</f>
        <v>비에이치</v>
      </c>
      <c r="E798">
        <v>1</v>
      </c>
      <c r="F798">
        <v>21200</v>
      </c>
      <c r="G798">
        <v>1.51</v>
      </c>
      <c r="H798">
        <v>12.67</v>
      </c>
      <c r="I798">
        <v>39328</v>
      </c>
      <c r="J798">
        <v>21110</v>
      </c>
      <c r="K798">
        <v>15933</v>
      </c>
      <c r="L798">
        <v>-85.51</v>
      </c>
      <c r="M798">
        <v>0.42</v>
      </c>
      <c r="N798">
        <v>24.84</v>
      </c>
      <c r="O798">
        <v>34.51</v>
      </c>
      <c r="P798" t="b">
        <v>1</v>
      </c>
      <c r="Q798">
        <v>1</v>
      </c>
      <c r="R798">
        <v>1732</v>
      </c>
      <c r="S798">
        <v>1888</v>
      </c>
      <c r="T798">
        <v>9</v>
      </c>
      <c r="U798" t="s">
        <v>2560</v>
      </c>
      <c r="V798" t="s">
        <v>3424</v>
      </c>
      <c r="W798">
        <v>8.3767179815879889</v>
      </c>
      <c r="X798">
        <v>-45.5</v>
      </c>
      <c r="Y798" t="s">
        <v>4218</v>
      </c>
      <c r="Z798">
        <v>-13.98134193358317</v>
      </c>
      <c r="AA798">
        <v>7096</v>
      </c>
      <c r="AB798">
        <v>429543</v>
      </c>
      <c r="AC798" t="s">
        <v>5079</v>
      </c>
      <c r="AD798">
        <v>22</v>
      </c>
      <c r="AE798" t="s">
        <v>5943</v>
      </c>
      <c r="AF798" t="s">
        <v>6751</v>
      </c>
      <c r="AG798">
        <v>6549</v>
      </c>
      <c r="AH798">
        <v>626</v>
      </c>
      <c r="AI798">
        <v>2586488</v>
      </c>
    </row>
    <row r="799" spans="1:36">
      <c r="A799" s="1" t="s">
        <v>833</v>
      </c>
      <c r="B799" t="s">
        <v>1697</v>
      </c>
      <c r="C799" t="str">
        <f>HYPERLINK("https://finance.naver.com/item/coinfo.nhn?code=257370", "A257370")</f>
        <v>A257370</v>
      </c>
      <c r="D799" t="str">
        <f>HYPERLINK("http://comp.fnguide.com/SVO2/ASP/SVD_Consensus.asp?pGB=1&amp;gicode=A257370&amp;cID=&amp;MenuYn=Y&amp;ReportGB=&amp;NewMenuID=108&amp;stkGb=701", "명성티엔에스")</f>
        <v>명성티엔에스</v>
      </c>
      <c r="E799">
        <v>1</v>
      </c>
      <c r="F799">
        <v>9210</v>
      </c>
      <c r="G799">
        <v>0</v>
      </c>
      <c r="H799">
        <v>214.72</v>
      </c>
      <c r="I799">
        <v>9975</v>
      </c>
      <c r="J799">
        <v>7678</v>
      </c>
      <c r="K799">
        <v>7025</v>
      </c>
      <c r="L799">
        <v>-8.31</v>
      </c>
      <c r="M799">
        <v>16.64</v>
      </c>
      <c r="N799">
        <v>23.73</v>
      </c>
      <c r="O799">
        <v>12.87</v>
      </c>
      <c r="P799" t="b">
        <v>0</v>
      </c>
      <c r="Q799">
        <v>0</v>
      </c>
      <c r="R799">
        <v>79</v>
      </c>
      <c r="U799" t="s">
        <v>2561</v>
      </c>
      <c r="V799" t="s">
        <v>3425</v>
      </c>
      <c r="W799">
        <v>0</v>
      </c>
      <c r="X799">
        <v>0</v>
      </c>
      <c r="Y799" t="s">
        <v>4219</v>
      </c>
      <c r="Z799">
        <v>-56.350856761540697</v>
      </c>
      <c r="AA799">
        <v>593</v>
      </c>
      <c r="AB799">
        <v>0</v>
      </c>
      <c r="AC799" t="s">
        <v>5080</v>
      </c>
      <c r="AD799">
        <v>11.49</v>
      </c>
      <c r="AE799" t="s">
        <v>5944</v>
      </c>
      <c r="AF799" t="s">
        <v>6752</v>
      </c>
      <c r="AG799">
        <v>350</v>
      </c>
      <c r="AH799">
        <v>9</v>
      </c>
      <c r="AI799">
        <v>219712</v>
      </c>
    </row>
    <row r="800" spans="1:36">
      <c r="A800" s="1" t="s">
        <v>834</v>
      </c>
      <c r="B800" t="s">
        <v>1698</v>
      </c>
      <c r="C800" t="str">
        <f>HYPERLINK("https://finance.naver.com/item/coinfo.nhn?code=226340", "A226340")</f>
        <v>A226340</v>
      </c>
      <c r="D800" t="str">
        <f>HYPERLINK("http://comp.fnguide.com/SVO2/ASP/SVD_Consensus.asp?pGB=1&amp;gicode=A226340&amp;cID=&amp;MenuYn=Y&amp;ReportGB=&amp;NewMenuID=108&amp;stkGb=701", "본느")</f>
        <v>본느</v>
      </c>
      <c r="E800">
        <v>1</v>
      </c>
      <c r="F800">
        <v>2285</v>
      </c>
      <c r="G800">
        <v>0</v>
      </c>
      <c r="H800">
        <v>22.98</v>
      </c>
      <c r="I800">
        <v>2328</v>
      </c>
      <c r="J800">
        <v>1594</v>
      </c>
      <c r="K800">
        <v>1385</v>
      </c>
      <c r="L800">
        <v>-1.88</v>
      </c>
      <c r="M800">
        <v>30.26</v>
      </c>
      <c r="N800">
        <v>39.39</v>
      </c>
      <c r="O800">
        <v>16.690000000000001</v>
      </c>
      <c r="P800" t="b">
        <v>1</v>
      </c>
      <c r="Q800">
        <v>0</v>
      </c>
      <c r="R800">
        <v>166</v>
      </c>
      <c r="U800" t="s">
        <v>2562</v>
      </c>
      <c r="V800" t="s">
        <v>3426</v>
      </c>
      <c r="W800">
        <v>0</v>
      </c>
      <c r="X800">
        <v>0</v>
      </c>
      <c r="Y800" t="s">
        <v>4220</v>
      </c>
      <c r="Z800">
        <v>95.208829272312201</v>
      </c>
      <c r="AA800">
        <v>701</v>
      </c>
      <c r="AB800">
        <v>92798</v>
      </c>
      <c r="AC800" t="s">
        <v>5081</v>
      </c>
      <c r="AD800">
        <v>52.95</v>
      </c>
      <c r="AE800" t="s">
        <v>5945</v>
      </c>
      <c r="AF800" t="s">
        <v>6753</v>
      </c>
      <c r="AG800">
        <v>470</v>
      </c>
      <c r="AH800">
        <v>56</v>
      </c>
      <c r="AI800">
        <v>40</v>
      </c>
    </row>
    <row r="801" spans="1:36">
      <c r="A801" s="1" t="s">
        <v>835</v>
      </c>
      <c r="B801" t="s">
        <v>1699</v>
      </c>
      <c r="C801" t="str">
        <f>HYPERLINK("https://finance.naver.com/item/coinfo.nhn?code=038460", "A038460")</f>
        <v>A038460</v>
      </c>
      <c r="D801" t="str">
        <f>HYPERLINK("http://comp.fnguide.com/SVO2/ASP/SVD_Consensus.asp?pGB=1&amp;gicode=A038460&amp;cID=&amp;MenuYn=Y&amp;ReportGB=&amp;NewMenuID=108&amp;stkGb=701", "바이오스마트")</f>
        <v>바이오스마트</v>
      </c>
      <c r="E801">
        <v>1</v>
      </c>
      <c r="F801">
        <v>8120</v>
      </c>
      <c r="G801">
        <v>0</v>
      </c>
      <c r="H801">
        <v>3.92</v>
      </c>
      <c r="I801">
        <v>10773</v>
      </c>
      <c r="J801">
        <v>7598</v>
      </c>
      <c r="K801">
        <v>6695</v>
      </c>
      <c r="L801">
        <v>-32.67</v>
      </c>
      <c r="M801">
        <v>6.43</v>
      </c>
      <c r="N801">
        <v>17.55</v>
      </c>
      <c r="O801">
        <v>15.57</v>
      </c>
      <c r="P801" t="b">
        <v>1</v>
      </c>
      <c r="Q801">
        <v>0</v>
      </c>
      <c r="R801">
        <v>1107</v>
      </c>
      <c r="U801" t="s">
        <v>2563</v>
      </c>
      <c r="V801" t="s">
        <v>3427</v>
      </c>
      <c r="W801">
        <v>0</v>
      </c>
      <c r="X801">
        <v>-95.3</v>
      </c>
      <c r="Y801" t="s">
        <v>4221</v>
      </c>
      <c r="Z801">
        <v>-23.47888896454662</v>
      </c>
      <c r="AA801">
        <v>1631</v>
      </c>
      <c r="AB801">
        <v>437542</v>
      </c>
      <c r="AC801" t="s">
        <v>5082</v>
      </c>
      <c r="AD801">
        <v>23.2</v>
      </c>
      <c r="AE801" t="s">
        <v>5946</v>
      </c>
      <c r="AF801" t="s">
        <v>6754</v>
      </c>
      <c r="AG801">
        <v>1590</v>
      </c>
      <c r="AH801">
        <v>31</v>
      </c>
      <c r="AI801">
        <v>889896</v>
      </c>
      <c r="AJ801">
        <v>1.45</v>
      </c>
    </row>
    <row r="802" spans="1:36">
      <c r="A802" s="1" t="s">
        <v>836</v>
      </c>
      <c r="B802" t="s">
        <v>1700</v>
      </c>
      <c r="C802" t="str">
        <f>HYPERLINK("https://finance.naver.com/item/coinfo.nhn?code=007700", "A007700")</f>
        <v>A007700</v>
      </c>
      <c r="D802" t="str">
        <f>HYPERLINK("http://comp.fnguide.com/SVO2/ASP/SVD_Consensus.asp?pGB=1&amp;gicode=A007700&amp;cID=&amp;MenuYn=Y&amp;ReportGB=&amp;NewMenuID=108&amp;stkGb=701", "F&amp;F")</f>
        <v>F&amp;F</v>
      </c>
      <c r="E802">
        <v>1</v>
      </c>
      <c r="F802">
        <v>83400</v>
      </c>
      <c r="G802">
        <v>5.45</v>
      </c>
      <c r="H802">
        <v>15.65</v>
      </c>
      <c r="I802">
        <v>110736</v>
      </c>
      <c r="J802">
        <v>63078</v>
      </c>
      <c r="K802">
        <v>49535</v>
      </c>
      <c r="L802">
        <v>-32.78</v>
      </c>
      <c r="M802">
        <v>24.37</v>
      </c>
      <c r="N802">
        <v>40.61</v>
      </c>
      <c r="O802">
        <v>27.89</v>
      </c>
      <c r="P802" t="b">
        <v>1</v>
      </c>
      <c r="Q802">
        <v>0</v>
      </c>
      <c r="R802">
        <v>7156</v>
      </c>
      <c r="S802">
        <v>5292</v>
      </c>
      <c r="T802">
        <v>-26</v>
      </c>
      <c r="U802" t="s">
        <v>2564</v>
      </c>
      <c r="V802" t="s">
        <v>3428</v>
      </c>
      <c r="W802">
        <v>2.871120421889461</v>
      </c>
      <c r="X802">
        <v>-38.700000000000003</v>
      </c>
      <c r="Y802" t="s">
        <v>4222</v>
      </c>
      <c r="Z802">
        <v>40.258209008164663</v>
      </c>
      <c r="AA802">
        <v>12844</v>
      </c>
      <c r="AB802">
        <v>51425</v>
      </c>
      <c r="AC802" t="s">
        <v>5083</v>
      </c>
      <c r="AD802">
        <v>58.82</v>
      </c>
      <c r="AE802" t="s">
        <v>5947</v>
      </c>
      <c r="AF802" t="s">
        <v>6755</v>
      </c>
      <c r="AG802">
        <v>9103</v>
      </c>
      <c r="AH802">
        <v>1507</v>
      </c>
      <c r="AI802">
        <v>79896</v>
      </c>
      <c r="AJ802">
        <v>0.89</v>
      </c>
    </row>
    <row r="803" spans="1:36">
      <c r="A803" s="1" t="s">
        <v>837</v>
      </c>
      <c r="B803" t="s">
        <v>1701</v>
      </c>
      <c r="C803" t="str">
        <f>HYPERLINK("https://finance.naver.com/item/coinfo.nhn?code=236200", "A236200")</f>
        <v>A236200</v>
      </c>
      <c r="D803" t="str">
        <f>HYPERLINK("http://comp.fnguide.com/SVO2/ASP/SVD_Consensus.asp?pGB=1&amp;gicode=A236200&amp;cID=&amp;MenuYn=Y&amp;ReportGB=&amp;NewMenuID=108&amp;stkGb=701", "슈프리마")</f>
        <v>슈프리마</v>
      </c>
      <c r="E803">
        <v>1</v>
      </c>
      <c r="F803">
        <v>29500</v>
      </c>
      <c r="G803">
        <v>0</v>
      </c>
      <c r="H803">
        <v>9.2899999999999991</v>
      </c>
      <c r="I803">
        <v>38202</v>
      </c>
      <c r="J803">
        <v>26688</v>
      </c>
      <c r="K803">
        <v>23416</v>
      </c>
      <c r="L803">
        <v>-29.5</v>
      </c>
      <c r="M803">
        <v>9.5299999999999994</v>
      </c>
      <c r="N803">
        <v>20.62</v>
      </c>
      <c r="O803">
        <v>15.91</v>
      </c>
      <c r="P803" t="b">
        <v>1</v>
      </c>
      <c r="Q803">
        <v>0</v>
      </c>
      <c r="R803">
        <v>3643</v>
      </c>
      <c r="U803" t="s">
        <v>2565</v>
      </c>
      <c r="V803" t="s">
        <v>3429</v>
      </c>
      <c r="W803">
        <v>0</v>
      </c>
      <c r="X803">
        <v>-50.8</v>
      </c>
      <c r="Y803" t="s">
        <v>4223</v>
      </c>
      <c r="Z803">
        <v>0</v>
      </c>
      <c r="AA803">
        <v>2122</v>
      </c>
      <c r="AB803">
        <v>50901</v>
      </c>
      <c r="AC803" t="s">
        <v>5084</v>
      </c>
      <c r="AD803">
        <v>30.38</v>
      </c>
      <c r="AE803" t="s">
        <v>5948</v>
      </c>
      <c r="AF803" t="s">
        <v>6756</v>
      </c>
      <c r="AG803">
        <v>721</v>
      </c>
      <c r="AH803">
        <v>246</v>
      </c>
      <c r="AI803">
        <v>38881</v>
      </c>
    </row>
    <row r="804" spans="1:36">
      <c r="A804" s="1" t="s">
        <v>838</v>
      </c>
      <c r="B804" t="s">
        <v>1702</v>
      </c>
      <c r="C804" t="str">
        <f>HYPERLINK("https://finance.naver.com/item/coinfo.nhn?code=130660", "A130660")</f>
        <v>A130660</v>
      </c>
      <c r="D804" t="str">
        <f>HYPERLINK("http://comp.fnguide.com/SVO2/ASP/SVD_Consensus.asp?pGB=1&amp;gicode=A130660&amp;cID=&amp;MenuYn=Y&amp;ReportGB=&amp;NewMenuID=108&amp;stkGb=701", "한전산업")</f>
        <v>한전산업</v>
      </c>
      <c r="E804">
        <v>1</v>
      </c>
      <c r="F804">
        <v>4700</v>
      </c>
      <c r="G804">
        <v>0</v>
      </c>
      <c r="H804">
        <v>6.6</v>
      </c>
      <c r="I804">
        <v>6508</v>
      </c>
      <c r="J804">
        <v>4176</v>
      </c>
      <c r="K804">
        <v>3513</v>
      </c>
      <c r="L804">
        <v>-38.479999999999997</v>
      </c>
      <c r="M804">
        <v>11.15</v>
      </c>
      <c r="N804">
        <v>25.25</v>
      </c>
      <c r="O804">
        <v>19.64</v>
      </c>
      <c r="P804" t="b">
        <v>1</v>
      </c>
      <c r="Q804">
        <v>0</v>
      </c>
      <c r="R804">
        <v>531</v>
      </c>
      <c r="U804" t="s">
        <v>2566</v>
      </c>
      <c r="V804" t="s">
        <v>3430</v>
      </c>
      <c r="W804">
        <v>0</v>
      </c>
      <c r="X804">
        <v>-15.9</v>
      </c>
      <c r="Y804" t="s">
        <v>4224</v>
      </c>
      <c r="Z804">
        <v>12.216905519505451</v>
      </c>
      <c r="AA804">
        <v>1532</v>
      </c>
      <c r="AB804">
        <v>627167</v>
      </c>
      <c r="AC804" t="s">
        <v>5085</v>
      </c>
      <c r="AD804">
        <v>31</v>
      </c>
      <c r="AE804" t="s">
        <v>5949</v>
      </c>
      <c r="AF804" t="s">
        <v>6757</v>
      </c>
      <c r="AG804">
        <v>3136</v>
      </c>
      <c r="AH804">
        <v>215</v>
      </c>
      <c r="AJ804">
        <v>6.49</v>
      </c>
    </row>
    <row r="805" spans="1:36">
      <c r="A805" s="1" t="s">
        <v>839</v>
      </c>
      <c r="B805" t="s">
        <v>1703</v>
      </c>
      <c r="C805" t="str">
        <f>HYPERLINK("https://finance.naver.com/item/coinfo.nhn?code=100120", "A100120")</f>
        <v>A100120</v>
      </c>
      <c r="D805" t="str">
        <f>HYPERLINK("http://comp.fnguide.com/SVO2/ASP/SVD_Consensus.asp?pGB=1&amp;gicode=A100120&amp;cID=&amp;MenuYn=Y&amp;ReportGB=&amp;NewMenuID=108&amp;stkGb=701", "뷰웍스")</f>
        <v>뷰웍스</v>
      </c>
      <c r="E805">
        <v>1</v>
      </c>
      <c r="F805">
        <v>30400</v>
      </c>
      <c r="G805">
        <v>1.1100000000000001</v>
      </c>
      <c r="H805">
        <v>13.01</v>
      </c>
      <c r="I805">
        <v>34354</v>
      </c>
      <c r="J805">
        <v>23962</v>
      </c>
      <c r="K805">
        <v>21008</v>
      </c>
      <c r="L805">
        <v>-13</v>
      </c>
      <c r="M805">
        <v>21.18</v>
      </c>
      <c r="N805">
        <v>30.89</v>
      </c>
      <c r="O805">
        <v>15.97</v>
      </c>
      <c r="P805" t="b">
        <v>1</v>
      </c>
      <c r="Q805">
        <v>3</v>
      </c>
      <c r="R805">
        <v>2421</v>
      </c>
      <c r="S805">
        <v>2739</v>
      </c>
      <c r="T805">
        <v>13.1</v>
      </c>
      <c r="U805" t="s">
        <v>2567</v>
      </c>
      <c r="V805" t="s">
        <v>3431</v>
      </c>
      <c r="W805">
        <v>11.74178578222485</v>
      </c>
      <c r="X805">
        <v>3.2</v>
      </c>
      <c r="Y805" t="s">
        <v>4225</v>
      </c>
      <c r="Z805">
        <v>9.4801610007162687</v>
      </c>
      <c r="AA805">
        <v>3041</v>
      </c>
      <c r="AB805">
        <v>39775</v>
      </c>
      <c r="AC805" t="s">
        <v>5086</v>
      </c>
      <c r="AD805">
        <v>28.46</v>
      </c>
      <c r="AE805" t="s">
        <v>5950</v>
      </c>
      <c r="AF805" t="s">
        <v>6758</v>
      </c>
      <c r="AG805">
        <v>1360</v>
      </c>
      <c r="AH805">
        <v>264</v>
      </c>
      <c r="AI805">
        <v>553176</v>
      </c>
      <c r="AJ805">
        <v>1.27</v>
      </c>
    </row>
    <row r="806" spans="1:36">
      <c r="A806" s="1" t="s">
        <v>840</v>
      </c>
      <c r="B806" t="s">
        <v>1704</v>
      </c>
      <c r="C806" t="str">
        <f>HYPERLINK("https://finance.naver.com/item/coinfo.nhn?code=256150", "A256150")</f>
        <v>A256150</v>
      </c>
      <c r="D806" t="str">
        <f>HYPERLINK("http://comp.fnguide.com/SVO2/ASP/SVD_Consensus.asp?pGB=1&amp;gicode=A256150&amp;cID=&amp;MenuYn=Y&amp;ReportGB=&amp;NewMenuID=108&amp;stkGb=701", "한독크린텍")</f>
        <v>한독크린텍</v>
      </c>
      <c r="E806">
        <v>1</v>
      </c>
      <c r="F806">
        <v>25200</v>
      </c>
      <c r="G806">
        <v>0</v>
      </c>
      <c r="H806">
        <v>11.47</v>
      </c>
      <c r="I806">
        <v>26637</v>
      </c>
      <c r="J806">
        <v>15902</v>
      </c>
      <c r="K806">
        <v>12852</v>
      </c>
      <c r="L806">
        <v>-5.7</v>
      </c>
      <c r="M806">
        <v>36.9</v>
      </c>
      <c r="N806">
        <v>49</v>
      </c>
      <c r="O806">
        <v>24.04</v>
      </c>
      <c r="P806" t="b">
        <v>1</v>
      </c>
      <c r="Q806">
        <v>0</v>
      </c>
      <c r="R806">
        <v>1356</v>
      </c>
      <c r="U806" t="s">
        <v>2568</v>
      </c>
      <c r="V806" t="s">
        <v>3432</v>
      </c>
      <c r="W806">
        <v>0</v>
      </c>
      <c r="X806">
        <v>44.7</v>
      </c>
      <c r="Y806" t="s">
        <v>4226</v>
      </c>
      <c r="Z806">
        <v>25.727044836811739</v>
      </c>
      <c r="AA806">
        <v>1031</v>
      </c>
      <c r="AB806">
        <v>16227</v>
      </c>
      <c r="AC806" t="s">
        <v>5087</v>
      </c>
      <c r="AD806">
        <v>41.11</v>
      </c>
      <c r="AE806" t="s">
        <v>5951</v>
      </c>
      <c r="AF806" t="s">
        <v>6759</v>
      </c>
      <c r="AG806">
        <v>484</v>
      </c>
      <c r="AH806">
        <v>61</v>
      </c>
      <c r="AI806">
        <v>543850</v>
      </c>
      <c r="AJ806">
        <v>1.29</v>
      </c>
    </row>
    <row r="807" spans="1:36">
      <c r="A807" s="1" t="s">
        <v>841</v>
      </c>
      <c r="B807" t="s">
        <v>1705</v>
      </c>
      <c r="C807" t="str">
        <f>HYPERLINK("https://finance.naver.com/item/coinfo.nhn?code=134380", "A134380")</f>
        <v>A134380</v>
      </c>
      <c r="D807" t="str">
        <f>HYPERLINK("http://comp.fnguide.com/SVO2/ASP/SVD_Consensus.asp?pGB=1&amp;gicode=A134380&amp;cID=&amp;MenuYn=Y&amp;ReportGB=&amp;NewMenuID=108&amp;stkGb=701", "미원화학")</f>
        <v>미원화학</v>
      </c>
      <c r="E807">
        <v>1</v>
      </c>
      <c r="F807">
        <v>61900</v>
      </c>
      <c r="G807">
        <v>0</v>
      </c>
      <c r="H807">
        <v>7.23</v>
      </c>
      <c r="I807">
        <v>78949</v>
      </c>
      <c r="J807">
        <v>61601</v>
      </c>
      <c r="K807">
        <v>56670</v>
      </c>
      <c r="L807">
        <v>-27.54</v>
      </c>
      <c r="M807">
        <v>0.48</v>
      </c>
      <c r="N807">
        <v>8.4499999999999993</v>
      </c>
      <c r="O807">
        <v>12.51</v>
      </c>
      <c r="P807" t="b">
        <v>1</v>
      </c>
      <c r="Q807">
        <v>0</v>
      </c>
      <c r="R807">
        <v>6167</v>
      </c>
      <c r="U807" t="s">
        <v>2569</v>
      </c>
      <c r="V807" t="s">
        <v>3433</v>
      </c>
      <c r="W807">
        <v>0</v>
      </c>
      <c r="X807">
        <v>14.7</v>
      </c>
      <c r="Y807" t="s">
        <v>4227</v>
      </c>
      <c r="Z807">
        <v>7.1363522709521288</v>
      </c>
      <c r="AA807">
        <v>1361</v>
      </c>
      <c r="AB807">
        <v>612</v>
      </c>
      <c r="AC807" t="s">
        <v>5088</v>
      </c>
      <c r="AD807">
        <v>54.92</v>
      </c>
      <c r="AE807" t="s">
        <v>5952</v>
      </c>
      <c r="AF807" t="s">
        <v>6760</v>
      </c>
      <c r="AG807">
        <v>1547</v>
      </c>
      <c r="AH807">
        <v>155</v>
      </c>
      <c r="AI807">
        <v>161958</v>
      </c>
      <c r="AJ807">
        <v>2.2400000000000002</v>
      </c>
    </row>
    <row r="808" spans="1:36">
      <c r="A808" s="1" t="s">
        <v>842</v>
      </c>
      <c r="B808" t="s">
        <v>1706</v>
      </c>
      <c r="C808" t="str">
        <f>HYPERLINK("https://finance.naver.com/item/coinfo.nhn?code=293480", "A293480")</f>
        <v>A293480</v>
      </c>
      <c r="D808" t="str">
        <f>HYPERLINK("http://comp.fnguide.com/SVO2/ASP/SVD_Consensus.asp?pGB=1&amp;gicode=A293480&amp;cID=&amp;MenuYn=Y&amp;ReportGB=&amp;NewMenuID=108&amp;stkGb=701", "하나제약")</f>
        <v>하나제약</v>
      </c>
      <c r="E808">
        <v>1</v>
      </c>
      <c r="F808">
        <v>25850</v>
      </c>
      <c r="G808">
        <v>0</v>
      </c>
      <c r="H808">
        <v>12.91</v>
      </c>
      <c r="I808">
        <v>32953</v>
      </c>
      <c r="J808">
        <v>21553</v>
      </c>
      <c r="K808">
        <v>18313</v>
      </c>
      <c r="L808">
        <v>-27.48</v>
      </c>
      <c r="M808">
        <v>16.62</v>
      </c>
      <c r="N808">
        <v>29.16</v>
      </c>
      <c r="O808">
        <v>18.68</v>
      </c>
      <c r="P808" t="b">
        <v>1</v>
      </c>
      <c r="Q808">
        <v>0</v>
      </c>
      <c r="R808">
        <v>1747</v>
      </c>
      <c r="U808" t="s">
        <v>2570</v>
      </c>
      <c r="V808" t="s">
        <v>3434</v>
      </c>
      <c r="W808">
        <v>0</v>
      </c>
      <c r="X808">
        <v>-11</v>
      </c>
      <c r="Y808" t="s">
        <v>4228</v>
      </c>
      <c r="Z808">
        <v>-8.8245790802260018</v>
      </c>
      <c r="AA808">
        <v>4188</v>
      </c>
      <c r="AB808">
        <v>98320</v>
      </c>
      <c r="AC808" t="s">
        <v>5089</v>
      </c>
      <c r="AD808">
        <v>58.69</v>
      </c>
      <c r="AE808" t="s">
        <v>5953</v>
      </c>
      <c r="AF808" t="s">
        <v>6761</v>
      </c>
      <c r="AG808">
        <v>1663</v>
      </c>
      <c r="AH808">
        <v>336</v>
      </c>
      <c r="AI808">
        <v>470540</v>
      </c>
      <c r="AJ808">
        <v>2.04</v>
      </c>
    </row>
    <row r="809" spans="1:36">
      <c r="A809" s="1" t="s">
        <v>843</v>
      </c>
      <c r="B809" t="s">
        <v>1707</v>
      </c>
      <c r="C809" t="str">
        <f>HYPERLINK("https://finance.naver.com/item/coinfo.nhn?code=025770", "A025770")</f>
        <v>A025770</v>
      </c>
      <c r="D809" t="str">
        <f>HYPERLINK("http://comp.fnguide.com/SVO2/ASP/SVD_Consensus.asp?pGB=1&amp;gicode=A025770&amp;cID=&amp;MenuYn=Y&amp;ReportGB=&amp;NewMenuID=108&amp;stkGb=701", "한국정보통신")</f>
        <v>한국정보통신</v>
      </c>
      <c r="E809">
        <v>1</v>
      </c>
      <c r="F809">
        <v>9110</v>
      </c>
      <c r="G809">
        <v>0</v>
      </c>
      <c r="H809">
        <v>10.84</v>
      </c>
      <c r="I809">
        <v>9572</v>
      </c>
      <c r="J809">
        <v>7143</v>
      </c>
      <c r="K809">
        <v>6453</v>
      </c>
      <c r="L809">
        <v>-5.07</v>
      </c>
      <c r="M809">
        <v>21.59</v>
      </c>
      <c r="N809">
        <v>29.16</v>
      </c>
      <c r="O809">
        <v>13.73</v>
      </c>
      <c r="P809" t="b">
        <v>1</v>
      </c>
      <c r="Q809">
        <v>0</v>
      </c>
      <c r="R809">
        <v>634</v>
      </c>
      <c r="U809" t="s">
        <v>2571</v>
      </c>
      <c r="V809" t="s">
        <v>3435</v>
      </c>
      <c r="W809">
        <v>0</v>
      </c>
      <c r="X809">
        <v>-31.7</v>
      </c>
      <c r="Y809" t="s">
        <v>4229</v>
      </c>
      <c r="Z809">
        <v>-5.3165201775832287</v>
      </c>
      <c r="AA809">
        <v>3411</v>
      </c>
      <c r="AB809">
        <v>38312</v>
      </c>
      <c r="AC809" t="s">
        <v>5090</v>
      </c>
      <c r="AD809">
        <v>85.74</v>
      </c>
      <c r="AE809" t="s">
        <v>5954</v>
      </c>
      <c r="AF809" t="s">
        <v>6762</v>
      </c>
      <c r="AG809">
        <v>4988</v>
      </c>
      <c r="AH809">
        <v>342</v>
      </c>
      <c r="AI809">
        <v>919159</v>
      </c>
    </row>
    <row r="810" spans="1:36">
      <c r="A810" s="1" t="s">
        <v>844</v>
      </c>
      <c r="B810" t="s">
        <v>1708</v>
      </c>
      <c r="C810" t="str">
        <f>HYPERLINK("https://finance.naver.com/item/coinfo.nhn?code=101240", "A101240")</f>
        <v>A101240</v>
      </c>
      <c r="D810" t="str">
        <f>HYPERLINK("http://comp.fnguide.com/SVO2/ASP/SVD_Consensus.asp?pGB=1&amp;gicode=A101240&amp;cID=&amp;MenuYn=Y&amp;ReportGB=&amp;NewMenuID=108&amp;stkGb=701", "씨큐브")</f>
        <v>씨큐브</v>
      </c>
      <c r="E810">
        <v>1</v>
      </c>
      <c r="F810">
        <v>7380</v>
      </c>
      <c r="G810">
        <v>0</v>
      </c>
      <c r="H810">
        <v>14.26</v>
      </c>
      <c r="I810">
        <v>7750</v>
      </c>
      <c r="J810">
        <v>6719</v>
      </c>
      <c r="K810">
        <v>6426</v>
      </c>
      <c r="L810">
        <v>-5.0199999999999996</v>
      </c>
      <c r="M810">
        <v>8.9600000000000009</v>
      </c>
      <c r="N810">
        <v>12.93</v>
      </c>
      <c r="O810">
        <v>10.199999999999999</v>
      </c>
      <c r="P810" t="b">
        <v>1</v>
      </c>
      <c r="Q810">
        <v>0</v>
      </c>
      <c r="R810">
        <v>586</v>
      </c>
      <c r="U810" t="s">
        <v>2572</v>
      </c>
      <c r="V810" t="s">
        <v>3436</v>
      </c>
      <c r="W810">
        <v>0</v>
      </c>
      <c r="X810">
        <v>-44.5</v>
      </c>
      <c r="Y810" t="s">
        <v>4230</v>
      </c>
      <c r="Z810">
        <v>0.2321839953501659</v>
      </c>
      <c r="AA810">
        <v>748</v>
      </c>
      <c r="AB810">
        <v>52351</v>
      </c>
      <c r="AC810" t="s">
        <v>5091</v>
      </c>
      <c r="AD810">
        <v>31.52</v>
      </c>
      <c r="AE810" t="s">
        <v>5955</v>
      </c>
      <c r="AF810" t="s">
        <v>6763</v>
      </c>
      <c r="AG810">
        <v>447</v>
      </c>
      <c r="AH810">
        <v>77</v>
      </c>
      <c r="AI810">
        <v>1175576</v>
      </c>
      <c r="AJ810">
        <v>2.0299999999999998</v>
      </c>
    </row>
    <row r="811" spans="1:36">
      <c r="A811" s="1" t="s">
        <v>845</v>
      </c>
      <c r="B811" t="s">
        <v>1709</v>
      </c>
      <c r="C811" t="str">
        <f>HYPERLINK("https://finance.naver.com/item/coinfo.nhn?code=290520", "A290520")</f>
        <v>A290520</v>
      </c>
      <c r="D811" t="str">
        <f>HYPERLINK("http://comp.fnguide.com/SVO2/ASP/SVD_Consensus.asp?pGB=1&amp;gicode=A290520&amp;cID=&amp;MenuYn=Y&amp;ReportGB=&amp;NewMenuID=108&amp;stkGb=701", "신도기연")</f>
        <v>신도기연</v>
      </c>
      <c r="E811">
        <v>1</v>
      </c>
      <c r="F811">
        <v>19350</v>
      </c>
      <c r="G811">
        <v>0</v>
      </c>
      <c r="I811">
        <v>28726</v>
      </c>
      <c r="J811">
        <v>14980</v>
      </c>
      <c r="K811">
        <v>11074</v>
      </c>
      <c r="L811">
        <v>-48.45</v>
      </c>
      <c r="M811">
        <v>22.58</v>
      </c>
      <c r="N811">
        <v>42.77</v>
      </c>
      <c r="O811">
        <v>38.79</v>
      </c>
      <c r="P811" t="b">
        <v>0</v>
      </c>
      <c r="Q811">
        <v>0</v>
      </c>
      <c r="R811">
        <v>2179</v>
      </c>
      <c r="U811" t="s">
        <v>2573</v>
      </c>
      <c r="V811" t="s">
        <v>3437</v>
      </c>
      <c r="W811">
        <v>0</v>
      </c>
      <c r="X811">
        <v>-94</v>
      </c>
      <c r="Y811" t="s">
        <v>4231</v>
      </c>
      <c r="Z811">
        <v>0</v>
      </c>
      <c r="AA811">
        <v>1560</v>
      </c>
      <c r="AB811">
        <v>35081</v>
      </c>
      <c r="AC811" t="s">
        <v>5092</v>
      </c>
      <c r="AD811">
        <v>59.79</v>
      </c>
      <c r="AE811" t="s">
        <v>5956</v>
      </c>
      <c r="AF811" t="s">
        <v>6021</v>
      </c>
      <c r="AG811">
        <v>848</v>
      </c>
      <c r="AH811">
        <v>169</v>
      </c>
    </row>
    <row r="812" spans="1:36">
      <c r="A812" s="1" t="s">
        <v>846</v>
      </c>
      <c r="B812" t="s">
        <v>1710</v>
      </c>
      <c r="C812" t="str">
        <f>HYPERLINK("https://finance.naver.com/item/coinfo.nhn?code=275630", "A275630")</f>
        <v>A275630</v>
      </c>
      <c r="D812" t="str">
        <f>HYPERLINK("http://comp.fnguide.com/SVO2/ASP/SVD_Consensus.asp?pGB=1&amp;gicode=A275630&amp;cID=&amp;MenuYn=Y&amp;ReportGB=&amp;NewMenuID=108&amp;stkGb=701", "에스에스알")</f>
        <v>에스에스알</v>
      </c>
      <c r="E812">
        <v>1</v>
      </c>
      <c r="F812">
        <v>5690</v>
      </c>
      <c r="G812">
        <v>0</v>
      </c>
      <c r="H812">
        <v>31.45</v>
      </c>
      <c r="I812">
        <v>6247</v>
      </c>
      <c r="J812">
        <v>4994</v>
      </c>
      <c r="K812">
        <v>4639</v>
      </c>
      <c r="L812">
        <v>-9.7899999999999991</v>
      </c>
      <c r="M812">
        <v>12.22</v>
      </c>
      <c r="N812">
        <v>18.48</v>
      </c>
      <c r="O812">
        <v>11.91</v>
      </c>
      <c r="P812" t="b">
        <v>1</v>
      </c>
      <c r="Q812">
        <v>0</v>
      </c>
      <c r="R812">
        <v>194</v>
      </c>
      <c r="U812" t="s">
        <v>2574</v>
      </c>
      <c r="V812" t="s">
        <v>3438</v>
      </c>
      <c r="W812">
        <v>0</v>
      </c>
      <c r="X812">
        <v>0</v>
      </c>
      <c r="Y812" t="s">
        <v>4232</v>
      </c>
      <c r="Z812">
        <v>0</v>
      </c>
      <c r="AA812">
        <v>337</v>
      </c>
      <c r="AB812">
        <v>30258</v>
      </c>
      <c r="AC812" t="s">
        <v>5093</v>
      </c>
      <c r="AD812">
        <v>34.83</v>
      </c>
      <c r="AE812" t="s">
        <v>5957</v>
      </c>
      <c r="AF812" t="s">
        <v>6764</v>
      </c>
      <c r="AG812">
        <v>136</v>
      </c>
      <c r="AH812">
        <v>6</v>
      </c>
    </row>
    <row r="813" spans="1:36">
      <c r="A813" s="1" t="s">
        <v>847</v>
      </c>
      <c r="B813" t="s">
        <v>1711</v>
      </c>
      <c r="C813" t="str">
        <f>HYPERLINK("https://finance.naver.com/item/coinfo.nhn?code=251630", "A251630")</f>
        <v>A251630</v>
      </c>
      <c r="D813" t="str">
        <f>HYPERLINK("http://comp.fnguide.com/SVO2/ASP/SVD_Consensus.asp?pGB=1&amp;gicode=A251630&amp;cID=&amp;MenuYn=Y&amp;ReportGB=&amp;NewMenuID=108&amp;stkGb=701", "브이원텍")</f>
        <v>브이원텍</v>
      </c>
      <c r="E813">
        <v>1</v>
      </c>
      <c r="F813">
        <v>10100</v>
      </c>
      <c r="G813">
        <v>0</v>
      </c>
      <c r="H813">
        <v>20.91</v>
      </c>
      <c r="I813">
        <v>11335</v>
      </c>
      <c r="J813">
        <v>7936</v>
      </c>
      <c r="K813">
        <v>6970</v>
      </c>
      <c r="L813">
        <v>-12.23</v>
      </c>
      <c r="M813">
        <v>21.43</v>
      </c>
      <c r="N813">
        <v>30.99</v>
      </c>
      <c r="O813">
        <v>15.83</v>
      </c>
      <c r="P813" t="b">
        <v>1</v>
      </c>
      <c r="Q813">
        <v>0</v>
      </c>
      <c r="R813">
        <v>442</v>
      </c>
      <c r="U813" t="s">
        <v>2575</v>
      </c>
      <c r="V813" t="s">
        <v>3439</v>
      </c>
      <c r="W813">
        <v>0</v>
      </c>
      <c r="X813">
        <v>-6.9</v>
      </c>
      <c r="Y813" t="s">
        <v>4233</v>
      </c>
      <c r="Z813">
        <v>14.49186008396843</v>
      </c>
      <c r="AA813">
        <v>1520</v>
      </c>
      <c r="AB813">
        <v>331173</v>
      </c>
      <c r="AC813" t="s">
        <v>5094</v>
      </c>
      <c r="AD813">
        <v>52.04</v>
      </c>
      <c r="AE813" t="s">
        <v>5958</v>
      </c>
      <c r="AF813" t="s">
        <v>6765</v>
      </c>
      <c r="AG813">
        <v>268</v>
      </c>
      <c r="AH813">
        <v>48</v>
      </c>
      <c r="AI813">
        <v>680241</v>
      </c>
      <c r="AJ813">
        <v>1.08</v>
      </c>
    </row>
    <row r="814" spans="1:36">
      <c r="A814" s="1" t="s">
        <v>848</v>
      </c>
      <c r="B814" t="s">
        <v>1712</v>
      </c>
      <c r="C814" t="str">
        <f>HYPERLINK("https://finance.naver.com/item/coinfo.nhn?code=063570", "A063570")</f>
        <v>A063570</v>
      </c>
      <c r="D814" t="str">
        <f>HYPERLINK("http://comp.fnguide.com/SVO2/ASP/SVD_Consensus.asp?pGB=1&amp;gicode=A063570&amp;cID=&amp;MenuYn=Y&amp;ReportGB=&amp;NewMenuID=108&amp;stkGb=701", "한국전자금융")</f>
        <v>한국전자금융</v>
      </c>
      <c r="E814">
        <v>1</v>
      </c>
      <c r="F814">
        <v>5540</v>
      </c>
      <c r="G814">
        <v>-3.1</v>
      </c>
      <c r="H814">
        <v>58.94</v>
      </c>
      <c r="I814">
        <v>5678</v>
      </c>
      <c r="J814">
        <v>5364</v>
      </c>
      <c r="K814">
        <v>5275</v>
      </c>
      <c r="L814">
        <v>-2.5</v>
      </c>
      <c r="M814">
        <v>3.17</v>
      </c>
      <c r="N814">
        <v>4.78</v>
      </c>
      <c r="O814">
        <v>8.74</v>
      </c>
      <c r="P814" t="b">
        <v>0</v>
      </c>
      <c r="Q814">
        <v>1</v>
      </c>
      <c r="R814">
        <v>132</v>
      </c>
      <c r="S814">
        <v>316</v>
      </c>
      <c r="T814">
        <v>139.4</v>
      </c>
      <c r="U814" t="s">
        <v>2576</v>
      </c>
      <c r="V814" t="s">
        <v>3440</v>
      </c>
      <c r="W814">
        <v>-19.00519649249193</v>
      </c>
      <c r="X814">
        <v>-38.200000000000003</v>
      </c>
      <c r="Y814" t="s">
        <v>4234</v>
      </c>
      <c r="Z814">
        <v>-25.87533135281863</v>
      </c>
      <c r="AA814">
        <v>1892</v>
      </c>
      <c r="AB814">
        <v>205733</v>
      </c>
      <c r="AC814" t="s">
        <v>5095</v>
      </c>
      <c r="AD814">
        <v>35.799999999999997</v>
      </c>
      <c r="AE814" t="s">
        <v>5959</v>
      </c>
      <c r="AF814" t="s">
        <v>6766</v>
      </c>
      <c r="AG814">
        <v>2829</v>
      </c>
      <c r="AH814">
        <v>160</v>
      </c>
      <c r="AI814">
        <v>3817360</v>
      </c>
      <c r="AJ814">
        <v>1.41</v>
      </c>
    </row>
    <row r="815" spans="1:36">
      <c r="A815" s="1" t="s">
        <v>849</v>
      </c>
      <c r="B815" t="s">
        <v>1713</v>
      </c>
      <c r="C815" t="str">
        <f>HYPERLINK("https://finance.naver.com/item/coinfo.nhn?code=234340", "A234340")</f>
        <v>A234340</v>
      </c>
      <c r="D815" t="str">
        <f>HYPERLINK("http://comp.fnguide.com/SVO2/ASP/SVD_Consensus.asp?pGB=1&amp;gicode=A234340&amp;cID=&amp;MenuYn=Y&amp;ReportGB=&amp;NewMenuID=108&amp;stkGb=701", "세틀뱅크")</f>
        <v>세틀뱅크</v>
      </c>
      <c r="E815">
        <v>1</v>
      </c>
      <c r="F815">
        <v>32100</v>
      </c>
      <c r="G815">
        <v>0</v>
      </c>
      <c r="H815">
        <v>19.71</v>
      </c>
      <c r="I815">
        <v>32564</v>
      </c>
      <c r="J815">
        <v>20524</v>
      </c>
      <c r="K815">
        <v>17103</v>
      </c>
      <c r="L815">
        <v>-1.45</v>
      </c>
      <c r="M815">
        <v>36.06</v>
      </c>
      <c r="N815">
        <v>46.72</v>
      </c>
      <c r="O815">
        <v>20.6</v>
      </c>
      <c r="P815" t="b">
        <v>1</v>
      </c>
      <c r="Q815">
        <v>0</v>
      </c>
      <c r="R815">
        <v>1466</v>
      </c>
      <c r="U815" t="s">
        <v>2577</v>
      </c>
      <c r="V815" t="s">
        <v>3441</v>
      </c>
      <c r="W815">
        <v>0</v>
      </c>
      <c r="X815">
        <v>-18</v>
      </c>
      <c r="Y815" t="s">
        <v>4235</v>
      </c>
      <c r="Z815">
        <v>13.70383991116362</v>
      </c>
      <c r="AA815">
        <v>2975</v>
      </c>
      <c r="AB815">
        <v>53876</v>
      </c>
      <c r="AC815" t="s">
        <v>5096</v>
      </c>
      <c r="AD815">
        <v>40.76</v>
      </c>
      <c r="AE815" t="s">
        <v>5960</v>
      </c>
      <c r="AF815" t="s">
        <v>6767</v>
      </c>
      <c r="AG815">
        <v>656</v>
      </c>
      <c r="AH815">
        <v>134</v>
      </c>
      <c r="AI815">
        <v>456646</v>
      </c>
      <c r="AJ815">
        <v>1.31</v>
      </c>
    </row>
    <row r="816" spans="1:36">
      <c r="A816" s="1" t="s">
        <v>850</v>
      </c>
      <c r="B816" t="s">
        <v>1714</v>
      </c>
      <c r="C816" t="str">
        <f>HYPERLINK("https://finance.naver.com/item/coinfo.nhn?code=950190", "A950190")</f>
        <v>A950190</v>
      </c>
      <c r="D816" t="str">
        <f>HYPERLINK("http://comp.fnguide.com/SVO2/ASP/SVD_Consensus.asp?pGB=1&amp;gicode=A950190&amp;cID=&amp;MenuYn=Y&amp;ReportGB=&amp;NewMenuID=108&amp;stkGb=701", "미투젠")</f>
        <v>미투젠</v>
      </c>
      <c r="E816">
        <v>1</v>
      </c>
      <c r="F816">
        <v>27800</v>
      </c>
      <c r="I816">
        <v>44365</v>
      </c>
      <c r="J816">
        <v>19644</v>
      </c>
      <c r="K816">
        <v>12619</v>
      </c>
      <c r="L816">
        <v>-59.59</v>
      </c>
      <c r="M816">
        <v>29.34</v>
      </c>
      <c r="N816">
        <v>54.61</v>
      </c>
      <c r="O816">
        <v>107.45</v>
      </c>
      <c r="P816" t="b">
        <v>0</v>
      </c>
      <c r="Q816">
        <v>3</v>
      </c>
      <c r="R816">
        <v>3163</v>
      </c>
      <c r="S816">
        <v>3450</v>
      </c>
      <c r="T816">
        <v>9.1</v>
      </c>
      <c r="U816" t="s">
        <v>2578</v>
      </c>
      <c r="V816" t="s">
        <v>3442</v>
      </c>
      <c r="W816">
        <v>83.32805008650152</v>
      </c>
      <c r="X816">
        <v>13.6</v>
      </c>
      <c r="Y816" t="s">
        <v>4236</v>
      </c>
      <c r="Z816">
        <v>0</v>
      </c>
      <c r="AA816">
        <v>3583</v>
      </c>
      <c r="AB816">
        <v>64418</v>
      </c>
      <c r="AC816" t="s">
        <v>5097</v>
      </c>
      <c r="AD816">
        <v>43.98</v>
      </c>
      <c r="AE816" t="s">
        <v>5961</v>
      </c>
      <c r="AF816" t="s">
        <v>6768</v>
      </c>
      <c r="AG816">
        <v>969</v>
      </c>
      <c r="AH816">
        <v>434</v>
      </c>
    </row>
    <row r="817" spans="1:36">
      <c r="A817" s="1" t="s">
        <v>851</v>
      </c>
      <c r="B817" t="s">
        <v>1715</v>
      </c>
      <c r="C817" t="str">
        <f>HYPERLINK("https://finance.naver.com/item/coinfo.nhn?code=049960", "A049960")</f>
        <v>A049960</v>
      </c>
      <c r="D817" t="str">
        <f>HYPERLINK("http://comp.fnguide.com/SVO2/ASP/SVD_Consensus.asp?pGB=1&amp;gicode=A049960&amp;cID=&amp;MenuYn=Y&amp;ReportGB=&amp;NewMenuID=108&amp;stkGb=701", "쎌바이오텍")</f>
        <v>쎌바이오텍</v>
      </c>
      <c r="E817">
        <v>1</v>
      </c>
      <c r="F817">
        <v>22150</v>
      </c>
      <c r="G817">
        <v>0</v>
      </c>
      <c r="H817">
        <v>24.63</v>
      </c>
      <c r="I817">
        <v>24973</v>
      </c>
      <c r="J817">
        <v>18762</v>
      </c>
      <c r="K817">
        <v>16997</v>
      </c>
      <c r="L817">
        <v>-12.75</v>
      </c>
      <c r="M817">
        <v>15.29</v>
      </c>
      <c r="N817">
        <v>23.26</v>
      </c>
      <c r="O817">
        <v>13.54</v>
      </c>
      <c r="P817" t="b">
        <v>1</v>
      </c>
      <c r="Q817">
        <v>0</v>
      </c>
      <c r="R817">
        <v>769</v>
      </c>
      <c r="U817" t="s">
        <v>2579</v>
      </c>
      <c r="V817" t="s">
        <v>3443</v>
      </c>
      <c r="W817">
        <v>0</v>
      </c>
      <c r="X817">
        <v>-22.4</v>
      </c>
      <c r="Y817" t="s">
        <v>4237</v>
      </c>
      <c r="Z817">
        <v>-20.347749789724421</v>
      </c>
      <c r="AA817">
        <v>2082</v>
      </c>
      <c r="AB817">
        <v>171421</v>
      </c>
      <c r="AC817" t="s">
        <v>5098</v>
      </c>
      <c r="AD817">
        <v>24.23</v>
      </c>
      <c r="AE817" t="s">
        <v>5962</v>
      </c>
      <c r="AF817" t="s">
        <v>6769</v>
      </c>
      <c r="AG817">
        <v>460</v>
      </c>
      <c r="AH817">
        <v>58</v>
      </c>
      <c r="AI817">
        <v>2328381</v>
      </c>
      <c r="AJ817">
        <v>3.17</v>
      </c>
    </row>
    <row r="818" spans="1:36">
      <c r="A818" s="1" t="s">
        <v>852</v>
      </c>
      <c r="B818" t="s">
        <v>1716</v>
      </c>
      <c r="C818" t="str">
        <f>HYPERLINK("https://finance.naver.com/item/coinfo.nhn?code=214180", "A214180")</f>
        <v>A214180</v>
      </c>
      <c r="D818" t="str">
        <f>HYPERLINK("http://comp.fnguide.com/SVO2/ASP/SVD_Consensus.asp?pGB=1&amp;gicode=A214180&amp;cID=&amp;MenuYn=Y&amp;ReportGB=&amp;NewMenuID=108&amp;stkGb=701", "민앤지")</f>
        <v>민앤지</v>
      </c>
      <c r="E818">
        <v>1</v>
      </c>
      <c r="F818">
        <v>17400</v>
      </c>
      <c r="G818">
        <v>0</v>
      </c>
      <c r="H818">
        <v>11.25</v>
      </c>
      <c r="I818">
        <v>21904</v>
      </c>
      <c r="J818">
        <v>15423</v>
      </c>
      <c r="K818">
        <v>13581</v>
      </c>
      <c r="L818">
        <v>-25.89</v>
      </c>
      <c r="M818">
        <v>11.36</v>
      </c>
      <c r="N818">
        <v>21.95</v>
      </c>
      <c r="O818">
        <v>15.62</v>
      </c>
      <c r="P818" t="b">
        <v>1</v>
      </c>
      <c r="Q818">
        <v>0</v>
      </c>
      <c r="R818">
        <v>1329</v>
      </c>
      <c r="U818" t="s">
        <v>2580</v>
      </c>
      <c r="V818" t="s">
        <v>3444</v>
      </c>
      <c r="W818">
        <v>0</v>
      </c>
      <c r="X818">
        <v>-8.1</v>
      </c>
      <c r="Y818" t="s">
        <v>4238</v>
      </c>
      <c r="Z818">
        <v>7.8950965351512359</v>
      </c>
      <c r="AA818">
        <v>2151</v>
      </c>
      <c r="AB818">
        <v>346014</v>
      </c>
      <c r="AC818" t="s">
        <v>5099</v>
      </c>
      <c r="AD818">
        <v>25.94</v>
      </c>
      <c r="AE818" t="s">
        <v>5963</v>
      </c>
      <c r="AF818" t="s">
        <v>6770</v>
      </c>
      <c r="AG818">
        <v>1237</v>
      </c>
      <c r="AH818">
        <v>270</v>
      </c>
      <c r="AI818">
        <v>998795</v>
      </c>
      <c r="AJ818">
        <v>1.54</v>
      </c>
    </row>
    <row r="819" spans="1:36">
      <c r="A819" s="1" t="s">
        <v>853</v>
      </c>
      <c r="B819" t="s">
        <v>1717</v>
      </c>
      <c r="C819" t="str">
        <f>HYPERLINK("https://finance.naver.com/item/coinfo.nhn?code=204270", "A204270")</f>
        <v>A204270</v>
      </c>
      <c r="D819" t="str">
        <f>HYPERLINK("http://comp.fnguide.com/SVO2/ASP/SVD_Consensus.asp?pGB=1&amp;gicode=A204270&amp;cID=&amp;MenuYn=Y&amp;ReportGB=&amp;NewMenuID=108&amp;stkGb=701", "제이앤티씨")</f>
        <v>제이앤티씨</v>
      </c>
      <c r="E819">
        <v>1</v>
      </c>
      <c r="F819">
        <v>10600</v>
      </c>
      <c r="I819">
        <v>14874</v>
      </c>
      <c r="J819">
        <v>9007</v>
      </c>
      <c r="K819">
        <v>7339</v>
      </c>
      <c r="L819">
        <v>-40.32</v>
      </c>
      <c r="M819">
        <v>15.03</v>
      </c>
      <c r="N819">
        <v>30.76</v>
      </c>
      <c r="O819">
        <v>23.06</v>
      </c>
      <c r="P819" t="b">
        <v>0</v>
      </c>
      <c r="Q819">
        <v>0</v>
      </c>
      <c r="R819">
        <v>1691</v>
      </c>
      <c r="S819">
        <v>1521</v>
      </c>
      <c r="T819">
        <v>-10.1</v>
      </c>
      <c r="U819" t="s">
        <v>2581</v>
      </c>
      <c r="V819" t="s">
        <v>3445</v>
      </c>
      <c r="W819">
        <v>149.40547410325499</v>
      </c>
      <c r="X819">
        <v>87.1</v>
      </c>
      <c r="Y819" t="s">
        <v>4239</v>
      </c>
      <c r="Z819">
        <v>59.08990565349621</v>
      </c>
      <c r="AA819">
        <v>6132</v>
      </c>
      <c r="AB819">
        <v>181252</v>
      </c>
      <c r="AC819" t="s">
        <v>5100</v>
      </c>
      <c r="AD819">
        <v>71.38</v>
      </c>
      <c r="AE819" t="s">
        <v>5964</v>
      </c>
      <c r="AF819" t="s">
        <v>6771</v>
      </c>
      <c r="AG819">
        <v>3862</v>
      </c>
      <c r="AH819">
        <v>955</v>
      </c>
      <c r="AI819">
        <v>779845</v>
      </c>
    </row>
    <row r="820" spans="1:36">
      <c r="A820" s="1" t="s">
        <v>854</v>
      </c>
      <c r="B820" t="s">
        <v>1718</v>
      </c>
      <c r="C820" t="str">
        <f>HYPERLINK("https://finance.naver.com/item/coinfo.nhn?code=104460", "A104460")</f>
        <v>A104460</v>
      </c>
      <c r="D820" t="str">
        <f>HYPERLINK("http://comp.fnguide.com/SVO2/ASP/SVD_Consensus.asp?pGB=1&amp;gicode=A104460&amp;cID=&amp;MenuYn=Y&amp;ReportGB=&amp;NewMenuID=108&amp;stkGb=701", "디와이피엔에프")</f>
        <v>디와이피엔에프</v>
      </c>
      <c r="E820">
        <v>1</v>
      </c>
      <c r="F820">
        <v>18100</v>
      </c>
      <c r="G820">
        <v>0</v>
      </c>
      <c r="H820">
        <v>5.98</v>
      </c>
      <c r="I820">
        <v>22373</v>
      </c>
      <c r="J820">
        <v>13230</v>
      </c>
      <c r="K820">
        <v>10631</v>
      </c>
      <c r="L820">
        <v>-23.61</v>
      </c>
      <c r="M820">
        <v>26.91</v>
      </c>
      <c r="N820">
        <v>41.26</v>
      </c>
      <c r="O820">
        <v>24.75</v>
      </c>
      <c r="P820" t="b">
        <v>1</v>
      </c>
      <c r="Q820">
        <v>0</v>
      </c>
      <c r="R820">
        <v>1974</v>
      </c>
      <c r="U820" t="s">
        <v>2582</v>
      </c>
      <c r="V820" t="s">
        <v>3446</v>
      </c>
      <c r="W820">
        <v>0</v>
      </c>
      <c r="X820">
        <v>3.2</v>
      </c>
      <c r="Y820" t="s">
        <v>4240</v>
      </c>
      <c r="Z820">
        <v>-30.735029332809749</v>
      </c>
      <c r="AA820">
        <v>1939</v>
      </c>
      <c r="AB820">
        <v>177736</v>
      </c>
      <c r="AC820" t="s">
        <v>5101</v>
      </c>
      <c r="AD820">
        <v>49.34</v>
      </c>
      <c r="AE820" t="s">
        <v>5965</v>
      </c>
      <c r="AF820" t="s">
        <v>6772</v>
      </c>
      <c r="AG820">
        <v>1656</v>
      </c>
      <c r="AH820">
        <v>283</v>
      </c>
      <c r="AI820">
        <v>1154603</v>
      </c>
      <c r="AJ820">
        <v>2.97</v>
      </c>
    </row>
    <row r="821" spans="1:36">
      <c r="A821" s="1" t="s">
        <v>855</v>
      </c>
      <c r="B821" t="s">
        <v>1719</v>
      </c>
      <c r="C821" t="str">
        <f>HYPERLINK("https://finance.naver.com/item/coinfo.nhn?code=272110", "A272110")</f>
        <v>A272110</v>
      </c>
      <c r="D821" t="str">
        <f>HYPERLINK("http://comp.fnguide.com/SVO2/ASP/SVD_Consensus.asp?pGB=1&amp;gicode=A272110&amp;cID=&amp;MenuYn=Y&amp;ReportGB=&amp;NewMenuID=108&amp;stkGb=701", "케이엔제이")</f>
        <v>케이엔제이</v>
      </c>
      <c r="E821">
        <v>1</v>
      </c>
      <c r="F821">
        <v>11350</v>
      </c>
      <c r="G821">
        <v>0</v>
      </c>
      <c r="H821">
        <v>13.81</v>
      </c>
      <c r="I821">
        <v>16073</v>
      </c>
      <c r="J821">
        <v>8944</v>
      </c>
      <c r="K821">
        <v>6917</v>
      </c>
      <c r="L821">
        <v>-41.61</v>
      </c>
      <c r="M821">
        <v>21.2</v>
      </c>
      <c r="N821">
        <v>39.049999999999997</v>
      </c>
      <c r="O821">
        <v>30.22</v>
      </c>
      <c r="P821" t="b">
        <v>1</v>
      </c>
      <c r="Q821">
        <v>0</v>
      </c>
      <c r="R821">
        <v>854</v>
      </c>
      <c r="U821" t="s">
        <v>2583</v>
      </c>
      <c r="V821" t="s">
        <v>3447</v>
      </c>
      <c r="W821">
        <v>0</v>
      </c>
      <c r="X821">
        <v>0</v>
      </c>
      <c r="Y821" t="s">
        <v>4241</v>
      </c>
      <c r="Z821">
        <v>72.487738694667783</v>
      </c>
      <c r="AA821">
        <v>720</v>
      </c>
      <c r="AB821">
        <v>47198</v>
      </c>
      <c r="AC821" t="s">
        <v>5102</v>
      </c>
      <c r="AD821">
        <v>28.77</v>
      </c>
      <c r="AE821" t="s">
        <v>5966</v>
      </c>
      <c r="AF821" t="s">
        <v>6773</v>
      </c>
      <c r="AG821">
        <v>563</v>
      </c>
      <c r="AH821">
        <v>38</v>
      </c>
    </row>
    <row r="822" spans="1:36">
      <c r="A822" s="1" t="s">
        <v>856</v>
      </c>
      <c r="B822" t="s">
        <v>1720</v>
      </c>
      <c r="C822" t="str">
        <f>HYPERLINK("https://finance.naver.com/item/coinfo.nhn?code=068790", "A068790")</f>
        <v>A068790</v>
      </c>
      <c r="D822" t="str">
        <f>HYPERLINK("http://comp.fnguide.com/SVO2/ASP/SVD_Consensus.asp?pGB=1&amp;gicode=A068790&amp;cID=&amp;MenuYn=Y&amp;ReportGB=&amp;NewMenuID=108&amp;stkGb=701", "DMS")</f>
        <v>DMS</v>
      </c>
      <c r="E822">
        <v>1</v>
      </c>
      <c r="F822">
        <v>8320</v>
      </c>
      <c r="G822">
        <v>0.09</v>
      </c>
      <c r="H822">
        <v>7.31</v>
      </c>
      <c r="I822">
        <v>8364</v>
      </c>
      <c r="J822">
        <v>7557</v>
      </c>
      <c r="K822">
        <v>7327</v>
      </c>
      <c r="L822">
        <v>-0.52</v>
      </c>
      <c r="M822">
        <v>9.18</v>
      </c>
      <c r="N822">
        <v>11.93</v>
      </c>
      <c r="O822">
        <v>9.4600000000000009</v>
      </c>
      <c r="P822" t="b">
        <v>1</v>
      </c>
      <c r="Q822">
        <v>3</v>
      </c>
      <c r="R822">
        <v>749</v>
      </c>
      <c r="S822">
        <v>1070</v>
      </c>
      <c r="T822">
        <v>42.9</v>
      </c>
      <c r="U822" t="s">
        <v>2584</v>
      </c>
      <c r="V822" t="s">
        <v>3448</v>
      </c>
      <c r="W822">
        <v>84.276750606761368</v>
      </c>
      <c r="X822">
        <v>-6.4</v>
      </c>
      <c r="Y822" t="s">
        <v>4242</v>
      </c>
      <c r="Z822">
        <v>5.9642628677745391</v>
      </c>
      <c r="AA822">
        <v>2044</v>
      </c>
      <c r="AB822">
        <v>1211426</v>
      </c>
      <c r="AC822" t="s">
        <v>5103</v>
      </c>
      <c r="AD822">
        <v>20.92</v>
      </c>
      <c r="AE822" t="s">
        <v>5967</v>
      </c>
      <c r="AF822" t="s">
        <v>6774</v>
      </c>
      <c r="AG822">
        <v>1962</v>
      </c>
      <c r="AH822">
        <v>227</v>
      </c>
      <c r="AI822">
        <v>933797</v>
      </c>
      <c r="AJ822">
        <v>1.37</v>
      </c>
    </row>
    <row r="823" spans="1:36">
      <c r="A823" s="1" t="s">
        <v>857</v>
      </c>
      <c r="B823" t="s">
        <v>1721</v>
      </c>
      <c r="C823" t="str">
        <f>HYPERLINK("https://finance.naver.com/item/coinfo.nhn?code=033290", "A033290")</f>
        <v>A033290</v>
      </c>
      <c r="D823" t="str">
        <f>HYPERLINK("http://comp.fnguide.com/SVO2/ASP/SVD_Consensus.asp?pGB=1&amp;gicode=A033290&amp;cID=&amp;MenuYn=Y&amp;ReportGB=&amp;NewMenuID=108&amp;stkGb=701", "코웰패션")</f>
        <v>코웰패션</v>
      </c>
      <c r="E823">
        <v>1</v>
      </c>
      <c r="F823">
        <v>5660</v>
      </c>
      <c r="G823">
        <v>0.88</v>
      </c>
      <c r="H823">
        <v>9.93</v>
      </c>
      <c r="I823">
        <v>9306</v>
      </c>
      <c r="J823">
        <v>5468</v>
      </c>
      <c r="K823">
        <v>4377</v>
      </c>
      <c r="L823">
        <v>-64.42</v>
      </c>
      <c r="M823">
        <v>3.39</v>
      </c>
      <c r="N823">
        <v>22.66</v>
      </c>
      <c r="O823">
        <v>25.25</v>
      </c>
      <c r="P823" t="b">
        <v>1</v>
      </c>
      <c r="Q823">
        <v>3</v>
      </c>
      <c r="R823">
        <v>568</v>
      </c>
      <c r="S823">
        <v>665</v>
      </c>
      <c r="T823">
        <v>17.100000000000001</v>
      </c>
      <c r="U823" t="s">
        <v>2585</v>
      </c>
      <c r="V823" t="s">
        <v>3449</v>
      </c>
      <c r="W823">
        <v>11.237405925263189</v>
      </c>
      <c r="X823">
        <v>22.4</v>
      </c>
      <c r="Y823" t="s">
        <v>4243</v>
      </c>
      <c r="Z823">
        <v>41.205091584420941</v>
      </c>
      <c r="AA823">
        <v>5009</v>
      </c>
      <c r="AB823">
        <v>204337</v>
      </c>
      <c r="AC823" t="s">
        <v>5104</v>
      </c>
      <c r="AD823">
        <v>70.83</v>
      </c>
      <c r="AE823" t="s">
        <v>5968</v>
      </c>
      <c r="AF823" t="s">
        <v>6775</v>
      </c>
      <c r="AG823">
        <v>3947</v>
      </c>
      <c r="AH823">
        <v>761</v>
      </c>
      <c r="AI823">
        <v>5171107</v>
      </c>
      <c r="AJ823">
        <v>1.77</v>
      </c>
    </row>
    <row r="824" spans="1:36">
      <c r="A824" s="1" t="s">
        <v>858</v>
      </c>
      <c r="B824" t="s">
        <v>1722</v>
      </c>
      <c r="C824" t="str">
        <f>HYPERLINK("https://finance.naver.com/item/coinfo.nhn?code=089890", "A089890")</f>
        <v>A089890</v>
      </c>
      <c r="D824" t="str">
        <f>HYPERLINK("http://comp.fnguide.com/SVO2/ASP/SVD_Consensus.asp?pGB=1&amp;gicode=A089890&amp;cID=&amp;MenuYn=Y&amp;ReportGB=&amp;NewMenuID=108&amp;stkGb=701", "코세스")</f>
        <v>코세스</v>
      </c>
      <c r="E824">
        <v>1</v>
      </c>
      <c r="F824">
        <v>8140</v>
      </c>
      <c r="G824">
        <v>0</v>
      </c>
      <c r="H824">
        <v>23.56</v>
      </c>
      <c r="I824">
        <v>10865</v>
      </c>
      <c r="J824">
        <v>5388</v>
      </c>
      <c r="K824">
        <v>3831</v>
      </c>
      <c r="L824">
        <v>-33.479999999999997</v>
      </c>
      <c r="M824">
        <v>33.81</v>
      </c>
      <c r="N824">
        <v>52.93</v>
      </c>
      <c r="O824">
        <v>48.97</v>
      </c>
      <c r="P824" t="b">
        <v>1</v>
      </c>
      <c r="Q824">
        <v>0</v>
      </c>
      <c r="R824">
        <v>371</v>
      </c>
      <c r="U824" t="s">
        <v>2586</v>
      </c>
      <c r="V824" t="s">
        <v>3450</v>
      </c>
      <c r="W824">
        <v>0</v>
      </c>
      <c r="X824">
        <v>21.3</v>
      </c>
      <c r="Y824" t="s">
        <v>4244</v>
      </c>
      <c r="Z824">
        <v>-10.452190457384431</v>
      </c>
      <c r="AA824">
        <v>1350</v>
      </c>
      <c r="AB824">
        <v>117597</v>
      </c>
      <c r="AC824" t="s">
        <v>5105</v>
      </c>
      <c r="AD824">
        <v>51.31</v>
      </c>
      <c r="AE824" t="s">
        <v>5969</v>
      </c>
      <c r="AF824" t="s">
        <v>6776</v>
      </c>
      <c r="AG824">
        <v>656</v>
      </c>
      <c r="AH824">
        <v>77</v>
      </c>
      <c r="AI824">
        <v>1202816</v>
      </c>
    </row>
    <row r="825" spans="1:36">
      <c r="A825" s="1" t="s">
        <v>859</v>
      </c>
      <c r="B825" t="s">
        <v>1723</v>
      </c>
      <c r="C825" t="str">
        <f>HYPERLINK("https://finance.naver.com/item/coinfo.nhn?code=000660", "A000660")</f>
        <v>A000660</v>
      </c>
      <c r="D825" t="str">
        <f>HYPERLINK("http://comp.fnguide.com/SVO2/ASP/SVD_Consensus.asp?pGB=1&amp;gicode=A000660&amp;cID=&amp;MenuYn=Y&amp;ReportGB=&amp;NewMenuID=108&amp;stkGb=701", "SK하이닉스")</f>
        <v>SK하이닉스</v>
      </c>
      <c r="E825">
        <v>1</v>
      </c>
      <c r="F825">
        <v>118000</v>
      </c>
      <c r="G825">
        <v>-1.1399999999999999</v>
      </c>
      <c r="H825">
        <v>34.03</v>
      </c>
      <c r="I825">
        <v>186222</v>
      </c>
      <c r="J825">
        <v>116337</v>
      </c>
      <c r="K825">
        <v>96477</v>
      </c>
      <c r="L825">
        <v>-57.82</v>
      </c>
      <c r="M825">
        <v>1.41</v>
      </c>
      <c r="N825">
        <v>18.239999999999998</v>
      </c>
      <c r="O825">
        <v>21.1</v>
      </c>
      <c r="P825" t="b">
        <v>0</v>
      </c>
      <c r="Q825">
        <v>1</v>
      </c>
      <c r="R825">
        <v>2766</v>
      </c>
      <c r="S825">
        <v>5032</v>
      </c>
      <c r="T825">
        <v>81.900000000000006</v>
      </c>
      <c r="U825" t="s">
        <v>2587</v>
      </c>
      <c r="V825" t="s">
        <v>3451</v>
      </c>
      <c r="W825">
        <v>-29.847529623118049</v>
      </c>
      <c r="X825">
        <v>40.200000000000003</v>
      </c>
      <c r="Y825" t="s">
        <v>4245</v>
      </c>
      <c r="Z825">
        <v>-8.1189737131055377</v>
      </c>
      <c r="AA825">
        <v>859043</v>
      </c>
      <c r="AB825">
        <v>3486636</v>
      </c>
      <c r="AC825" t="s">
        <v>5106</v>
      </c>
      <c r="AD825">
        <v>20.07</v>
      </c>
      <c r="AE825" t="s">
        <v>5970</v>
      </c>
      <c r="AF825" t="s">
        <v>6777</v>
      </c>
      <c r="AG825">
        <v>269907</v>
      </c>
      <c r="AH825">
        <v>27127</v>
      </c>
      <c r="AI825">
        <v>44000570</v>
      </c>
      <c r="AJ825">
        <v>1.06</v>
      </c>
    </row>
    <row r="826" spans="1:36">
      <c r="A826" s="1" t="s">
        <v>860</v>
      </c>
      <c r="B826" t="s">
        <v>1724</v>
      </c>
      <c r="C826" t="str">
        <f>HYPERLINK("https://finance.naver.com/item/coinfo.nhn?code=036200", "A036200")</f>
        <v>A036200</v>
      </c>
      <c r="D826" t="str">
        <f>HYPERLINK("http://comp.fnguide.com/SVO2/ASP/SVD_Consensus.asp?pGB=1&amp;gicode=A036200&amp;cID=&amp;MenuYn=Y&amp;ReportGB=&amp;NewMenuID=108&amp;stkGb=701", "유니셈")</f>
        <v>유니셈</v>
      </c>
      <c r="E826">
        <v>1</v>
      </c>
      <c r="F826">
        <v>8220</v>
      </c>
      <c r="G826">
        <v>0</v>
      </c>
      <c r="H826">
        <v>7.56</v>
      </c>
      <c r="I826">
        <v>12027</v>
      </c>
      <c r="J826">
        <v>7423</v>
      </c>
      <c r="K826">
        <v>6115</v>
      </c>
      <c r="L826">
        <v>-46.32</v>
      </c>
      <c r="M826">
        <v>9.69</v>
      </c>
      <c r="N826">
        <v>25.61</v>
      </c>
      <c r="O826">
        <v>21.83</v>
      </c>
      <c r="P826" t="b">
        <v>1</v>
      </c>
      <c r="Q826">
        <v>0</v>
      </c>
      <c r="R826">
        <v>718</v>
      </c>
      <c r="U826" t="s">
        <v>2588</v>
      </c>
      <c r="V826" t="s">
        <v>3452</v>
      </c>
      <c r="W826">
        <v>0</v>
      </c>
      <c r="X826">
        <v>61</v>
      </c>
      <c r="Y826" t="s">
        <v>4246</v>
      </c>
      <c r="Z826">
        <v>61.213708463714987</v>
      </c>
      <c r="AA826">
        <v>2521</v>
      </c>
      <c r="AB826">
        <v>609389</v>
      </c>
      <c r="AC826" t="s">
        <v>5107</v>
      </c>
      <c r="AD826">
        <v>29.03</v>
      </c>
      <c r="AE826" t="s">
        <v>5971</v>
      </c>
      <c r="AF826" t="s">
        <v>6778</v>
      </c>
      <c r="AG826">
        <v>1790</v>
      </c>
      <c r="AH826">
        <v>240</v>
      </c>
      <c r="AI826">
        <v>1248170</v>
      </c>
      <c r="AJ826">
        <v>0.92</v>
      </c>
    </row>
    <row r="827" spans="1:36">
      <c r="A827" s="1" t="s">
        <v>861</v>
      </c>
      <c r="B827" t="s">
        <v>1725</v>
      </c>
      <c r="C827" t="str">
        <f>HYPERLINK("https://finance.naver.com/item/coinfo.nhn?code=086390", "A086390")</f>
        <v>A086390</v>
      </c>
      <c r="D827" t="str">
        <f>HYPERLINK("http://comp.fnguide.com/SVO2/ASP/SVD_Consensus.asp?pGB=1&amp;gicode=A086390&amp;cID=&amp;MenuYn=Y&amp;ReportGB=&amp;NewMenuID=108&amp;stkGb=701", "유니테스트")</f>
        <v>유니테스트</v>
      </c>
      <c r="E827">
        <v>1</v>
      </c>
      <c r="F827">
        <v>24900</v>
      </c>
      <c r="G827">
        <v>-0.46</v>
      </c>
      <c r="H827">
        <v>11.88</v>
      </c>
      <c r="I827">
        <v>28082</v>
      </c>
      <c r="J827">
        <v>15912</v>
      </c>
      <c r="K827">
        <v>12453</v>
      </c>
      <c r="L827">
        <v>-12.78</v>
      </c>
      <c r="M827">
        <v>36.1</v>
      </c>
      <c r="N827">
        <v>49.99</v>
      </c>
      <c r="O827">
        <v>28.39</v>
      </c>
      <c r="P827" t="b">
        <v>1</v>
      </c>
      <c r="Q827">
        <v>0</v>
      </c>
      <c r="R827">
        <v>1208</v>
      </c>
      <c r="S827">
        <v>468</v>
      </c>
      <c r="T827">
        <v>-61.3</v>
      </c>
      <c r="U827" t="s">
        <v>2589</v>
      </c>
      <c r="V827" t="s">
        <v>3453</v>
      </c>
      <c r="W827">
        <v>-25.79501732324362</v>
      </c>
      <c r="X827">
        <v>0</v>
      </c>
      <c r="Y827" t="s">
        <v>4247</v>
      </c>
      <c r="Z827">
        <v>-3.5536882760231809</v>
      </c>
      <c r="AA827">
        <v>5262</v>
      </c>
      <c r="AB827">
        <v>961856</v>
      </c>
      <c r="AC827" t="s">
        <v>5108</v>
      </c>
      <c r="AD827">
        <v>21.07</v>
      </c>
      <c r="AE827" t="s">
        <v>5972</v>
      </c>
      <c r="AF827" t="s">
        <v>6779</v>
      </c>
      <c r="AG827">
        <v>1983</v>
      </c>
      <c r="AH827">
        <v>300</v>
      </c>
      <c r="AI827">
        <v>839709</v>
      </c>
      <c r="AJ827">
        <v>1.74</v>
      </c>
    </row>
    <row r="828" spans="1:36">
      <c r="A828" s="1" t="s">
        <v>862</v>
      </c>
      <c r="B828" t="s">
        <v>1726</v>
      </c>
      <c r="C828" t="str">
        <f>HYPERLINK("https://finance.naver.com/item/coinfo.nhn?code=040160", "A040160")</f>
        <v>A040160</v>
      </c>
      <c r="D828" t="str">
        <f>HYPERLINK("http://comp.fnguide.com/SVO2/ASP/SVD_Consensus.asp?pGB=1&amp;gicode=A040160&amp;cID=&amp;MenuYn=Y&amp;ReportGB=&amp;NewMenuID=108&amp;stkGb=701", "누리텔레콤")</f>
        <v>누리텔레콤</v>
      </c>
      <c r="E828">
        <v>1</v>
      </c>
      <c r="F828">
        <v>8030</v>
      </c>
      <c r="G828">
        <v>0</v>
      </c>
      <c r="H828">
        <v>7.46</v>
      </c>
      <c r="I828">
        <v>10643</v>
      </c>
      <c r="J828">
        <v>7877</v>
      </c>
      <c r="K828">
        <v>7091</v>
      </c>
      <c r="L828">
        <v>-32.54</v>
      </c>
      <c r="M828">
        <v>1.91</v>
      </c>
      <c r="N828">
        <v>11.7</v>
      </c>
      <c r="O828">
        <v>13.98</v>
      </c>
      <c r="P828" t="b">
        <v>1</v>
      </c>
      <c r="Q828">
        <v>0</v>
      </c>
      <c r="R828">
        <v>736</v>
      </c>
      <c r="U828" t="s">
        <v>2590</v>
      </c>
      <c r="V828" t="s">
        <v>3454</v>
      </c>
      <c r="W828">
        <v>0</v>
      </c>
      <c r="X828">
        <v>187.4</v>
      </c>
      <c r="Y828" t="s">
        <v>4248</v>
      </c>
      <c r="Z828">
        <v>46.935599538079778</v>
      </c>
      <c r="AA828">
        <v>968</v>
      </c>
      <c r="AB828">
        <v>180900</v>
      </c>
      <c r="AC828" t="s">
        <v>5109</v>
      </c>
      <c r="AD828">
        <v>40.68</v>
      </c>
      <c r="AE828" t="s">
        <v>5973</v>
      </c>
      <c r="AF828" t="s">
        <v>6780</v>
      </c>
      <c r="AG828">
        <v>1479</v>
      </c>
      <c r="AH828">
        <v>116</v>
      </c>
      <c r="AI828">
        <v>757550</v>
      </c>
      <c r="AJ828">
        <v>0.91</v>
      </c>
    </row>
    <row r="829" spans="1:36">
      <c r="A829" s="1" t="s">
        <v>863</v>
      </c>
      <c r="B829" t="s">
        <v>1727</v>
      </c>
      <c r="C829" t="str">
        <f>HYPERLINK("https://finance.naver.com/item/coinfo.nhn?code=010050", "A010050")</f>
        <v>A010050</v>
      </c>
      <c r="D829" t="str">
        <f>HYPERLINK("http://comp.fnguide.com/SVO2/ASP/SVD_Consensus.asp?pGB=1&amp;gicode=A010050&amp;cID=&amp;MenuYn=Y&amp;ReportGB=&amp;NewMenuID=108&amp;stkGb=701", "우리종금")</f>
        <v>우리종금</v>
      </c>
      <c r="E829">
        <v>1</v>
      </c>
      <c r="F829">
        <v>542</v>
      </c>
      <c r="G829">
        <v>0</v>
      </c>
      <c r="H829">
        <v>8.01</v>
      </c>
      <c r="I829">
        <v>684</v>
      </c>
      <c r="J829">
        <v>525</v>
      </c>
      <c r="K829">
        <v>480</v>
      </c>
      <c r="L829">
        <v>-26.12</v>
      </c>
      <c r="M829">
        <v>3.12</v>
      </c>
      <c r="N829">
        <v>11.43</v>
      </c>
      <c r="O829">
        <v>12.92</v>
      </c>
      <c r="P829" t="b">
        <v>1</v>
      </c>
      <c r="Q829">
        <v>0</v>
      </c>
      <c r="R829">
        <v>78</v>
      </c>
      <c r="U829" t="s">
        <v>2591</v>
      </c>
      <c r="V829" t="s">
        <v>3455</v>
      </c>
      <c r="W829">
        <v>0</v>
      </c>
      <c r="Y829" t="s">
        <v>3605</v>
      </c>
      <c r="Z829">
        <v>0</v>
      </c>
      <c r="AA829">
        <v>4738</v>
      </c>
      <c r="AB829">
        <v>1918333</v>
      </c>
      <c r="AC829" t="s">
        <v>5110</v>
      </c>
      <c r="AD829">
        <v>58.75</v>
      </c>
      <c r="AE829" t="s">
        <v>5974</v>
      </c>
      <c r="AF829" t="s">
        <v>6781</v>
      </c>
      <c r="AG829">
        <v>2051</v>
      </c>
      <c r="AH829">
        <v>539</v>
      </c>
      <c r="AI829">
        <v>69076</v>
      </c>
    </row>
    <row r="830" spans="1:36">
      <c r="A830" s="1" t="s">
        <v>864</v>
      </c>
      <c r="B830" t="s">
        <v>1728</v>
      </c>
      <c r="C830" t="str">
        <f>HYPERLINK("https://finance.naver.com/item/coinfo.nhn?code=092730", "A092730")</f>
        <v>A092730</v>
      </c>
      <c r="D830" t="str">
        <f>HYPERLINK("http://comp.fnguide.com/SVO2/ASP/SVD_Consensus.asp?pGB=1&amp;gicode=A092730&amp;cID=&amp;MenuYn=Y&amp;ReportGB=&amp;NewMenuID=108&amp;stkGb=701", "네오팜")</f>
        <v>네오팜</v>
      </c>
      <c r="E830">
        <v>1</v>
      </c>
      <c r="F830">
        <v>28350</v>
      </c>
      <c r="G830">
        <v>1.85</v>
      </c>
      <c r="H830">
        <v>19.829999999999998</v>
      </c>
      <c r="I830">
        <v>43786</v>
      </c>
      <c r="J830">
        <v>25573</v>
      </c>
      <c r="K830">
        <v>20397</v>
      </c>
      <c r="L830">
        <v>-54.45</v>
      </c>
      <c r="M830">
        <v>9.7899999999999991</v>
      </c>
      <c r="N830">
        <v>28.05</v>
      </c>
      <c r="O830">
        <v>25.72</v>
      </c>
      <c r="P830" t="b">
        <v>1</v>
      </c>
      <c r="Q830">
        <v>0</v>
      </c>
      <c r="R830">
        <v>2438</v>
      </c>
      <c r="S830">
        <v>2101</v>
      </c>
      <c r="T830">
        <v>-13.8</v>
      </c>
      <c r="U830" t="s">
        <v>2592</v>
      </c>
      <c r="V830" t="s">
        <v>3456</v>
      </c>
      <c r="W830">
        <v>10.691570801244611</v>
      </c>
      <c r="X830">
        <v>-8.8000000000000007</v>
      </c>
      <c r="Y830" t="s">
        <v>4249</v>
      </c>
      <c r="Z830">
        <v>37.256608395114441</v>
      </c>
      <c r="AA830">
        <v>2327</v>
      </c>
      <c r="AB830">
        <v>39369</v>
      </c>
      <c r="AC830" t="s">
        <v>5111</v>
      </c>
      <c r="AD830">
        <v>38.94</v>
      </c>
      <c r="AE830" t="s">
        <v>5975</v>
      </c>
      <c r="AF830" t="s">
        <v>6782</v>
      </c>
      <c r="AG830">
        <v>832</v>
      </c>
      <c r="AH830">
        <v>230</v>
      </c>
      <c r="AI830">
        <v>386733</v>
      </c>
      <c r="AJ830">
        <v>1.55</v>
      </c>
    </row>
    <row r="831" spans="1:36">
      <c r="A831" s="1" t="s">
        <v>865</v>
      </c>
      <c r="B831" t="s">
        <v>1729</v>
      </c>
      <c r="C831" t="str">
        <f>HYPERLINK("https://finance.naver.com/item/coinfo.nhn?code=267320", "A267320")</f>
        <v>A267320</v>
      </c>
      <c r="D831" t="str">
        <f>HYPERLINK("http://comp.fnguide.com/SVO2/ASP/SVD_Consensus.asp?pGB=1&amp;gicode=A267320&amp;cID=&amp;MenuYn=Y&amp;ReportGB=&amp;NewMenuID=108&amp;stkGb=701", "나인테크")</f>
        <v>나인테크</v>
      </c>
      <c r="E831">
        <v>1</v>
      </c>
      <c r="F831">
        <v>4070</v>
      </c>
      <c r="G831">
        <v>0</v>
      </c>
      <c r="I831">
        <v>5771</v>
      </c>
      <c r="J831">
        <v>2451</v>
      </c>
      <c r="K831">
        <v>1508</v>
      </c>
      <c r="L831">
        <v>-41.81</v>
      </c>
      <c r="M831">
        <v>39.78</v>
      </c>
      <c r="N831">
        <v>62.96</v>
      </c>
      <c r="O831">
        <v>181.15</v>
      </c>
      <c r="P831" t="b">
        <v>0</v>
      </c>
      <c r="Q831">
        <v>0</v>
      </c>
      <c r="R831">
        <v>114</v>
      </c>
      <c r="U831" t="s">
        <v>2593</v>
      </c>
      <c r="V831" t="s">
        <v>3457</v>
      </c>
      <c r="W831">
        <v>0</v>
      </c>
      <c r="X831">
        <v>0</v>
      </c>
      <c r="Y831" t="s">
        <v>4250</v>
      </c>
      <c r="Z831">
        <v>106.5</v>
      </c>
      <c r="AA831">
        <v>1603</v>
      </c>
      <c r="AB831">
        <v>5756497</v>
      </c>
      <c r="AC831" t="s">
        <v>5112</v>
      </c>
      <c r="AD831">
        <v>33.200000000000003</v>
      </c>
      <c r="AE831" t="s">
        <v>5976</v>
      </c>
      <c r="AF831" t="s">
        <v>6021</v>
      </c>
      <c r="AG831">
        <v>752</v>
      </c>
      <c r="AH831">
        <v>65</v>
      </c>
      <c r="AI831">
        <v>261560</v>
      </c>
    </row>
    <row r="832" spans="1:36">
      <c r="A832" s="1" t="s">
        <v>866</v>
      </c>
      <c r="B832" t="s">
        <v>1730</v>
      </c>
      <c r="C832" t="str">
        <f>HYPERLINK("https://finance.naver.com/item/coinfo.nhn?code=306040", "A306040")</f>
        <v>A306040</v>
      </c>
      <c r="D832" t="str">
        <f>HYPERLINK("http://comp.fnguide.com/SVO2/ASP/SVD_Consensus.asp?pGB=1&amp;gicode=A306040&amp;cID=&amp;MenuYn=Y&amp;ReportGB=&amp;NewMenuID=108&amp;stkGb=701", "에스제이그룹")</f>
        <v>에스제이그룹</v>
      </c>
      <c r="E832">
        <v>1</v>
      </c>
      <c r="F832">
        <v>15850</v>
      </c>
      <c r="G832">
        <v>0.06</v>
      </c>
      <c r="H832">
        <v>11.28</v>
      </c>
      <c r="I832">
        <v>27497</v>
      </c>
      <c r="J832">
        <v>15219</v>
      </c>
      <c r="K832">
        <v>11730</v>
      </c>
      <c r="L832">
        <v>-73.48</v>
      </c>
      <c r="M832">
        <v>3.98</v>
      </c>
      <c r="N832">
        <v>25.99</v>
      </c>
      <c r="O832">
        <v>30.79</v>
      </c>
      <c r="P832" t="b">
        <v>1</v>
      </c>
      <c r="Q832">
        <v>0</v>
      </c>
      <c r="R832">
        <v>1785</v>
      </c>
      <c r="S832">
        <v>1594</v>
      </c>
      <c r="T832">
        <v>-10.7</v>
      </c>
      <c r="U832" t="s">
        <v>2594</v>
      </c>
      <c r="V832" t="s">
        <v>3458</v>
      </c>
      <c r="W832">
        <v>182.1016182239818</v>
      </c>
      <c r="X832">
        <v>-14.7</v>
      </c>
      <c r="Y832" t="s">
        <v>4251</v>
      </c>
      <c r="Z832">
        <v>0</v>
      </c>
      <c r="AA832">
        <v>1564</v>
      </c>
      <c r="AB832">
        <v>62262</v>
      </c>
      <c r="AC832" t="s">
        <v>5113</v>
      </c>
      <c r="AD832">
        <v>51.79</v>
      </c>
      <c r="AE832" t="s">
        <v>5977</v>
      </c>
      <c r="AF832" t="s">
        <v>6783</v>
      </c>
      <c r="AG832">
        <v>1095</v>
      </c>
      <c r="AH832">
        <v>164</v>
      </c>
      <c r="AI832">
        <v>78094</v>
      </c>
      <c r="AJ832">
        <v>0.66</v>
      </c>
    </row>
    <row r="833" spans="1:36">
      <c r="A833" s="1" t="s">
        <v>867</v>
      </c>
      <c r="B833" t="s">
        <v>1731</v>
      </c>
      <c r="C833" t="str">
        <f>HYPERLINK("https://finance.naver.com/item/coinfo.nhn?code=089600", "A089600")</f>
        <v>A089600</v>
      </c>
      <c r="D833" t="str">
        <f>HYPERLINK("http://comp.fnguide.com/SVO2/ASP/SVD_Consensus.asp?pGB=1&amp;gicode=A089600&amp;cID=&amp;MenuYn=Y&amp;ReportGB=&amp;NewMenuID=108&amp;stkGb=701", "나스미디어")</f>
        <v>나스미디어</v>
      </c>
      <c r="E833">
        <v>1</v>
      </c>
      <c r="F833">
        <v>33300</v>
      </c>
      <c r="G833">
        <v>-2.46</v>
      </c>
      <c r="H833">
        <v>14.16</v>
      </c>
      <c r="I833">
        <v>34176</v>
      </c>
      <c r="J833">
        <v>23627</v>
      </c>
      <c r="K833">
        <v>20629</v>
      </c>
      <c r="L833">
        <v>-2.63</v>
      </c>
      <c r="M833">
        <v>29.05</v>
      </c>
      <c r="N833">
        <v>38.049999999999997</v>
      </c>
      <c r="O833">
        <v>16.3</v>
      </c>
      <c r="P833" t="b">
        <v>0</v>
      </c>
      <c r="Q833">
        <v>0</v>
      </c>
      <c r="R833">
        <v>2355</v>
      </c>
      <c r="S833">
        <v>2349</v>
      </c>
      <c r="T833">
        <v>-0.3</v>
      </c>
      <c r="U833" t="s">
        <v>2595</v>
      </c>
      <c r="V833" t="s">
        <v>3459</v>
      </c>
      <c r="W833">
        <v>-5.7667592365378217</v>
      </c>
      <c r="X833">
        <v>6.9</v>
      </c>
      <c r="Y833" t="s">
        <v>4252</v>
      </c>
      <c r="Z833">
        <v>15.914738876046711</v>
      </c>
      <c r="AA833">
        <v>2915</v>
      </c>
      <c r="AB833">
        <v>58002</v>
      </c>
      <c r="AC833" t="s">
        <v>5114</v>
      </c>
      <c r="AD833">
        <v>59.59</v>
      </c>
      <c r="AE833" t="s">
        <v>5978</v>
      </c>
      <c r="AF833" t="s">
        <v>6784</v>
      </c>
      <c r="AG833">
        <v>1170</v>
      </c>
      <c r="AH833">
        <v>306</v>
      </c>
      <c r="AI833">
        <v>252500</v>
      </c>
      <c r="AJ833">
        <v>1.98</v>
      </c>
    </row>
    <row r="834" spans="1:36">
      <c r="A834" s="1" t="s">
        <v>868</v>
      </c>
      <c r="B834" t="s">
        <v>1732</v>
      </c>
      <c r="C834" t="str">
        <f>HYPERLINK("https://finance.naver.com/item/coinfo.nhn?code=307930", "A307930")</f>
        <v>A307930</v>
      </c>
      <c r="D834" t="str">
        <f>HYPERLINK("http://comp.fnguide.com/SVO2/ASP/SVD_Consensus.asp?pGB=1&amp;gicode=A307930&amp;cID=&amp;MenuYn=Y&amp;ReportGB=&amp;NewMenuID=108&amp;stkGb=701", "컴퍼니케이")</f>
        <v>컴퍼니케이</v>
      </c>
      <c r="E834">
        <v>1</v>
      </c>
      <c r="F834">
        <v>6620</v>
      </c>
      <c r="G834">
        <v>0</v>
      </c>
      <c r="H834">
        <v>12.85</v>
      </c>
      <c r="I834">
        <v>8241</v>
      </c>
      <c r="J834">
        <v>5256</v>
      </c>
      <c r="K834">
        <v>4408</v>
      </c>
      <c r="L834">
        <v>-24.49</v>
      </c>
      <c r="M834">
        <v>20.6</v>
      </c>
      <c r="N834">
        <v>33.42</v>
      </c>
      <c r="O834">
        <v>19.95</v>
      </c>
      <c r="P834" t="b">
        <v>1</v>
      </c>
      <c r="Q834">
        <v>0</v>
      </c>
      <c r="R834">
        <v>605</v>
      </c>
      <c r="U834" t="s">
        <v>2596</v>
      </c>
      <c r="V834" t="s">
        <v>3460</v>
      </c>
      <c r="W834">
        <v>0</v>
      </c>
      <c r="Y834" t="s">
        <v>3605</v>
      </c>
      <c r="Z834">
        <v>-8.3430421202257072</v>
      </c>
      <c r="AA834">
        <v>1033</v>
      </c>
      <c r="AB834">
        <v>66788</v>
      </c>
      <c r="AC834" t="s">
        <v>5115</v>
      </c>
      <c r="AD834">
        <v>73.61</v>
      </c>
      <c r="AE834" t="s">
        <v>5979</v>
      </c>
      <c r="AF834" t="s">
        <v>6785</v>
      </c>
      <c r="AG834">
        <v>169</v>
      </c>
      <c r="AH834">
        <v>108</v>
      </c>
      <c r="AJ834">
        <v>2.06</v>
      </c>
    </row>
    <row r="835" spans="1:36">
      <c r="A835" s="1" t="s">
        <v>869</v>
      </c>
      <c r="B835" t="s">
        <v>1733</v>
      </c>
      <c r="C835" t="str">
        <f>HYPERLINK("https://finance.naver.com/item/coinfo.nhn?code=036670", "A036670")</f>
        <v>A036670</v>
      </c>
      <c r="D835" t="str">
        <f>HYPERLINK("http://comp.fnguide.com/SVO2/ASP/SVD_Consensus.asp?pGB=1&amp;gicode=A036670&amp;cID=&amp;MenuYn=Y&amp;ReportGB=&amp;NewMenuID=108&amp;stkGb=701", "KCI")</f>
        <v>KCI</v>
      </c>
      <c r="E835">
        <v>1</v>
      </c>
      <c r="F835">
        <v>9890</v>
      </c>
      <c r="G835">
        <v>0</v>
      </c>
      <c r="H835">
        <v>10.71</v>
      </c>
      <c r="I835">
        <v>12602</v>
      </c>
      <c r="J835">
        <v>8660</v>
      </c>
      <c r="K835">
        <v>7540</v>
      </c>
      <c r="L835">
        <v>-27.42</v>
      </c>
      <c r="M835">
        <v>12.44</v>
      </c>
      <c r="N835">
        <v>23.77</v>
      </c>
      <c r="O835">
        <v>16.54</v>
      </c>
      <c r="P835" t="b">
        <v>1</v>
      </c>
      <c r="Q835">
        <v>0</v>
      </c>
      <c r="R835">
        <v>1013</v>
      </c>
      <c r="U835" t="s">
        <v>2597</v>
      </c>
      <c r="V835" t="s">
        <v>3461</v>
      </c>
      <c r="W835">
        <v>0</v>
      </c>
      <c r="X835">
        <v>8.8000000000000007</v>
      </c>
      <c r="Y835" t="s">
        <v>4253</v>
      </c>
      <c r="Z835">
        <v>17.886120507146511</v>
      </c>
      <c r="AA835">
        <v>1115</v>
      </c>
      <c r="AB835">
        <v>61537</v>
      </c>
      <c r="AC835" t="s">
        <v>5116</v>
      </c>
      <c r="AD835">
        <v>50.02</v>
      </c>
      <c r="AE835" t="s">
        <v>5980</v>
      </c>
      <c r="AF835" t="s">
        <v>6786</v>
      </c>
      <c r="AG835">
        <v>696</v>
      </c>
      <c r="AH835">
        <v>145</v>
      </c>
      <c r="AI835">
        <v>509800</v>
      </c>
      <c r="AJ835">
        <v>1.84</v>
      </c>
    </row>
    <row r="836" spans="1:36">
      <c r="A836" s="1" t="s">
        <v>870</v>
      </c>
      <c r="B836" t="s">
        <v>1734</v>
      </c>
      <c r="C836" t="str">
        <f>HYPERLINK("https://finance.naver.com/item/coinfo.nhn?code=041830", "A041830")</f>
        <v>A041830</v>
      </c>
      <c r="D836" t="str">
        <f>HYPERLINK("http://comp.fnguide.com/SVO2/ASP/SVD_Consensus.asp?pGB=1&amp;gicode=A041830&amp;cID=&amp;MenuYn=Y&amp;ReportGB=&amp;NewMenuID=108&amp;stkGb=701", "인바디")</f>
        <v>인바디</v>
      </c>
      <c r="E836">
        <v>1</v>
      </c>
      <c r="F836">
        <v>17100</v>
      </c>
      <c r="G836">
        <v>-1.95</v>
      </c>
      <c r="H836">
        <v>15.84</v>
      </c>
      <c r="I836">
        <v>22495</v>
      </c>
      <c r="J836">
        <v>15413</v>
      </c>
      <c r="K836">
        <v>13400</v>
      </c>
      <c r="L836">
        <v>-31.55</v>
      </c>
      <c r="M836">
        <v>9.8699999999999992</v>
      </c>
      <c r="N836">
        <v>21.64</v>
      </c>
      <c r="O836">
        <v>16.66</v>
      </c>
      <c r="P836" t="b">
        <v>1</v>
      </c>
      <c r="Q836">
        <v>0</v>
      </c>
      <c r="R836">
        <v>1493</v>
      </c>
      <c r="S836">
        <v>1096</v>
      </c>
      <c r="T836">
        <v>-26.6</v>
      </c>
      <c r="U836" t="s">
        <v>2598</v>
      </c>
      <c r="V836" t="s">
        <v>3462</v>
      </c>
      <c r="W836">
        <v>-8.1215350874060395</v>
      </c>
      <c r="X836">
        <v>-34.6</v>
      </c>
      <c r="Y836" t="s">
        <v>4254</v>
      </c>
      <c r="Z836">
        <v>-5.0378653238028148</v>
      </c>
      <c r="AA836">
        <v>2340</v>
      </c>
      <c r="AB836">
        <v>42126</v>
      </c>
      <c r="AC836" t="s">
        <v>5117</v>
      </c>
      <c r="AD836">
        <v>28.94</v>
      </c>
      <c r="AE836" t="s">
        <v>5981</v>
      </c>
      <c r="AF836" t="s">
        <v>6787</v>
      </c>
      <c r="AG836">
        <v>1171</v>
      </c>
      <c r="AH836">
        <v>276</v>
      </c>
      <c r="AI836">
        <v>656935</v>
      </c>
      <c r="AJ836">
        <v>0.59</v>
      </c>
    </row>
    <row r="837" spans="1:36">
      <c r="A837" s="1" t="s">
        <v>871</v>
      </c>
      <c r="B837" t="s">
        <v>1735</v>
      </c>
      <c r="C837" t="str">
        <f>HYPERLINK("https://finance.naver.com/item/coinfo.nhn?code=035600", "A035600")</f>
        <v>A035600</v>
      </c>
      <c r="D837" t="str">
        <f>HYPERLINK("http://comp.fnguide.com/SVO2/ASP/SVD_Consensus.asp?pGB=1&amp;gicode=A035600&amp;cID=&amp;MenuYn=Y&amp;ReportGB=&amp;NewMenuID=108&amp;stkGb=701", "KG이니시스")</f>
        <v>KG이니시스</v>
      </c>
      <c r="E837">
        <v>1</v>
      </c>
      <c r="F837">
        <v>19600</v>
      </c>
      <c r="G837">
        <v>0</v>
      </c>
      <c r="H837">
        <v>9.49</v>
      </c>
      <c r="I837">
        <v>19677</v>
      </c>
      <c r="J837">
        <v>13475</v>
      </c>
      <c r="K837">
        <v>11713</v>
      </c>
      <c r="L837">
        <v>-0.39</v>
      </c>
      <c r="M837">
        <v>31.25</v>
      </c>
      <c r="N837">
        <v>40.24</v>
      </c>
      <c r="O837">
        <v>16.68</v>
      </c>
      <c r="P837" t="b">
        <v>1</v>
      </c>
      <c r="Q837">
        <v>0</v>
      </c>
      <c r="R837">
        <v>1792</v>
      </c>
      <c r="U837" t="s">
        <v>2599</v>
      </c>
      <c r="V837" t="s">
        <v>3463</v>
      </c>
      <c r="W837">
        <v>0</v>
      </c>
      <c r="X837">
        <v>-20.2</v>
      </c>
      <c r="Y837" t="s">
        <v>4255</v>
      </c>
      <c r="Z837">
        <v>6.3749970622796406</v>
      </c>
      <c r="AA837">
        <v>5469</v>
      </c>
      <c r="AB837">
        <v>258310</v>
      </c>
      <c r="AC837" t="s">
        <v>5118</v>
      </c>
      <c r="AD837">
        <v>41.03</v>
      </c>
      <c r="AE837" t="s">
        <v>5982</v>
      </c>
      <c r="AF837" t="s">
        <v>6788</v>
      </c>
      <c r="AG837">
        <v>9561</v>
      </c>
      <c r="AH837">
        <v>861</v>
      </c>
      <c r="AI837">
        <v>1285946</v>
      </c>
      <c r="AJ837">
        <v>1.94</v>
      </c>
    </row>
    <row r="838" spans="1:36">
      <c r="A838" s="1" t="s">
        <v>872</v>
      </c>
      <c r="B838" t="s">
        <v>1736</v>
      </c>
      <c r="C838" t="str">
        <f>HYPERLINK("https://finance.naver.com/item/coinfo.nhn?code=010130", "A010130")</f>
        <v>A010130</v>
      </c>
      <c r="D838" t="str">
        <f>HYPERLINK("http://comp.fnguide.com/SVO2/ASP/SVD_Consensus.asp?pGB=1&amp;gicode=A010130&amp;cID=&amp;MenuYn=Y&amp;ReportGB=&amp;NewMenuID=108&amp;stkGb=701", "고려아연")</f>
        <v>고려아연</v>
      </c>
      <c r="E838">
        <v>1</v>
      </c>
      <c r="F838">
        <v>413000</v>
      </c>
      <c r="G838">
        <v>-14.17</v>
      </c>
      <c r="H838">
        <v>12.67</v>
      </c>
      <c r="I838">
        <v>458752</v>
      </c>
      <c r="J838">
        <v>411342</v>
      </c>
      <c r="K838">
        <v>397868</v>
      </c>
      <c r="L838">
        <v>-11.08</v>
      </c>
      <c r="M838">
        <v>0.4</v>
      </c>
      <c r="N838">
        <v>3.66</v>
      </c>
      <c r="O838">
        <v>9.59</v>
      </c>
      <c r="P838" t="b">
        <v>1</v>
      </c>
      <c r="Q838">
        <v>0</v>
      </c>
      <c r="R838">
        <v>33541</v>
      </c>
      <c r="S838">
        <v>32471</v>
      </c>
      <c r="T838">
        <v>-3.2</v>
      </c>
      <c r="U838" t="s">
        <v>2600</v>
      </c>
      <c r="V838" t="s">
        <v>3464</v>
      </c>
      <c r="W838">
        <v>-0.89394082277614029</v>
      </c>
      <c r="X838">
        <v>-14.7</v>
      </c>
      <c r="Y838" t="s">
        <v>4256</v>
      </c>
      <c r="Z838">
        <v>1.161603683807644</v>
      </c>
      <c r="AA838">
        <v>77933</v>
      </c>
      <c r="AB838">
        <v>147733</v>
      </c>
      <c r="AC838" t="s">
        <v>5119</v>
      </c>
      <c r="AD838">
        <v>48.37</v>
      </c>
      <c r="AE838" t="s">
        <v>5983</v>
      </c>
      <c r="AF838" t="s">
        <v>6789</v>
      </c>
      <c r="AG838">
        <v>66948</v>
      </c>
      <c r="AH838">
        <v>8053</v>
      </c>
      <c r="AI838">
        <v>1195760</v>
      </c>
      <c r="AJ838">
        <v>3.29</v>
      </c>
    </row>
    <row r="839" spans="1:36">
      <c r="A839" s="1" t="s">
        <v>873</v>
      </c>
      <c r="B839" t="s">
        <v>1737</v>
      </c>
      <c r="C839" t="str">
        <f>HYPERLINK("https://finance.naver.com/item/coinfo.nhn?code=036890", "A036890")</f>
        <v>A036890</v>
      </c>
      <c r="D839" t="str">
        <f>HYPERLINK("http://comp.fnguide.com/SVO2/ASP/SVD_Consensus.asp?pGB=1&amp;gicode=A036890&amp;cID=&amp;MenuYn=Y&amp;ReportGB=&amp;NewMenuID=108&amp;stkGb=701", "진성티이씨")</f>
        <v>진성티이씨</v>
      </c>
      <c r="E839">
        <v>1</v>
      </c>
      <c r="F839">
        <v>12300</v>
      </c>
      <c r="G839">
        <v>0.45</v>
      </c>
      <c r="H839">
        <v>7.09</v>
      </c>
      <c r="I839">
        <v>14605</v>
      </c>
      <c r="J839">
        <v>10028</v>
      </c>
      <c r="K839">
        <v>8727</v>
      </c>
      <c r="L839">
        <v>-18.739999999999998</v>
      </c>
      <c r="M839">
        <v>18.47</v>
      </c>
      <c r="N839">
        <v>29.05</v>
      </c>
      <c r="O839">
        <v>16.57</v>
      </c>
      <c r="P839" t="b">
        <v>1</v>
      </c>
      <c r="Q839">
        <v>0</v>
      </c>
      <c r="R839">
        <v>979</v>
      </c>
      <c r="S839">
        <v>689</v>
      </c>
      <c r="T839">
        <v>-29.6</v>
      </c>
      <c r="U839" t="s">
        <v>2601</v>
      </c>
      <c r="V839" t="s">
        <v>3465</v>
      </c>
      <c r="W839">
        <v>15.637488988452519</v>
      </c>
      <c r="X839">
        <v>-43.2</v>
      </c>
      <c r="Y839" t="s">
        <v>4257</v>
      </c>
      <c r="Z839">
        <v>-1.6210448212871651</v>
      </c>
      <c r="AA839">
        <v>2765</v>
      </c>
      <c r="AB839">
        <v>6057663</v>
      </c>
      <c r="AC839" t="s">
        <v>5120</v>
      </c>
      <c r="AD839">
        <v>36.15</v>
      </c>
      <c r="AE839" t="s">
        <v>5984</v>
      </c>
      <c r="AF839" t="s">
        <v>6790</v>
      </c>
      <c r="AG839">
        <v>3556</v>
      </c>
      <c r="AH839">
        <v>299</v>
      </c>
      <c r="AI839">
        <v>2517977</v>
      </c>
      <c r="AJ839">
        <v>2.88</v>
      </c>
    </row>
    <row r="840" spans="1:36">
      <c r="A840" s="1" t="s">
        <v>874</v>
      </c>
      <c r="B840" t="s">
        <v>1738</v>
      </c>
      <c r="C840" t="str">
        <f>HYPERLINK("https://finance.naver.com/item/coinfo.nhn?code=122310", "A122310")</f>
        <v>A122310</v>
      </c>
      <c r="D840" t="str">
        <f>HYPERLINK("http://comp.fnguide.com/SVO2/ASP/SVD_Consensus.asp?pGB=1&amp;gicode=A122310&amp;cID=&amp;MenuYn=Y&amp;ReportGB=&amp;NewMenuID=108&amp;stkGb=701", "제노레이")</f>
        <v>제노레이</v>
      </c>
      <c r="E840">
        <v>1</v>
      </c>
      <c r="F840">
        <v>9700</v>
      </c>
      <c r="G840">
        <v>0</v>
      </c>
      <c r="H840">
        <v>7.88</v>
      </c>
      <c r="I840">
        <v>13753</v>
      </c>
      <c r="J840">
        <v>7987</v>
      </c>
      <c r="K840">
        <v>6348</v>
      </c>
      <c r="L840">
        <v>-41.79</v>
      </c>
      <c r="M840">
        <v>17.66</v>
      </c>
      <c r="N840">
        <v>34.549999999999997</v>
      </c>
      <c r="O840">
        <v>26.19</v>
      </c>
      <c r="P840" t="b">
        <v>1</v>
      </c>
      <c r="Q840">
        <v>0</v>
      </c>
      <c r="R840">
        <v>950</v>
      </c>
      <c r="U840" t="s">
        <v>2602</v>
      </c>
      <c r="V840" t="s">
        <v>3466</v>
      </c>
      <c r="W840">
        <v>0</v>
      </c>
      <c r="X840">
        <v>-8.3000000000000007</v>
      </c>
      <c r="Y840" t="s">
        <v>4258</v>
      </c>
      <c r="Z840">
        <v>33.0186583552752</v>
      </c>
      <c r="AA840">
        <v>1412</v>
      </c>
      <c r="AB840">
        <v>73328</v>
      </c>
      <c r="AC840" t="s">
        <v>5121</v>
      </c>
      <c r="AD840">
        <v>28.5</v>
      </c>
      <c r="AE840" t="s">
        <v>5985</v>
      </c>
      <c r="AF840" t="s">
        <v>6791</v>
      </c>
      <c r="AG840">
        <v>651</v>
      </c>
      <c r="AH840">
        <v>147</v>
      </c>
      <c r="AI840">
        <v>260000</v>
      </c>
      <c r="AJ840">
        <v>1.8</v>
      </c>
    </row>
    <row r="841" spans="1:36">
      <c r="A841" s="1" t="s">
        <v>875</v>
      </c>
      <c r="B841" t="s">
        <v>1739</v>
      </c>
      <c r="C841" t="str">
        <f>HYPERLINK("https://finance.naver.com/item/coinfo.nhn?code=079370", "A079370")</f>
        <v>A079370</v>
      </c>
      <c r="D841" t="str">
        <f>HYPERLINK("http://comp.fnguide.com/SVO2/ASP/SVD_Consensus.asp?pGB=1&amp;gicode=A079370&amp;cID=&amp;MenuYn=Y&amp;ReportGB=&amp;NewMenuID=108&amp;stkGb=701", "제우스")</f>
        <v>제우스</v>
      </c>
      <c r="E841">
        <v>1</v>
      </c>
      <c r="F841">
        <v>25900</v>
      </c>
      <c r="G841">
        <v>0</v>
      </c>
      <c r="H841">
        <v>10.130000000000001</v>
      </c>
      <c r="I841">
        <v>28532</v>
      </c>
      <c r="J841">
        <v>24685</v>
      </c>
      <c r="K841">
        <v>23591</v>
      </c>
      <c r="L841">
        <v>-10.16</v>
      </c>
      <c r="M841">
        <v>4.6900000000000004</v>
      </c>
      <c r="N841">
        <v>8.91</v>
      </c>
      <c r="O841">
        <v>10.23</v>
      </c>
      <c r="P841" t="b">
        <v>1</v>
      </c>
      <c r="Q841">
        <v>0</v>
      </c>
      <c r="R841">
        <v>1343</v>
      </c>
      <c r="U841" t="s">
        <v>2603</v>
      </c>
      <c r="V841" t="s">
        <v>3467</v>
      </c>
      <c r="W841">
        <v>0</v>
      </c>
      <c r="X841">
        <v>-4.2</v>
      </c>
      <c r="Y841" t="s">
        <v>4259</v>
      </c>
      <c r="Z841">
        <v>-7.9174173358915638</v>
      </c>
      <c r="AA841">
        <v>2689</v>
      </c>
      <c r="AB841">
        <v>211287</v>
      </c>
      <c r="AC841" t="s">
        <v>5122</v>
      </c>
      <c r="AD841">
        <v>39.56</v>
      </c>
      <c r="AE841" t="s">
        <v>5986</v>
      </c>
      <c r="AF841" t="s">
        <v>6792</v>
      </c>
      <c r="AG841">
        <v>3235</v>
      </c>
      <c r="AH841">
        <v>182</v>
      </c>
      <c r="AI841">
        <v>270028</v>
      </c>
      <c r="AJ841">
        <v>1.47</v>
      </c>
    </row>
    <row r="842" spans="1:36">
      <c r="A842" s="1" t="s">
        <v>876</v>
      </c>
      <c r="B842" t="s">
        <v>1740</v>
      </c>
      <c r="C842" t="str">
        <f>HYPERLINK("https://finance.naver.com/item/coinfo.nhn?code=097800", "A097800")</f>
        <v>A097800</v>
      </c>
      <c r="D842" t="str">
        <f>HYPERLINK("http://comp.fnguide.com/SVO2/ASP/SVD_Consensus.asp?pGB=1&amp;gicode=A097800&amp;cID=&amp;MenuYn=Y&amp;ReportGB=&amp;NewMenuID=108&amp;stkGb=701", "윈팩")</f>
        <v>윈팩</v>
      </c>
      <c r="E842">
        <v>1</v>
      </c>
      <c r="F842">
        <v>1770</v>
      </c>
      <c r="G842">
        <v>0</v>
      </c>
      <c r="H842">
        <v>7.97</v>
      </c>
      <c r="I842">
        <v>1922</v>
      </c>
      <c r="J842">
        <v>1504</v>
      </c>
      <c r="K842">
        <v>1385</v>
      </c>
      <c r="L842">
        <v>-8.57</v>
      </c>
      <c r="M842">
        <v>15.03</v>
      </c>
      <c r="N842">
        <v>21.74</v>
      </c>
      <c r="O842">
        <v>12.43</v>
      </c>
      <c r="P842" t="b">
        <v>1</v>
      </c>
      <c r="Q842">
        <v>0</v>
      </c>
      <c r="R842">
        <v>253</v>
      </c>
      <c r="U842" t="s">
        <v>2604</v>
      </c>
      <c r="V842" t="s">
        <v>3468</v>
      </c>
      <c r="W842">
        <v>0</v>
      </c>
      <c r="X842">
        <v>7.8</v>
      </c>
      <c r="Y842" t="s">
        <v>4260</v>
      </c>
      <c r="Z842">
        <v>158.31802105157121</v>
      </c>
      <c r="AA842">
        <v>678</v>
      </c>
      <c r="AB842">
        <v>459915</v>
      </c>
      <c r="AC842" t="s">
        <v>5123</v>
      </c>
      <c r="AD842">
        <v>19.21</v>
      </c>
      <c r="AE842" t="s">
        <v>5987</v>
      </c>
      <c r="AF842" t="s">
        <v>6793</v>
      </c>
      <c r="AG842">
        <v>979</v>
      </c>
      <c r="AH842">
        <v>78</v>
      </c>
    </row>
    <row r="843" spans="1:36">
      <c r="A843" s="1" t="s">
        <v>877</v>
      </c>
      <c r="B843" t="s">
        <v>1741</v>
      </c>
      <c r="C843" t="str">
        <f>HYPERLINK("https://finance.naver.com/item/coinfo.nhn?code=044340", "A044340")</f>
        <v>A044340</v>
      </c>
      <c r="D843" t="str">
        <f>HYPERLINK("http://comp.fnguide.com/SVO2/ASP/SVD_Consensus.asp?pGB=1&amp;gicode=A044340&amp;cID=&amp;MenuYn=Y&amp;ReportGB=&amp;NewMenuID=108&amp;stkGb=701", "위닉스")</f>
        <v>위닉스</v>
      </c>
      <c r="E843">
        <v>1</v>
      </c>
      <c r="F843">
        <v>23000</v>
      </c>
      <c r="G843">
        <v>0</v>
      </c>
      <c r="H843">
        <v>11.5</v>
      </c>
      <c r="I843">
        <v>27018</v>
      </c>
      <c r="J843">
        <v>16438</v>
      </c>
      <c r="K843">
        <v>13431</v>
      </c>
      <c r="L843">
        <v>-17.47</v>
      </c>
      <c r="M843">
        <v>28.53</v>
      </c>
      <c r="N843">
        <v>41.6</v>
      </c>
      <c r="O843">
        <v>22.74</v>
      </c>
      <c r="P843" t="b">
        <v>1</v>
      </c>
      <c r="Q843">
        <v>0</v>
      </c>
      <c r="R843">
        <v>2266</v>
      </c>
      <c r="U843" t="s">
        <v>2605</v>
      </c>
      <c r="V843" t="s">
        <v>3469</v>
      </c>
      <c r="W843">
        <v>0</v>
      </c>
      <c r="X843">
        <v>-3</v>
      </c>
      <c r="Y843" t="s">
        <v>4261</v>
      </c>
      <c r="Z843">
        <v>47.000449194178607</v>
      </c>
      <c r="AA843">
        <v>4111</v>
      </c>
      <c r="AB843">
        <v>787102</v>
      </c>
      <c r="AC843" t="s">
        <v>5124</v>
      </c>
      <c r="AD843">
        <v>47.92</v>
      </c>
      <c r="AE843" t="s">
        <v>5988</v>
      </c>
      <c r="AF843" t="s">
        <v>6794</v>
      </c>
      <c r="AG843">
        <v>3862</v>
      </c>
      <c r="AH843">
        <v>514</v>
      </c>
      <c r="AI843">
        <v>1686646</v>
      </c>
      <c r="AJ843">
        <v>1.92</v>
      </c>
    </row>
    <row r="844" spans="1:36">
      <c r="A844" s="1" t="s">
        <v>878</v>
      </c>
      <c r="B844" t="s">
        <v>1742</v>
      </c>
      <c r="C844" t="str">
        <f>HYPERLINK("https://finance.naver.com/item/coinfo.nhn?code=009190", "A009190")</f>
        <v>A009190</v>
      </c>
      <c r="D844" t="str">
        <f>HYPERLINK("http://comp.fnguide.com/SVO2/ASP/SVD_Consensus.asp?pGB=1&amp;gicode=A009190&amp;cID=&amp;MenuYn=Y&amp;ReportGB=&amp;NewMenuID=108&amp;stkGb=701", "대양금속")</f>
        <v>대양금속</v>
      </c>
      <c r="E844">
        <v>1</v>
      </c>
      <c r="F844">
        <v>3770</v>
      </c>
      <c r="G844">
        <v>0</v>
      </c>
      <c r="H844">
        <v>113.98</v>
      </c>
      <c r="I844">
        <v>5032</v>
      </c>
      <c r="J844">
        <v>3362</v>
      </c>
      <c r="K844">
        <v>2887</v>
      </c>
      <c r="L844">
        <v>-33.47</v>
      </c>
      <c r="M844">
        <v>10.83</v>
      </c>
      <c r="N844">
        <v>23.41</v>
      </c>
      <c r="O844">
        <v>17.71</v>
      </c>
      <c r="P844" t="b">
        <v>0</v>
      </c>
      <c r="Q844">
        <v>0</v>
      </c>
      <c r="R844">
        <v>132</v>
      </c>
      <c r="U844" t="s">
        <v>2606</v>
      </c>
      <c r="V844" t="s">
        <v>3470</v>
      </c>
      <c r="W844">
        <v>0</v>
      </c>
      <c r="X844">
        <v>-71.7</v>
      </c>
      <c r="Y844" t="s">
        <v>4262</v>
      </c>
      <c r="Z844">
        <v>-32.15243606085663</v>
      </c>
      <c r="AA844">
        <v>1115</v>
      </c>
      <c r="AB844">
        <v>501515</v>
      </c>
      <c r="AC844" t="s">
        <v>5125</v>
      </c>
      <c r="AD844">
        <v>24.78</v>
      </c>
      <c r="AE844" t="s">
        <v>5989</v>
      </c>
      <c r="AF844" t="s">
        <v>6795</v>
      </c>
      <c r="AG844">
        <v>1516</v>
      </c>
      <c r="AH844">
        <v>32</v>
      </c>
      <c r="AI844">
        <v>4663</v>
      </c>
    </row>
    <row r="845" spans="1:36">
      <c r="A845" s="1" t="s">
        <v>879</v>
      </c>
      <c r="B845" t="s">
        <v>1743</v>
      </c>
      <c r="C845" t="str">
        <f>HYPERLINK("https://finance.naver.com/item/coinfo.nhn?code=104830", "A104830")</f>
        <v>A104830</v>
      </c>
      <c r="D845" t="str">
        <f>HYPERLINK("http://comp.fnguide.com/SVO2/ASP/SVD_Consensus.asp?pGB=1&amp;gicode=A104830&amp;cID=&amp;MenuYn=Y&amp;ReportGB=&amp;NewMenuID=108&amp;stkGb=701", "원익머트리얼즈")</f>
        <v>원익머트리얼즈</v>
      </c>
      <c r="E845">
        <v>1</v>
      </c>
      <c r="F845">
        <v>34600</v>
      </c>
      <c r="G845">
        <v>1.0900000000000001</v>
      </c>
      <c r="H845">
        <v>13.61</v>
      </c>
      <c r="I845">
        <v>35964</v>
      </c>
      <c r="J845">
        <v>29000</v>
      </c>
      <c r="K845">
        <v>27021</v>
      </c>
      <c r="L845">
        <v>-3.94</v>
      </c>
      <c r="M845">
        <v>16.18</v>
      </c>
      <c r="N845">
        <v>21.91</v>
      </c>
      <c r="O845">
        <v>11.71</v>
      </c>
      <c r="P845" t="b">
        <v>1</v>
      </c>
      <c r="Q845">
        <v>1</v>
      </c>
      <c r="R845">
        <v>2229</v>
      </c>
      <c r="S845">
        <v>2316</v>
      </c>
      <c r="T845">
        <v>3.9</v>
      </c>
      <c r="U845" t="s">
        <v>2607</v>
      </c>
      <c r="V845" t="s">
        <v>3471</v>
      </c>
      <c r="W845">
        <v>12.47308920111916</v>
      </c>
      <c r="X845">
        <v>6.9</v>
      </c>
      <c r="Y845" t="s">
        <v>4263</v>
      </c>
      <c r="Z845">
        <v>6.2205962209174848</v>
      </c>
      <c r="AA845">
        <v>4362</v>
      </c>
      <c r="AB845">
        <v>69840</v>
      </c>
      <c r="AC845" t="s">
        <v>5126</v>
      </c>
      <c r="AD845">
        <v>45.69</v>
      </c>
      <c r="AE845" t="s">
        <v>5990</v>
      </c>
      <c r="AF845" t="s">
        <v>6796</v>
      </c>
      <c r="AG845">
        <v>2208</v>
      </c>
      <c r="AH845">
        <v>360</v>
      </c>
      <c r="AJ845">
        <v>0.49</v>
      </c>
    </row>
    <row r="846" spans="1:36">
      <c r="A846" s="1" t="s">
        <v>880</v>
      </c>
      <c r="B846" t="s">
        <v>1744</v>
      </c>
      <c r="C846" t="str">
        <f>HYPERLINK("https://finance.naver.com/item/coinfo.nhn?code=039440", "A039440")</f>
        <v>A039440</v>
      </c>
      <c r="D846" t="str">
        <f>HYPERLINK("http://comp.fnguide.com/SVO2/ASP/SVD_Consensus.asp?pGB=1&amp;gicode=A039440&amp;cID=&amp;MenuYn=Y&amp;ReportGB=&amp;NewMenuID=108&amp;stkGb=701", "에스티아이")</f>
        <v>에스티아이</v>
      </c>
      <c r="E846">
        <v>1</v>
      </c>
      <c r="F846">
        <v>17300</v>
      </c>
      <c r="G846">
        <v>-0.67</v>
      </c>
      <c r="H846">
        <v>14.05</v>
      </c>
      <c r="I846">
        <v>25708</v>
      </c>
      <c r="J846">
        <v>16930</v>
      </c>
      <c r="K846">
        <v>14436</v>
      </c>
      <c r="L846">
        <v>-48.6</v>
      </c>
      <c r="M846">
        <v>2.14</v>
      </c>
      <c r="N846">
        <v>16.55</v>
      </c>
      <c r="O846">
        <v>18.36</v>
      </c>
      <c r="P846" t="b">
        <v>1</v>
      </c>
      <c r="Q846">
        <v>0</v>
      </c>
      <c r="R846">
        <v>1466</v>
      </c>
      <c r="S846">
        <v>951</v>
      </c>
      <c r="T846">
        <v>-35.1</v>
      </c>
      <c r="U846" t="s">
        <v>2608</v>
      </c>
      <c r="V846" t="s">
        <v>3472</v>
      </c>
      <c r="W846">
        <v>-20.879151045467079</v>
      </c>
      <c r="X846">
        <v>-39.9</v>
      </c>
      <c r="Y846" t="s">
        <v>4264</v>
      </c>
      <c r="Z846">
        <v>2.1481928500499459</v>
      </c>
      <c r="AA846">
        <v>2739</v>
      </c>
      <c r="AB846">
        <v>200849</v>
      </c>
      <c r="AC846" t="s">
        <v>5127</v>
      </c>
      <c r="AD846">
        <v>27.06</v>
      </c>
      <c r="AE846" t="s">
        <v>5991</v>
      </c>
      <c r="AF846" t="s">
        <v>6797</v>
      </c>
      <c r="AG846">
        <v>3189</v>
      </c>
      <c r="AH846">
        <v>271</v>
      </c>
      <c r="AI846">
        <v>811400</v>
      </c>
      <c r="AJ846">
        <v>1.21</v>
      </c>
    </row>
    <row r="847" spans="1:36">
      <c r="A847" s="1" t="s">
        <v>881</v>
      </c>
      <c r="B847" t="s">
        <v>1745</v>
      </c>
      <c r="C847" t="str">
        <f>HYPERLINK("https://finance.naver.com/item/coinfo.nhn?code=036930", "A036930")</f>
        <v>A036930</v>
      </c>
      <c r="D847" t="str">
        <f>HYPERLINK("http://comp.fnguide.com/SVO2/ASP/SVD_Consensus.asp?pGB=1&amp;gicode=A036930&amp;cID=&amp;MenuYn=Y&amp;ReportGB=&amp;NewMenuID=108&amp;stkGb=701", "주성엔지니어링")</f>
        <v>주성엔지니어링</v>
      </c>
      <c r="E847">
        <v>1</v>
      </c>
      <c r="F847">
        <v>8020</v>
      </c>
      <c r="G847">
        <v>0</v>
      </c>
      <c r="H847">
        <v>15.17</v>
      </c>
      <c r="I847">
        <v>10977</v>
      </c>
      <c r="J847">
        <v>7400</v>
      </c>
      <c r="K847">
        <v>6384</v>
      </c>
      <c r="L847">
        <v>-36.869999999999997</v>
      </c>
      <c r="M847">
        <v>7.73</v>
      </c>
      <c r="N847">
        <v>20.399999999999999</v>
      </c>
      <c r="O847">
        <v>17.32</v>
      </c>
      <c r="P847" t="b">
        <v>1</v>
      </c>
      <c r="Q847">
        <v>0</v>
      </c>
      <c r="R847">
        <v>534</v>
      </c>
      <c r="S847">
        <v>-456</v>
      </c>
      <c r="T847">
        <v>-185.4</v>
      </c>
      <c r="U847" t="s">
        <v>2609</v>
      </c>
      <c r="V847" t="s">
        <v>3473</v>
      </c>
      <c r="W847">
        <v>0</v>
      </c>
      <c r="X847">
        <v>0</v>
      </c>
      <c r="Y847" t="s">
        <v>4265</v>
      </c>
      <c r="Z847">
        <v>35.244514409528513</v>
      </c>
      <c r="AA847">
        <v>3870</v>
      </c>
      <c r="AB847">
        <v>465925</v>
      </c>
      <c r="AC847" t="s">
        <v>5128</v>
      </c>
      <c r="AD847">
        <v>28.28</v>
      </c>
      <c r="AE847" t="s">
        <v>5992</v>
      </c>
      <c r="AF847" t="s">
        <v>6798</v>
      </c>
      <c r="AG847">
        <v>2591</v>
      </c>
      <c r="AH847">
        <v>309</v>
      </c>
      <c r="AJ847">
        <v>0.86</v>
      </c>
    </row>
    <row r="848" spans="1:36">
      <c r="A848" s="1" t="s">
        <v>882</v>
      </c>
      <c r="B848" t="s">
        <v>1746</v>
      </c>
      <c r="C848" t="str">
        <f>HYPERLINK("https://finance.naver.com/item/coinfo.nhn?code=318010", "A318010")</f>
        <v>A318010</v>
      </c>
      <c r="D848" t="str">
        <f>HYPERLINK("http://comp.fnguide.com/SVO2/ASP/SVD_Consensus.asp?pGB=1&amp;gicode=A318010&amp;cID=&amp;MenuYn=Y&amp;ReportGB=&amp;NewMenuID=108&amp;stkGb=701", "팜스빌")</f>
        <v>팜스빌</v>
      </c>
      <c r="E848">
        <v>1</v>
      </c>
      <c r="F848">
        <v>10950</v>
      </c>
      <c r="G848">
        <v>0</v>
      </c>
      <c r="H848">
        <v>10.71</v>
      </c>
      <c r="I848">
        <v>14078</v>
      </c>
      <c r="J848">
        <v>9856</v>
      </c>
      <c r="K848">
        <v>8656</v>
      </c>
      <c r="L848">
        <v>-28.57</v>
      </c>
      <c r="M848">
        <v>9.99</v>
      </c>
      <c r="N848">
        <v>20.95</v>
      </c>
      <c r="O848">
        <v>15.83</v>
      </c>
      <c r="P848" t="b">
        <v>1</v>
      </c>
      <c r="Q848">
        <v>0</v>
      </c>
      <c r="R848">
        <v>1092</v>
      </c>
      <c r="U848" t="s">
        <v>2610</v>
      </c>
      <c r="V848" t="s">
        <v>3474</v>
      </c>
      <c r="W848">
        <v>0</v>
      </c>
      <c r="X848">
        <v>-46.9</v>
      </c>
      <c r="Y848" t="s">
        <v>4266</v>
      </c>
      <c r="Z848">
        <v>-4.373925992095085</v>
      </c>
      <c r="AA848">
        <v>868</v>
      </c>
      <c r="AB848">
        <v>12335</v>
      </c>
      <c r="AC848" t="s">
        <v>5129</v>
      </c>
      <c r="AD848">
        <v>70.37</v>
      </c>
      <c r="AE848" t="s">
        <v>5993</v>
      </c>
      <c r="AF848" t="s">
        <v>6799</v>
      </c>
      <c r="AG848">
        <v>300</v>
      </c>
      <c r="AH848">
        <v>71</v>
      </c>
      <c r="AI848">
        <v>82908</v>
      </c>
      <c r="AJ848">
        <v>1.71</v>
      </c>
    </row>
    <row r="849" spans="1:36">
      <c r="A849" s="1" t="s">
        <v>883</v>
      </c>
      <c r="B849" t="s">
        <v>1747</v>
      </c>
      <c r="C849" t="str">
        <f>HYPERLINK("https://finance.naver.com/item/coinfo.nhn?code=312610", "A312610")</f>
        <v>A312610</v>
      </c>
      <c r="D849" t="str">
        <f>HYPERLINK("http://comp.fnguide.com/SVO2/ASP/SVD_Consensus.asp?pGB=1&amp;gicode=A312610&amp;cID=&amp;MenuYn=Y&amp;ReportGB=&amp;NewMenuID=108&amp;stkGb=701", "에이에프더블류")</f>
        <v>에이에프더블류</v>
      </c>
      <c r="E849">
        <v>1</v>
      </c>
      <c r="F849">
        <v>14550</v>
      </c>
      <c r="G849">
        <v>0</v>
      </c>
      <c r="H849">
        <v>21.02</v>
      </c>
      <c r="I849">
        <v>20655</v>
      </c>
      <c r="J849">
        <v>12546</v>
      </c>
      <c r="K849">
        <v>10242</v>
      </c>
      <c r="L849">
        <v>-41.96</v>
      </c>
      <c r="M849">
        <v>13.77</v>
      </c>
      <c r="N849">
        <v>29.61</v>
      </c>
      <c r="O849">
        <v>22.85</v>
      </c>
      <c r="P849" t="b">
        <v>1</v>
      </c>
      <c r="Q849">
        <v>0</v>
      </c>
      <c r="R849">
        <v>602</v>
      </c>
      <c r="U849" t="s">
        <v>2611</v>
      </c>
      <c r="V849" t="s">
        <v>3475</v>
      </c>
      <c r="W849">
        <v>0</v>
      </c>
      <c r="X849">
        <v>-74</v>
      </c>
      <c r="Y849" t="s">
        <v>4267</v>
      </c>
      <c r="Z849">
        <v>0</v>
      </c>
      <c r="AA849">
        <v>1474</v>
      </c>
      <c r="AB849">
        <v>97049</v>
      </c>
      <c r="AC849" t="s">
        <v>5130</v>
      </c>
      <c r="AD849">
        <v>52.75</v>
      </c>
      <c r="AE849" t="s">
        <v>5994</v>
      </c>
      <c r="AF849" t="s">
        <v>6800</v>
      </c>
      <c r="AG849">
        <v>260</v>
      </c>
      <c r="AH849">
        <v>72</v>
      </c>
      <c r="AJ849">
        <v>0.79</v>
      </c>
    </row>
    <row r="850" spans="1:36">
      <c r="A850" s="1" t="s">
        <v>884</v>
      </c>
      <c r="B850" t="s">
        <v>1748</v>
      </c>
      <c r="C850" t="str">
        <f>HYPERLINK("https://finance.naver.com/item/coinfo.nhn?code=010780", "A010780")</f>
        <v>A010780</v>
      </c>
      <c r="D850" t="str">
        <f>HYPERLINK("http://comp.fnguide.com/SVO2/ASP/SVD_Consensus.asp?pGB=1&amp;gicode=A010780&amp;cID=&amp;MenuYn=Y&amp;ReportGB=&amp;NewMenuID=108&amp;stkGb=701", "아이에스동서")</f>
        <v>아이에스동서</v>
      </c>
      <c r="E850">
        <v>1</v>
      </c>
      <c r="F850">
        <v>50100</v>
      </c>
      <c r="G850">
        <v>-1.1599999999999999</v>
      </c>
      <c r="H850">
        <v>15.41</v>
      </c>
      <c r="I850">
        <v>63753</v>
      </c>
      <c r="J850">
        <v>47100</v>
      </c>
      <c r="K850">
        <v>42368</v>
      </c>
      <c r="L850">
        <v>-27.25</v>
      </c>
      <c r="M850">
        <v>5.99</v>
      </c>
      <c r="N850">
        <v>15.43</v>
      </c>
      <c r="O850">
        <v>14.03</v>
      </c>
      <c r="P850" t="b">
        <v>1</v>
      </c>
      <c r="Q850">
        <v>1</v>
      </c>
      <c r="R850">
        <v>2138</v>
      </c>
      <c r="S850">
        <v>4136</v>
      </c>
      <c r="T850">
        <v>93.5</v>
      </c>
      <c r="U850" t="s">
        <v>2612</v>
      </c>
      <c r="V850" t="s">
        <v>3476</v>
      </c>
      <c r="W850">
        <v>-13.232118948626519</v>
      </c>
      <c r="X850">
        <v>126.3</v>
      </c>
      <c r="Y850" t="s">
        <v>4268</v>
      </c>
      <c r="Z850">
        <v>5.3230441831680464</v>
      </c>
      <c r="AA850">
        <v>15477</v>
      </c>
      <c r="AB850">
        <v>164437</v>
      </c>
      <c r="AC850" t="s">
        <v>5131</v>
      </c>
      <c r="AD850">
        <v>54.69</v>
      </c>
      <c r="AE850" t="s">
        <v>5995</v>
      </c>
      <c r="AF850" t="s">
        <v>6801</v>
      </c>
      <c r="AG850">
        <v>9641</v>
      </c>
      <c r="AH850">
        <v>662</v>
      </c>
      <c r="AI850">
        <v>447941</v>
      </c>
      <c r="AJ850">
        <v>2.12</v>
      </c>
    </row>
    <row r="851" spans="1:36">
      <c r="A851" s="1" t="s">
        <v>885</v>
      </c>
      <c r="B851" t="s">
        <v>1749</v>
      </c>
      <c r="C851" t="str">
        <f>HYPERLINK("https://finance.naver.com/item/coinfo.nhn?code=019590", "A019590")</f>
        <v>A019590</v>
      </c>
      <c r="D851" t="str">
        <f>HYPERLINK("http://comp.fnguide.com/SVO2/ASP/SVD_Consensus.asp?pGB=1&amp;gicode=A019590&amp;cID=&amp;MenuYn=Y&amp;ReportGB=&amp;NewMenuID=108&amp;stkGb=701", "엠벤처투자")</f>
        <v>엠벤처투자</v>
      </c>
      <c r="E851">
        <v>1</v>
      </c>
      <c r="F851">
        <v>1030</v>
      </c>
      <c r="G851">
        <v>0</v>
      </c>
      <c r="H851">
        <v>10.46</v>
      </c>
      <c r="I851">
        <v>1124</v>
      </c>
      <c r="J851">
        <v>807</v>
      </c>
      <c r="K851">
        <v>717</v>
      </c>
      <c r="L851">
        <v>-9.16</v>
      </c>
      <c r="M851">
        <v>21.65</v>
      </c>
      <c r="N851">
        <v>30.41</v>
      </c>
      <c r="O851">
        <v>14.96</v>
      </c>
      <c r="P851" t="b">
        <v>1</v>
      </c>
      <c r="Q851">
        <v>0</v>
      </c>
      <c r="R851">
        <v>133</v>
      </c>
      <c r="U851" t="s">
        <v>2613</v>
      </c>
      <c r="V851" t="s">
        <v>3477</v>
      </c>
      <c r="W851">
        <v>0</v>
      </c>
      <c r="Y851" t="s">
        <v>3605</v>
      </c>
      <c r="Z851">
        <v>53.827545974565673</v>
      </c>
      <c r="AA851">
        <v>633</v>
      </c>
      <c r="AB851">
        <v>559843</v>
      </c>
      <c r="AC851" t="s">
        <v>5132</v>
      </c>
      <c r="AD851">
        <v>16.940000000000001</v>
      </c>
      <c r="AE851" t="s">
        <v>5996</v>
      </c>
      <c r="AF851" t="s">
        <v>6802</v>
      </c>
      <c r="AG851">
        <v>152</v>
      </c>
      <c r="AH851">
        <v>94</v>
      </c>
      <c r="AI851">
        <v>3012</v>
      </c>
    </row>
    <row r="852" spans="1:36">
      <c r="A852" s="1" t="s">
        <v>886</v>
      </c>
      <c r="B852" t="s">
        <v>1750</v>
      </c>
      <c r="C852" t="str">
        <f>HYPERLINK("https://finance.naver.com/item/coinfo.nhn?code=097520", "A097520")</f>
        <v>A097520</v>
      </c>
      <c r="D852" t="str">
        <f>HYPERLINK("http://comp.fnguide.com/SVO2/ASP/SVD_Consensus.asp?pGB=1&amp;gicode=A097520&amp;cID=&amp;MenuYn=Y&amp;ReportGB=&amp;NewMenuID=108&amp;stkGb=701", "엠씨넥스")</f>
        <v>엠씨넥스</v>
      </c>
      <c r="E852">
        <v>1</v>
      </c>
      <c r="F852">
        <v>39300</v>
      </c>
      <c r="G852">
        <v>0</v>
      </c>
      <c r="H852">
        <v>7.98</v>
      </c>
      <c r="I852">
        <v>52272</v>
      </c>
      <c r="J852">
        <v>28485</v>
      </c>
      <c r="K852">
        <v>21725</v>
      </c>
      <c r="L852">
        <v>-33.01</v>
      </c>
      <c r="M852">
        <v>27.52</v>
      </c>
      <c r="N852">
        <v>44.72</v>
      </c>
      <c r="O852">
        <v>32.590000000000003</v>
      </c>
      <c r="P852" t="b">
        <v>1</v>
      </c>
      <c r="Q852">
        <v>0</v>
      </c>
      <c r="R852">
        <v>4731</v>
      </c>
      <c r="S852">
        <v>3004</v>
      </c>
      <c r="T852">
        <v>-36.5</v>
      </c>
      <c r="U852" t="s">
        <v>2614</v>
      </c>
      <c r="V852" t="s">
        <v>3478</v>
      </c>
      <c r="W852">
        <v>0</v>
      </c>
      <c r="X852">
        <v>-43.1</v>
      </c>
      <c r="Y852" t="s">
        <v>4269</v>
      </c>
      <c r="Z852">
        <v>24.70272651389784</v>
      </c>
      <c r="AA852">
        <v>7020</v>
      </c>
      <c r="AB852">
        <v>833692</v>
      </c>
      <c r="AC852" t="s">
        <v>5133</v>
      </c>
      <c r="AD852">
        <v>27.99</v>
      </c>
      <c r="AE852" t="s">
        <v>5997</v>
      </c>
      <c r="AF852" t="s">
        <v>6803</v>
      </c>
      <c r="AG852">
        <v>12677</v>
      </c>
      <c r="AH852">
        <v>1131</v>
      </c>
      <c r="AI852">
        <v>230000</v>
      </c>
      <c r="AJ852">
        <v>1.32</v>
      </c>
    </row>
    <row r="853" spans="1:36">
      <c r="A853" s="1" t="s">
        <v>887</v>
      </c>
      <c r="B853" t="s">
        <v>1751</v>
      </c>
      <c r="C853" t="str">
        <f>HYPERLINK("https://finance.naver.com/item/coinfo.nhn?code=018250", "A018250")</f>
        <v>A018250</v>
      </c>
      <c r="D853" t="str">
        <f>HYPERLINK("http://comp.fnguide.com/SVO2/ASP/SVD_Consensus.asp?pGB=1&amp;gicode=A018250&amp;cID=&amp;MenuYn=Y&amp;ReportGB=&amp;NewMenuID=108&amp;stkGb=701", "애경산업")</f>
        <v>애경산업</v>
      </c>
      <c r="E853">
        <v>1</v>
      </c>
      <c r="F853">
        <v>24200</v>
      </c>
      <c r="G853">
        <v>-0.59</v>
      </c>
      <c r="H853">
        <v>17.97</v>
      </c>
      <c r="I853">
        <v>35988</v>
      </c>
      <c r="J853">
        <v>22106</v>
      </c>
      <c r="K853">
        <v>18160</v>
      </c>
      <c r="L853">
        <v>-48.71</v>
      </c>
      <c r="M853">
        <v>8.65</v>
      </c>
      <c r="N853">
        <v>24.96</v>
      </c>
      <c r="O853">
        <v>22.12</v>
      </c>
      <c r="P853" t="b">
        <v>1</v>
      </c>
      <c r="Q853">
        <v>0</v>
      </c>
      <c r="R853">
        <v>1581</v>
      </c>
      <c r="S853">
        <v>598</v>
      </c>
      <c r="T853">
        <v>-62.2</v>
      </c>
      <c r="U853" t="s">
        <v>2615</v>
      </c>
      <c r="V853" t="s">
        <v>3479</v>
      </c>
      <c r="W853">
        <v>-30.548174923993091</v>
      </c>
      <c r="X853">
        <v>-70.099999999999994</v>
      </c>
      <c r="Y853" t="s">
        <v>4270</v>
      </c>
      <c r="Z853">
        <v>-10.75607852195181</v>
      </c>
      <c r="AA853">
        <v>6391</v>
      </c>
      <c r="AB853">
        <v>52363</v>
      </c>
      <c r="AC853" t="s">
        <v>5134</v>
      </c>
      <c r="AD853">
        <v>63.35</v>
      </c>
      <c r="AE853" t="s">
        <v>5998</v>
      </c>
      <c r="AF853" t="s">
        <v>6804</v>
      </c>
      <c r="AG853">
        <v>7013</v>
      </c>
      <c r="AH853">
        <v>606</v>
      </c>
      <c r="AI853">
        <v>200010</v>
      </c>
      <c r="AJ853">
        <v>1.58</v>
      </c>
    </row>
    <row r="854" spans="1:36">
      <c r="A854" s="1" t="s">
        <v>888</v>
      </c>
      <c r="B854" t="s">
        <v>1752</v>
      </c>
      <c r="C854" t="str">
        <f>HYPERLINK("https://finance.naver.com/item/coinfo.nhn?code=145720", "A145720")</f>
        <v>A145720</v>
      </c>
      <c r="D854" t="str">
        <f>HYPERLINK("http://comp.fnguide.com/SVO2/ASP/SVD_Consensus.asp?pGB=1&amp;gicode=A145720&amp;cID=&amp;MenuYn=Y&amp;ReportGB=&amp;NewMenuID=108&amp;stkGb=701", "덴티움")</f>
        <v>덴티움</v>
      </c>
      <c r="E854">
        <v>1</v>
      </c>
      <c r="F854">
        <v>40150</v>
      </c>
      <c r="G854">
        <v>-4.34</v>
      </c>
      <c r="H854">
        <v>40.28</v>
      </c>
      <c r="I854">
        <v>43642</v>
      </c>
      <c r="J854">
        <v>31819</v>
      </c>
      <c r="K854">
        <v>28459</v>
      </c>
      <c r="L854">
        <v>-8.6999999999999993</v>
      </c>
      <c r="M854">
        <v>20.75</v>
      </c>
      <c r="N854">
        <v>29.12</v>
      </c>
      <c r="O854">
        <v>14.44</v>
      </c>
      <c r="P854" t="b">
        <v>0</v>
      </c>
      <c r="Q854">
        <v>1</v>
      </c>
      <c r="R854">
        <v>1336</v>
      </c>
      <c r="S854">
        <v>2026</v>
      </c>
      <c r="T854">
        <v>51.6</v>
      </c>
      <c r="U854" t="s">
        <v>2616</v>
      </c>
      <c r="V854" t="s">
        <v>3480</v>
      </c>
      <c r="W854">
        <v>-9.2814848651534003</v>
      </c>
      <c r="X854">
        <v>-62</v>
      </c>
      <c r="Y854" t="s">
        <v>4271</v>
      </c>
      <c r="Z854">
        <v>-17.239430371312821</v>
      </c>
      <c r="AA854">
        <v>4444</v>
      </c>
      <c r="AB854">
        <v>50315</v>
      </c>
      <c r="AC854" t="s">
        <v>5135</v>
      </c>
      <c r="AD854">
        <v>19.02</v>
      </c>
      <c r="AE854" t="s">
        <v>5999</v>
      </c>
      <c r="AF854" t="s">
        <v>6805</v>
      </c>
      <c r="AG854">
        <v>2526</v>
      </c>
      <c r="AH854">
        <v>447</v>
      </c>
      <c r="AI854">
        <v>2444939</v>
      </c>
    </row>
    <row r="855" spans="1:36">
      <c r="A855" s="1" t="s">
        <v>889</v>
      </c>
      <c r="B855" t="s">
        <v>1753</v>
      </c>
      <c r="C855" t="str">
        <f>HYPERLINK("https://finance.naver.com/item/coinfo.nhn?code=108230", "A108230")</f>
        <v>A108230</v>
      </c>
      <c r="D855" t="str">
        <f>HYPERLINK("http://comp.fnguide.com/SVO2/ASP/SVD_Consensus.asp?pGB=1&amp;gicode=A108230&amp;cID=&amp;MenuYn=Y&amp;ReportGB=&amp;NewMenuID=108&amp;stkGb=701", "톱텍")</f>
        <v>톱텍</v>
      </c>
      <c r="E855">
        <v>1</v>
      </c>
      <c r="F855">
        <v>11700</v>
      </c>
      <c r="G855">
        <v>0</v>
      </c>
      <c r="H855">
        <v>100.45</v>
      </c>
      <c r="I855">
        <v>14215</v>
      </c>
      <c r="J855">
        <v>11240</v>
      </c>
      <c r="K855">
        <v>10395</v>
      </c>
      <c r="L855">
        <v>-21.49</v>
      </c>
      <c r="M855">
        <v>3.93</v>
      </c>
      <c r="N855">
        <v>11.15</v>
      </c>
      <c r="O855">
        <v>12.17</v>
      </c>
      <c r="P855" t="b">
        <v>1</v>
      </c>
      <c r="Q855">
        <v>0</v>
      </c>
      <c r="R855">
        <v>99</v>
      </c>
      <c r="U855" t="s">
        <v>2617</v>
      </c>
      <c r="V855" t="s">
        <v>3481</v>
      </c>
      <c r="W855">
        <v>0</v>
      </c>
      <c r="X855">
        <v>302.10000000000002</v>
      </c>
      <c r="Y855" t="s">
        <v>4272</v>
      </c>
      <c r="Z855">
        <v>2.063263240677649</v>
      </c>
      <c r="AA855">
        <v>4449</v>
      </c>
      <c r="AB855">
        <v>330255</v>
      </c>
      <c r="AC855" t="s">
        <v>5136</v>
      </c>
      <c r="AD855">
        <v>41.8</v>
      </c>
      <c r="AE855" t="s">
        <v>6000</v>
      </c>
      <c r="AF855" t="s">
        <v>6806</v>
      </c>
      <c r="AG855">
        <v>1672</v>
      </c>
      <c r="AH855">
        <v>-66</v>
      </c>
      <c r="AI855">
        <v>1987657</v>
      </c>
      <c r="AJ855">
        <v>1</v>
      </c>
    </row>
    <row r="856" spans="1:36">
      <c r="A856" s="1" t="s">
        <v>890</v>
      </c>
      <c r="B856" t="s">
        <v>1754</v>
      </c>
      <c r="C856" t="str">
        <f>HYPERLINK("https://finance.naver.com/item/coinfo.nhn?code=192080", "A192080")</f>
        <v>A192080</v>
      </c>
      <c r="D856" t="str">
        <f>HYPERLINK("http://comp.fnguide.com/SVO2/ASP/SVD_Consensus.asp?pGB=1&amp;gicode=A192080&amp;cID=&amp;MenuYn=Y&amp;ReportGB=&amp;NewMenuID=108&amp;stkGb=701", "더블유게임즈")</f>
        <v>더블유게임즈</v>
      </c>
      <c r="E856">
        <v>1</v>
      </c>
      <c r="F856">
        <v>60600</v>
      </c>
      <c r="G856">
        <v>0.16</v>
      </c>
      <c r="H856">
        <v>8.25</v>
      </c>
      <c r="I856">
        <v>83125</v>
      </c>
      <c r="J856">
        <v>56050</v>
      </c>
      <c r="K856">
        <v>48356</v>
      </c>
      <c r="L856">
        <v>-37.17</v>
      </c>
      <c r="M856">
        <v>7.51</v>
      </c>
      <c r="N856">
        <v>20.2</v>
      </c>
      <c r="O856">
        <v>17.309999999999999</v>
      </c>
      <c r="P856" t="b">
        <v>1</v>
      </c>
      <c r="Q856">
        <v>3</v>
      </c>
      <c r="R856">
        <v>6040</v>
      </c>
      <c r="S856">
        <v>7020</v>
      </c>
      <c r="T856">
        <v>16.2</v>
      </c>
      <c r="U856" t="s">
        <v>2618</v>
      </c>
      <c r="V856" t="s">
        <v>3482</v>
      </c>
      <c r="W856">
        <v>51.303963299494157</v>
      </c>
      <c r="X856">
        <v>-4.4000000000000004</v>
      </c>
      <c r="Y856" t="s">
        <v>4273</v>
      </c>
      <c r="Z856">
        <v>17.988944839458831</v>
      </c>
      <c r="AA856">
        <v>11135</v>
      </c>
      <c r="AB856">
        <v>75559</v>
      </c>
      <c r="AC856" t="s">
        <v>5137</v>
      </c>
      <c r="AD856">
        <v>43.73</v>
      </c>
      <c r="AE856" t="s">
        <v>6001</v>
      </c>
      <c r="AF856" t="s">
        <v>6807</v>
      </c>
      <c r="AG856">
        <v>5138</v>
      </c>
      <c r="AH856">
        <v>1546</v>
      </c>
      <c r="AI856">
        <v>1398976</v>
      </c>
      <c r="AJ856">
        <v>0.7</v>
      </c>
    </row>
    <row r="857" spans="1:36">
      <c r="A857" s="1" t="s">
        <v>891</v>
      </c>
      <c r="B857" t="s">
        <v>1755</v>
      </c>
      <c r="C857" t="str">
        <f>HYPERLINK("https://finance.naver.com/item/coinfo.nhn?code=066700", "A066700")</f>
        <v>A066700</v>
      </c>
      <c r="D857" t="str">
        <f>HYPERLINK("http://comp.fnguide.com/SVO2/ASP/SVD_Consensus.asp?pGB=1&amp;gicode=A066700&amp;cID=&amp;MenuYn=Y&amp;ReportGB=&amp;NewMenuID=108&amp;stkGb=701", "테라젠이텍스")</f>
        <v>테라젠이텍스</v>
      </c>
      <c r="E857">
        <v>1</v>
      </c>
      <c r="F857">
        <v>9800</v>
      </c>
      <c r="G857">
        <v>0</v>
      </c>
      <c r="H857">
        <v>5.95</v>
      </c>
      <c r="I857">
        <v>10931</v>
      </c>
      <c r="J857">
        <v>6914</v>
      </c>
      <c r="K857">
        <v>5772</v>
      </c>
      <c r="L857">
        <v>-11.54</v>
      </c>
      <c r="M857">
        <v>29.45</v>
      </c>
      <c r="N857">
        <v>41.1</v>
      </c>
      <c r="O857">
        <v>20.399999999999999</v>
      </c>
      <c r="P857" t="b">
        <v>1</v>
      </c>
      <c r="Q857">
        <v>0</v>
      </c>
      <c r="R857">
        <v>1408</v>
      </c>
      <c r="U857" t="s">
        <v>2619</v>
      </c>
      <c r="V857" t="s">
        <v>3483</v>
      </c>
      <c r="W857">
        <v>0</v>
      </c>
      <c r="X857">
        <v>0</v>
      </c>
      <c r="Y857" t="s">
        <v>4274</v>
      </c>
      <c r="Z857">
        <v>-47.4</v>
      </c>
      <c r="AA857">
        <v>3177</v>
      </c>
      <c r="AB857">
        <v>424109</v>
      </c>
      <c r="AC857" t="s">
        <v>5138</v>
      </c>
      <c r="AD857">
        <v>16.89</v>
      </c>
      <c r="AE857" t="s">
        <v>6002</v>
      </c>
      <c r="AF857" t="s">
        <v>6808</v>
      </c>
      <c r="AG857">
        <v>1381</v>
      </c>
      <c r="AH857">
        <v>37</v>
      </c>
      <c r="AI857">
        <v>469056</v>
      </c>
    </row>
    <row r="858" spans="1:36">
      <c r="A858" s="1" t="s">
        <v>892</v>
      </c>
      <c r="B858" t="s">
        <v>1756</v>
      </c>
      <c r="C858" t="str">
        <f>HYPERLINK("https://finance.naver.com/item/coinfo.nhn?code=124560", "A124560")</f>
        <v>A124560</v>
      </c>
      <c r="D858" t="str">
        <f>HYPERLINK("http://comp.fnguide.com/SVO2/ASP/SVD_Consensus.asp?pGB=1&amp;gicode=A124560&amp;cID=&amp;MenuYn=Y&amp;ReportGB=&amp;NewMenuID=108&amp;stkGb=701", "태웅로직스")</f>
        <v>태웅로직스</v>
      </c>
      <c r="E858">
        <v>1</v>
      </c>
      <c r="F858">
        <v>5040</v>
      </c>
      <c r="G858">
        <v>0.03</v>
      </c>
      <c r="H858">
        <v>8.1</v>
      </c>
      <c r="I858">
        <v>7896</v>
      </c>
      <c r="J858">
        <v>4465</v>
      </c>
      <c r="K858">
        <v>3489</v>
      </c>
      <c r="L858">
        <v>-56.66</v>
      </c>
      <c r="M858">
        <v>11.42</v>
      </c>
      <c r="N858">
        <v>30.76</v>
      </c>
      <c r="O858">
        <v>28.59</v>
      </c>
      <c r="P858" t="b">
        <v>1</v>
      </c>
      <c r="Q858">
        <v>3</v>
      </c>
      <c r="R858">
        <v>631</v>
      </c>
      <c r="S858">
        <v>676</v>
      </c>
      <c r="T858">
        <v>7.1</v>
      </c>
      <c r="U858" t="s">
        <v>2620</v>
      </c>
      <c r="V858" t="s">
        <v>3484</v>
      </c>
      <c r="W858">
        <v>283.29409406076951</v>
      </c>
      <c r="X858">
        <v>-3.2</v>
      </c>
      <c r="Y858" t="s">
        <v>4275</v>
      </c>
      <c r="Z858">
        <v>157.62228675000691</v>
      </c>
      <c r="AA858">
        <v>985</v>
      </c>
      <c r="AB858">
        <v>320317</v>
      </c>
      <c r="AC858" t="s">
        <v>5139</v>
      </c>
      <c r="AD858">
        <v>38.11</v>
      </c>
      <c r="AE858" t="s">
        <v>6003</v>
      </c>
      <c r="AF858" t="s">
        <v>6809</v>
      </c>
      <c r="AG858">
        <v>2861</v>
      </c>
      <c r="AH858">
        <v>150</v>
      </c>
      <c r="AI858">
        <v>750000</v>
      </c>
      <c r="AJ858">
        <v>0.98</v>
      </c>
    </row>
    <row r="859" spans="1:36">
      <c r="A859" s="1" t="s">
        <v>893</v>
      </c>
      <c r="B859" t="s">
        <v>1757</v>
      </c>
      <c r="C859" t="str">
        <f>HYPERLINK("https://finance.naver.com/item/coinfo.nhn?code=298540", "A298540")</f>
        <v>A298540</v>
      </c>
      <c r="D859" t="str">
        <f>HYPERLINK("http://comp.fnguide.com/SVO2/ASP/SVD_Consensus.asp?pGB=1&amp;gicode=A298540&amp;cID=&amp;MenuYn=Y&amp;ReportGB=&amp;NewMenuID=108&amp;stkGb=701", "더네이쳐홀딩스")</f>
        <v>더네이쳐홀딩스</v>
      </c>
      <c r="E859">
        <v>1</v>
      </c>
      <c r="F859">
        <v>39100</v>
      </c>
      <c r="G859">
        <v>0</v>
      </c>
      <c r="I859">
        <v>62961</v>
      </c>
      <c r="J859">
        <v>31317</v>
      </c>
      <c r="K859">
        <v>22325</v>
      </c>
      <c r="L859">
        <v>-61.03</v>
      </c>
      <c r="M859">
        <v>19.899999999999999</v>
      </c>
      <c r="N859">
        <v>42.9</v>
      </c>
      <c r="O859">
        <v>48.22</v>
      </c>
      <c r="P859" t="b">
        <v>0</v>
      </c>
      <c r="Q859">
        <v>3</v>
      </c>
      <c r="R859">
        <v>2850</v>
      </c>
      <c r="S859">
        <v>5864</v>
      </c>
      <c r="T859">
        <v>105.8</v>
      </c>
      <c r="U859" t="s">
        <v>2621</v>
      </c>
      <c r="V859" t="s">
        <v>3485</v>
      </c>
      <c r="W859">
        <v>0</v>
      </c>
      <c r="X859">
        <v>0</v>
      </c>
      <c r="Y859" t="s">
        <v>4276</v>
      </c>
      <c r="Z859">
        <v>0</v>
      </c>
      <c r="AA859">
        <v>2843</v>
      </c>
      <c r="AB859">
        <v>40169</v>
      </c>
      <c r="AC859" t="s">
        <v>5140</v>
      </c>
      <c r="AD859">
        <v>37.49</v>
      </c>
      <c r="AE859" t="s">
        <v>6004</v>
      </c>
      <c r="AF859" t="s">
        <v>6810</v>
      </c>
      <c r="AG859">
        <v>2353</v>
      </c>
      <c r="AH859">
        <v>398</v>
      </c>
    </row>
    <row r="860" spans="1:36">
      <c r="A860" s="1" t="s">
        <v>894</v>
      </c>
      <c r="B860" t="s">
        <v>1758</v>
      </c>
      <c r="C860" t="str">
        <f>HYPERLINK("https://finance.naver.com/item/coinfo.nhn?code=241790", "A241790")</f>
        <v>A241790</v>
      </c>
      <c r="D860" t="str">
        <f>HYPERLINK("http://comp.fnguide.com/SVO2/ASP/SVD_Consensus.asp?pGB=1&amp;gicode=A241790&amp;cID=&amp;MenuYn=Y&amp;ReportGB=&amp;NewMenuID=108&amp;stkGb=701", "오션브릿지")</f>
        <v>오션브릿지</v>
      </c>
      <c r="E860">
        <v>1</v>
      </c>
      <c r="F860">
        <v>17650</v>
      </c>
      <c r="G860">
        <v>0</v>
      </c>
      <c r="H860">
        <v>10.06</v>
      </c>
      <c r="I860">
        <v>18796</v>
      </c>
      <c r="J860">
        <v>11421</v>
      </c>
      <c r="K860">
        <v>9325</v>
      </c>
      <c r="L860">
        <v>-6.49</v>
      </c>
      <c r="M860">
        <v>35.29</v>
      </c>
      <c r="N860">
        <v>47.17</v>
      </c>
      <c r="O860">
        <v>22.82</v>
      </c>
      <c r="P860" t="b">
        <v>1</v>
      </c>
      <c r="Q860">
        <v>0</v>
      </c>
      <c r="R860">
        <v>1024</v>
      </c>
      <c r="U860" t="s">
        <v>2622</v>
      </c>
      <c r="V860" t="s">
        <v>3486</v>
      </c>
      <c r="W860">
        <v>0</v>
      </c>
      <c r="X860">
        <v>8.5</v>
      </c>
      <c r="Y860" t="s">
        <v>4277</v>
      </c>
      <c r="Z860">
        <v>12.92148855533264</v>
      </c>
      <c r="AA860">
        <v>1765</v>
      </c>
      <c r="AB860">
        <v>120897</v>
      </c>
      <c r="AC860" t="s">
        <v>5141</v>
      </c>
      <c r="AD860">
        <v>33.4</v>
      </c>
      <c r="AE860" t="s">
        <v>6005</v>
      </c>
      <c r="AF860" t="s">
        <v>6811</v>
      </c>
      <c r="AG860">
        <v>758</v>
      </c>
      <c r="AH860">
        <v>128</v>
      </c>
      <c r="AI860">
        <v>123197</v>
      </c>
      <c r="AJ860">
        <v>2.62</v>
      </c>
    </row>
    <row r="861" spans="1:36">
      <c r="A861" s="1" t="s">
        <v>895</v>
      </c>
      <c r="B861" t="s">
        <v>1759</v>
      </c>
      <c r="C861" t="str">
        <f>HYPERLINK("https://finance.naver.com/item/coinfo.nhn?code=081660", "A081660")</f>
        <v>A081660</v>
      </c>
      <c r="D861" t="str">
        <f>HYPERLINK("http://comp.fnguide.com/SVO2/ASP/SVD_Consensus.asp?pGB=1&amp;gicode=A081660&amp;cID=&amp;MenuYn=Y&amp;ReportGB=&amp;NewMenuID=108&amp;stkGb=701", "휠라홀딩스")</f>
        <v>휠라홀딩스</v>
      </c>
      <c r="E861">
        <v>1</v>
      </c>
      <c r="F861">
        <v>44400</v>
      </c>
      <c r="G861">
        <v>0.27</v>
      </c>
      <c r="H861">
        <v>12.14</v>
      </c>
      <c r="I861">
        <v>48462</v>
      </c>
      <c r="J861">
        <v>31816</v>
      </c>
      <c r="K861">
        <v>27085</v>
      </c>
      <c r="L861">
        <v>-9.15</v>
      </c>
      <c r="M861">
        <v>28.34</v>
      </c>
      <c r="N861">
        <v>39</v>
      </c>
      <c r="O861">
        <v>18.5</v>
      </c>
      <c r="P861" t="b">
        <v>1</v>
      </c>
      <c r="Q861">
        <v>0</v>
      </c>
      <c r="R861">
        <v>4365</v>
      </c>
      <c r="S861">
        <v>3190</v>
      </c>
      <c r="T861">
        <v>-26.9</v>
      </c>
      <c r="U861" t="s">
        <v>2623</v>
      </c>
      <c r="V861" t="s">
        <v>3487</v>
      </c>
      <c r="W861">
        <v>45.779388432977292</v>
      </c>
      <c r="X861">
        <v>-39</v>
      </c>
      <c r="Y861" t="s">
        <v>4278</v>
      </c>
      <c r="Z861">
        <v>-17.290449293732621</v>
      </c>
      <c r="AA861">
        <v>26974</v>
      </c>
      <c r="AB861">
        <v>318258</v>
      </c>
      <c r="AC861" t="s">
        <v>5142</v>
      </c>
      <c r="AD861">
        <v>21.64</v>
      </c>
      <c r="AE861" t="s">
        <v>6006</v>
      </c>
      <c r="AF861" t="s">
        <v>6812</v>
      </c>
      <c r="AG861">
        <v>34504</v>
      </c>
      <c r="AH861">
        <v>4707</v>
      </c>
      <c r="AI861">
        <v>657840</v>
      </c>
      <c r="AJ861">
        <v>0.41</v>
      </c>
    </row>
    <row r="862" spans="1:36">
      <c r="A862" s="1" t="s">
        <v>896</v>
      </c>
      <c r="B862" t="s">
        <v>1760</v>
      </c>
      <c r="C862" t="str">
        <f>HYPERLINK("https://finance.naver.com/item/coinfo.nhn?code=013890", "A013890")</f>
        <v>A013890</v>
      </c>
      <c r="D862" t="str">
        <f>HYPERLINK("http://comp.fnguide.com/SVO2/ASP/SVD_Consensus.asp?pGB=1&amp;gicode=A013890&amp;cID=&amp;MenuYn=Y&amp;ReportGB=&amp;NewMenuID=108&amp;stkGb=701", "지누스")</f>
        <v>지누스</v>
      </c>
      <c r="E862">
        <v>1</v>
      </c>
      <c r="F862">
        <v>101000</v>
      </c>
      <c r="G862">
        <v>0.95</v>
      </c>
      <c r="H862">
        <v>16.37</v>
      </c>
      <c r="I862">
        <v>101798</v>
      </c>
      <c r="J862">
        <v>57150</v>
      </c>
      <c r="K862">
        <v>44461</v>
      </c>
      <c r="L862">
        <v>-0.79</v>
      </c>
      <c r="M862">
        <v>43.42</v>
      </c>
      <c r="N862">
        <v>55.98</v>
      </c>
      <c r="O862">
        <v>29.3</v>
      </c>
      <c r="P862" t="b">
        <v>1</v>
      </c>
      <c r="Q862">
        <v>2</v>
      </c>
      <c r="R862">
        <v>5669</v>
      </c>
      <c r="S862">
        <v>5844</v>
      </c>
      <c r="T862">
        <v>3.1</v>
      </c>
      <c r="U862" t="s">
        <v>2624</v>
      </c>
      <c r="V862" t="s">
        <v>3488</v>
      </c>
      <c r="W862">
        <v>17.238819373262011</v>
      </c>
      <c r="X862">
        <v>-16.899999999999999</v>
      </c>
      <c r="Y862" t="s">
        <v>4279</v>
      </c>
      <c r="Z862">
        <v>0</v>
      </c>
      <c r="AA862">
        <v>14551</v>
      </c>
      <c r="AB862">
        <v>55725</v>
      </c>
      <c r="AC862" t="s">
        <v>5143</v>
      </c>
      <c r="AD862">
        <v>39.200000000000003</v>
      </c>
      <c r="AE862" t="s">
        <v>6007</v>
      </c>
      <c r="AF862" t="s">
        <v>6813</v>
      </c>
      <c r="AG862">
        <v>8171</v>
      </c>
      <c r="AH862">
        <v>1039</v>
      </c>
      <c r="AI862">
        <v>847930</v>
      </c>
      <c r="AJ862">
        <v>1.35</v>
      </c>
    </row>
    <row r="863" spans="1:36">
      <c r="A863" s="1" t="s">
        <v>897</v>
      </c>
      <c r="B863" t="s">
        <v>1761</v>
      </c>
      <c r="C863" t="str">
        <f>HYPERLINK("https://finance.naver.com/item/coinfo.nhn?code=069260", "A069260")</f>
        <v>A069260</v>
      </c>
      <c r="D863" t="str">
        <f>HYPERLINK("http://comp.fnguide.com/SVO2/ASP/SVD_Consensus.asp?pGB=1&amp;gicode=A069260&amp;cID=&amp;MenuYn=Y&amp;ReportGB=&amp;NewMenuID=108&amp;stkGb=701", "휴켐스")</f>
        <v>휴켐스</v>
      </c>
      <c r="E863">
        <v>1</v>
      </c>
      <c r="F863">
        <v>25650</v>
      </c>
      <c r="G863">
        <v>-0.9</v>
      </c>
      <c r="H863">
        <v>12.29</v>
      </c>
      <c r="I863">
        <v>31355</v>
      </c>
      <c r="J863">
        <v>22726</v>
      </c>
      <c r="K863">
        <v>20273</v>
      </c>
      <c r="L863">
        <v>-22.24</v>
      </c>
      <c r="M863">
        <v>11.4</v>
      </c>
      <c r="N863">
        <v>20.96</v>
      </c>
      <c r="O863">
        <v>14.63</v>
      </c>
      <c r="P863" t="b">
        <v>1</v>
      </c>
      <c r="Q863">
        <v>1</v>
      </c>
      <c r="R863">
        <v>1721</v>
      </c>
      <c r="S863">
        <v>1800</v>
      </c>
      <c r="T863">
        <v>4.5999999999999996</v>
      </c>
      <c r="U863" t="s">
        <v>2625</v>
      </c>
      <c r="V863" t="s">
        <v>3489</v>
      </c>
      <c r="W863">
        <v>-13.66948834937018</v>
      </c>
      <c r="X863">
        <v>-32.1</v>
      </c>
      <c r="Y863" t="s">
        <v>4280</v>
      </c>
      <c r="Z863">
        <v>5.4323449217368314</v>
      </c>
      <c r="AA863">
        <v>10485</v>
      </c>
      <c r="AB863">
        <v>977034</v>
      </c>
      <c r="AC863" t="s">
        <v>5144</v>
      </c>
      <c r="AD863">
        <v>43.42</v>
      </c>
      <c r="AE863" t="s">
        <v>6008</v>
      </c>
      <c r="AF863" t="s">
        <v>6814</v>
      </c>
      <c r="AG863">
        <v>6598</v>
      </c>
      <c r="AH863">
        <v>1064</v>
      </c>
      <c r="AI863">
        <v>2507711</v>
      </c>
      <c r="AJ863">
        <v>4.7300000000000004</v>
      </c>
    </row>
    <row r="864" spans="1:36">
      <c r="A864" s="1" t="s">
        <v>898</v>
      </c>
      <c r="B864" t="s">
        <v>1762</v>
      </c>
      <c r="C864" t="str">
        <f>HYPERLINK("https://finance.naver.com/item/coinfo.nhn?code=244920", "A244920")</f>
        <v>A244920</v>
      </c>
      <c r="D864" t="str">
        <f>HYPERLINK("http://comp.fnguide.com/SVO2/ASP/SVD_Consensus.asp?pGB=1&amp;gicode=A244920&amp;cID=&amp;MenuYn=Y&amp;ReportGB=&amp;NewMenuID=108&amp;stkGb=701", "에이플러스에셋")</f>
        <v>에이플러스에셋</v>
      </c>
      <c r="E864">
        <v>1</v>
      </c>
      <c r="F864">
        <v>5820</v>
      </c>
      <c r="G864">
        <v>0</v>
      </c>
      <c r="I864">
        <v>6882</v>
      </c>
      <c r="J864">
        <v>4122</v>
      </c>
      <c r="K864">
        <v>3338</v>
      </c>
      <c r="L864">
        <v>-18.239999999999998</v>
      </c>
      <c r="M864">
        <v>29.17</v>
      </c>
      <c r="N864">
        <v>42.64</v>
      </c>
      <c r="O864">
        <v>23.8</v>
      </c>
      <c r="P864" t="b">
        <v>0</v>
      </c>
      <c r="Q864">
        <v>0</v>
      </c>
      <c r="R864">
        <v>610</v>
      </c>
      <c r="U864" t="s">
        <v>2626</v>
      </c>
      <c r="V864" t="s">
        <v>3490</v>
      </c>
      <c r="W864">
        <v>0</v>
      </c>
      <c r="X864">
        <v>27.4</v>
      </c>
      <c r="Y864" t="s">
        <v>4281</v>
      </c>
      <c r="Z864">
        <v>34.996888581877641</v>
      </c>
      <c r="AA864">
        <v>1316</v>
      </c>
      <c r="AB864">
        <v>186805</v>
      </c>
      <c r="AC864" t="s">
        <v>5145</v>
      </c>
      <c r="AD864">
        <v>34.4</v>
      </c>
      <c r="AE864" t="s">
        <v>6009</v>
      </c>
      <c r="AF864" t="s">
        <v>6021</v>
      </c>
      <c r="AG864">
        <v>2694</v>
      </c>
      <c r="AH864">
        <v>209</v>
      </c>
    </row>
    <row r="865" spans="1:35">
      <c r="A865" s="1" t="s">
        <v>899</v>
      </c>
      <c r="B865" t="s">
        <v>1763</v>
      </c>
      <c r="C865" t="str">
        <f>HYPERLINK("https://finance.naver.com/item/coinfo.nhn?code=109740", "A109740")</f>
        <v>A109740</v>
      </c>
      <c r="D865" t="str">
        <f>HYPERLINK("http://comp.fnguide.com/SVO2/ASP/SVD_Consensus.asp?pGB=1&amp;gicode=A109740&amp;cID=&amp;MenuYn=Y&amp;ReportGB=&amp;NewMenuID=108&amp;stkGb=701", "디에스케이")</f>
        <v>디에스케이</v>
      </c>
      <c r="E865">
        <v>1</v>
      </c>
      <c r="F865">
        <v>6220</v>
      </c>
      <c r="G865">
        <v>0</v>
      </c>
      <c r="H865">
        <v>29.75</v>
      </c>
      <c r="I865">
        <v>7045</v>
      </c>
      <c r="J865">
        <v>6192</v>
      </c>
      <c r="K865">
        <v>5950</v>
      </c>
      <c r="L865">
        <v>-13.27</v>
      </c>
      <c r="M865">
        <v>0.44</v>
      </c>
      <c r="N865">
        <v>4.34</v>
      </c>
      <c r="O865">
        <v>9.94</v>
      </c>
      <c r="P865" t="b">
        <v>1</v>
      </c>
      <c r="Q865">
        <v>0</v>
      </c>
      <c r="R865">
        <v>306</v>
      </c>
      <c r="U865" t="s">
        <v>2627</v>
      </c>
      <c r="V865" t="s">
        <v>3491</v>
      </c>
      <c r="W865">
        <v>0</v>
      </c>
      <c r="X865">
        <v>0</v>
      </c>
      <c r="Y865" t="s">
        <v>4282</v>
      </c>
      <c r="Z865">
        <v>-60.211056812224832</v>
      </c>
      <c r="AA865">
        <v>1266</v>
      </c>
      <c r="AB865">
        <v>102610</v>
      </c>
      <c r="AC865" t="s">
        <v>5146</v>
      </c>
      <c r="AD865">
        <v>23.63</v>
      </c>
      <c r="AE865" t="s">
        <v>6010</v>
      </c>
      <c r="AF865" t="s">
        <v>6815</v>
      </c>
      <c r="AG865">
        <v>765</v>
      </c>
      <c r="AH865">
        <v>55</v>
      </c>
      <c r="AI865">
        <v>346805</v>
      </c>
    </row>
  </sheetData>
  <autoFilter ref="A1:AJ865" xr:uid="{5ADF1E2A-5C07-1D40-A671-15F5BAE59646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67320-203F-C140-ADFC-332EF8301B3D}">
  <dimension ref="A1:AJ5"/>
  <sheetViews>
    <sheetView tabSelected="1" workbookViewId="0">
      <selection activeCell="A5" sqref="A5:XFD5"/>
    </sheetView>
  </sheetViews>
  <sheetFormatPr baseColWidth="10" defaultRowHeight="17"/>
  <cols>
    <col min="2" max="2" width="13" bestFit="1" customWidth="1"/>
    <col min="4" max="4" width="13" bestFit="1" customWidth="1"/>
    <col min="22" max="22" width="20.33203125" bestFit="1" customWidth="1"/>
    <col min="25" max="25" width="21.1640625" bestFit="1" customWidth="1"/>
    <col min="29" max="29" width="33.5" bestFit="1" customWidth="1"/>
    <col min="31" max="31" width="25.5" bestFit="1" customWidth="1"/>
    <col min="32" max="32" width="20.5" bestFit="1" customWidth="1"/>
  </cols>
  <sheetData>
    <row r="1" spans="1:36" ht="54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248</v>
      </c>
      <c r="B2" t="s">
        <v>1112</v>
      </c>
      <c r="C2" t="str">
        <f>HYPERLINK("https://finance.naver.com/item/coinfo.nhn?code=117730", "A117730")</f>
        <v>A117730</v>
      </c>
      <c r="D2" t="str">
        <f>HYPERLINK("http://comp.fnguide.com/SVO2/ASP/SVD_Consensus.asp?pGB=1&amp;gicode=A117730&amp;cID=&amp;MenuYn=Y&amp;ReportGB=&amp;NewMenuID=108&amp;stkGb=701", "티로보틱스")</f>
        <v>티로보틱스</v>
      </c>
      <c r="E2">
        <v>3</v>
      </c>
      <c r="F2">
        <v>6840</v>
      </c>
      <c r="I2">
        <v>39911</v>
      </c>
      <c r="J2">
        <v>17499</v>
      </c>
      <c r="K2">
        <v>11130</v>
      </c>
      <c r="L2">
        <v>-483.49</v>
      </c>
      <c r="M2">
        <v>-155.83000000000001</v>
      </c>
      <c r="N2">
        <v>-62.72</v>
      </c>
      <c r="O2">
        <v>119.06</v>
      </c>
      <c r="P2" t="b">
        <v>0</v>
      </c>
      <c r="Q2">
        <v>1</v>
      </c>
      <c r="R2">
        <v>-294</v>
      </c>
      <c r="S2">
        <v>125</v>
      </c>
      <c r="T2">
        <v>-142.5</v>
      </c>
      <c r="U2" t="s">
        <v>1976</v>
      </c>
      <c r="V2" t="s">
        <v>2840</v>
      </c>
      <c r="W2">
        <v>-52.077381625657956</v>
      </c>
      <c r="X2">
        <v>0</v>
      </c>
      <c r="Y2" t="s">
        <v>3684</v>
      </c>
      <c r="Z2">
        <v>-50.2</v>
      </c>
      <c r="AA2">
        <v>763</v>
      </c>
      <c r="AB2">
        <v>214981</v>
      </c>
      <c r="AC2" t="s">
        <v>4495</v>
      </c>
      <c r="AD2">
        <v>28.33</v>
      </c>
      <c r="AE2" t="s">
        <v>5359</v>
      </c>
      <c r="AF2" t="s">
        <v>6213</v>
      </c>
      <c r="AG2">
        <v>516</v>
      </c>
      <c r="AH2">
        <v>-40</v>
      </c>
    </row>
    <row r="3" spans="1:36" s="4" customFormat="1">
      <c r="A3" s="3" t="s">
        <v>721</v>
      </c>
      <c r="B3" s="4" t="s">
        <v>1585</v>
      </c>
      <c r="C3" s="4" t="str">
        <f>HYPERLINK("https://finance.naver.com/item/coinfo.nhn?code=071050", "A071050")</f>
        <v>A071050</v>
      </c>
      <c r="D3" s="4" t="str">
        <f>HYPERLINK("http://comp.fnguide.com/SVO2/ASP/SVD_Consensus.asp?pGB=1&amp;gicode=A071050&amp;cID=&amp;MenuYn=Y&amp;ReportGB=&amp;NewMenuID=108&amp;stkGb=701", "한국금융지주")</f>
        <v>한국금융지주</v>
      </c>
      <c r="E3" s="4">
        <v>3</v>
      </c>
      <c r="F3" s="4">
        <v>80000</v>
      </c>
      <c r="G3" s="4">
        <v>0.43</v>
      </c>
      <c r="H3" s="4">
        <v>5.28</v>
      </c>
      <c r="I3" s="4">
        <v>188102</v>
      </c>
      <c r="J3" s="4">
        <v>132011</v>
      </c>
      <c r="K3" s="4">
        <v>116072</v>
      </c>
      <c r="L3" s="4">
        <v>-135.13</v>
      </c>
      <c r="M3" s="4">
        <v>-65.010000000000005</v>
      </c>
      <c r="N3" s="4">
        <v>-45.09</v>
      </c>
      <c r="O3" s="4">
        <v>15.74</v>
      </c>
      <c r="P3" s="4" t="b">
        <v>1</v>
      </c>
      <c r="Q3" s="4">
        <v>0</v>
      </c>
      <c r="R3" s="4">
        <v>13724</v>
      </c>
      <c r="S3" s="4">
        <v>11746</v>
      </c>
      <c r="T3" s="4">
        <v>-14.4</v>
      </c>
      <c r="U3" s="4" t="s">
        <v>2449</v>
      </c>
      <c r="V3" s="4" t="s">
        <v>3313</v>
      </c>
      <c r="W3" s="4">
        <v>12.348687123065069</v>
      </c>
      <c r="X3" s="4">
        <v>0</v>
      </c>
      <c r="Y3" s="4" t="s">
        <v>4111</v>
      </c>
      <c r="Z3" s="4">
        <v>2.3059755280035792</v>
      </c>
      <c r="AA3" s="4">
        <v>44581</v>
      </c>
      <c r="AB3" s="4">
        <v>386634</v>
      </c>
      <c r="AC3" s="4" t="s">
        <v>4968</v>
      </c>
      <c r="AD3" s="4">
        <v>20.7</v>
      </c>
      <c r="AE3" s="4" t="s">
        <v>5832</v>
      </c>
      <c r="AF3" s="4" t="s">
        <v>6650</v>
      </c>
      <c r="AG3" s="4">
        <v>14001</v>
      </c>
      <c r="AH3" s="4">
        <v>9418</v>
      </c>
      <c r="AI3" s="4">
        <v>2987479</v>
      </c>
      <c r="AJ3" s="4">
        <v>4.01</v>
      </c>
    </row>
    <row r="4" spans="1:36">
      <c r="A4" s="1" t="s">
        <v>809</v>
      </c>
      <c r="B4" t="s">
        <v>1673</v>
      </c>
      <c r="C4" t="str">
        <f>HYPERLINK("https://finance.naver.com/item/coinfo.nhn?code=122990", "A122990")</f>
        <v>A122990</v>
      </c>
      <c r="D4" t="str">
        <f>HYPERLINK("http://comp.fnguide.com/SVO2/ASP/SVD_Consensus.asp?pGB=1&amp;gicode=A122990&amp;cID=&amp;MenuYn=Y&amp;ReportGB=&amp;NewMenuID=108&amp;stkGb=701", "와이솔")</f>
        <v>와이솔</v>
      </c>
      <c r="E4">
        <v>2</v>
      </c>
      <c r="F4">
        <v>15850</v>
      </c>
      <c r="G4">
        <v>-0.43</v>
      </c>
      <c r="H4">
        <v>12.55</v>
      </c>
      <c r="I4">
        <v>23796</v>
      </c>
      <c r="J4">
        <v>16895</v>
      </c>
      <c r="K4">
        <v>14934</v>
      </c>
      <c r="L4">
        <v>-50.13</v>
      </c>
      <c r="M4">
        <v>-6.59</v>
      </c>
      <c r="N4">
        <v>5.78</v>
      </c>
      <c r="O4">
        <v>15.33</v>
      </c>
      <c r="P4" t="b">
        <v>1</v>
      </c>
      <c r="Q4">
        <v>0</v>
      </c>
      <c r="R4">
        <v>1203</v>
      </c>
      <c r="S4">
        <v>685</v>
      </c>
      <c r="T4">
        <v>-43.1</v>
      </c>
      <c r="U4" t="s">
        <v>2537</v>
      </c>
      <c r="V4" t="s">
        <v>3401</v>
      </c>
      <c r="W4">
        <v>-29.176657791815789</v>
      </c>
      <c r="X4">
        <v>-76.7</v>
      </c>
      <c r="Y4" t="s">
        <v>4195</v>
      </c>
      <c r="Z4">
        <v>-26.363538436015581</v>
      </c>
      <c r="AA4">
        <v>4465</v>
      </c>
      <c r="AB4">
        <v>246845</v>
      </c>
      <c r="AC4" t="s">
        <v>5056</v>
      </c>
      <c r="AD4">
        <v>36.090000000000003</v>
      </c>
      <c r="AE4" t="s">
        <v>5920</v>
      </c>
      <c r="AF4" t="s">
        <v>6728</v>
      </c>
      <c r="AG4">
        <v>3703</v>
      </c>
      <c r="AH4">
        <v>400</v>
      </c>
      <c r="AI4">
        <v>515408</v>
      </c>
      <c r="AJ4">
        <v>1.66</v>
      </c>
    </row>
    <row r="5" spans="1:36">
      <c r="A5" s="1" t="s">
        <v>230</v>
      </c>
      <c r="B5" t="s">
        <v>1094</v>
      </c>
      <c r="C5" t="str">
        <f>HYPERLINK("https://finance.naver.com/item/coinfo.nhn?code=036830", "A036830")</f>
        <v>A036830</v>
      </c>
      <c r="D5" t="str">
        <f>HYPERLINK("http://comp.fnguide.com/SVO2/ASP/SVD_Consensus.asp?pGB=1&amp;gicode=A036830&amp;cID=&amp;MenuYn=Y&amp;ReportGB=&amp;NewMenuID=108&amp;stkGb=701", "솔브레인홀딩스")</f>
        <v>솔브레인홀딩스</v>
      </c>
      <c r="E5">
        <v>3</v>
      </c>
      <c r="F5">
        <v>42050</v>
      </c>
      <c r="G5">
        <v>0</v>
      </c>
      <c r="H5">
        <v>6</v>
      </c>
      <c r="I5">
        <v>69234</v>
      </c>
      <c r="J5">
        <v>52051</v>
      </c>
      <c r="K5">
        <v>47167</v>
      </c>
      <c r="L5">
        <v>-64.650000000000006</v>
      </c>
      <c r="M5">
        <v>-23.78</v>
      </c>
      <c r="N5">
        <v>-12.17</v>
      </c>
      <c r="O5">
        <v>13.52</v>
      </c>
      <c r="P5" t="b">
        <v>1</v>
      </c>
      <c r="Q5">
        <v>0</v>
      </c>
      <c r="R5">
        <v>6737</v>
      </c>
      <c r="U5" t="s">
        <v>1958</v>
      </c>
      <c r="V5" t="s">
        <v>2822</v>
      </c>
      <c r="W5">
        <v>0</v>
      </c>
      <c r="X5">
        <v>1311.5</v>
      </c>
      <c r="Y5" t="s">
        <v>3670</v>
      </c>
      <c r="Z5">
        <v>81.0890787676515</v>
      </c>
      <c r="AA5">
        <v>4045</v>
      </c>
      <c r="AB5">
        <v>51434</v>
      </c>
      <c r="AC5" t="s">
        <v>4477</v>
      </c>
      <c r="AD5">
        <v>43.45</v>
      </c>
      <c r="AE5" t="s">
        <v>5341</v>
      </c>
      <c r="AF5" t="s">
        <v>6198</v>
      </c>
      <c r="AG5">
        <v>10213</v>
      </c>
      <c r="AH5">
        <v>1742</v>
      </c>
      <c r="AI5">
        <v>526253</v>
      </c>
      <c r="AJ5">
        <v>2.1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52"/>
  <sheetViews>
    <sheetView workbookViewId="0"/>
  </sheetViews>
  <sheetFormatPr baseColWidth="10" defaultColWidth="8.83203125" defaultRowHeight="17"/>
  <sheetData>
    <row r="1" spans="1:36" ht="54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455</v>
      </c>
      <c r="B2" t="s">
        <v>1319</v>
      </c>
      <c r="C2" t="str">
        <f>HYPERLINK("https://finance.naver.com/item/coinfo.nhn?code=008110", "A008110")</f>
        <v>A008110</v>
      </c>
      <c r="D2" t="str">
        <f>HYPERLINK("http://comp.fnguide.com/SVO2/ASP/SVD_Consensus.asp?pGB=1&amp;gicode=A008110&amp;cID=&amp;MenuYn=Y&amp;ReportGB=&amp;NewMenuID=108&amp;stkGb=701", "대동전자")</f>
        <v>대동전자</v>
      </c>
      <c r="E2">
        <v>3</v>
      </c>
      <c r="F2">
        <v>4480</v>
      </c>
      <c r="G2">
        <v>0</v>
      </c>
      <c r="H2">
        <v>7.36</v>
      </c>
      <c r="I2">
        <v>5496</v>
      </c>
      <c r="J2">
        <v>12433</v>
      </c>
      <c r="K2">
        <v>14404</v>
      </c>
      <c r="L2">
        <v>-22.68</v>
      </c>
      <c r="M2">
        <v>-177.51</v>
      </c>
      <c r="N2">
        <v>-221.51</v>
      </c>
      <c r="O2">
        <v>2.56</v>
      </c>
      <c r="P2" t="b">
        <v>1</v>
      </c>
      <c r="Q2">
        <v>0</v>
      </c>
      <c r="R2">
        <v>419</v>
      </c>
      <c r="U2" t="s">
        <v>2183</v>
      </c>
      <c r="V2" t="s">
        <v>3047</v>
      </c>
      <c r="W2">
        <v>0</v>
      </c>
      <c r="X2">
        <v>0</v>
      </c>
      <c r="Y2" t="s">
        <v>3863</v>
      </c>
      <c r="Z2">
        <v>34.8310694122681</v>
      </c>
      <c r="AA2">
        <v>470</v>
      </c>
      <c r="AB2">
        <v>7055</v>
      </c>
      <c r="AC2" t="s">
        <v>4702</v>
      </c>
      <c r="AD2">
        <v>60.4</v>
      </c>
      <c r="AE2" t="s">
        <v>5566</v>
      </c>
      <c r="AF2" t="s">
        <v>6399</v>
      </c>
      <c r="AG2">
        <v>450</v>
      </c>
      <c r="AH2">
        <v>17</v>
      </c>
      <c r="AI2">
        <v>2320000</v>
      </c>
      <c r="AJ2">
        <v>16.21</v>
      </c>
    </row>
    <row r="3" spans="1:36">
      <c r="A3" s="1" t="s">
        <v>709</v>
      </c>
      <c r="B3" t="s">
        <v>1573</v>
      </c>
      <c r="C3" t="str">
        <f>HYPERLINK("https://finance.naver.com/item/coinfo.nhn?code=095720", "A095720")</f>
        <v>A095720</v>
      </c>
      <c r="D3" t="str">
        <f>HYPERLINK("http://comp.fnguide.com/SVO2/ASP/SVD_Consensus.asp?pGB=1&amp;gicode=A095720&amp;cID=&amp;MenuYn=Y&amp;ReportGB=&amp;NewMenuID=108&amp;stkGb=701", "웅진씽크빅")</f>
        <v>웅진씽크빅</v>
      </c>
      <c r="E3">
        <v>3</v>
      </c>
      <c r="F3">
        <v>2925</v>
      </c>
      <c r="I3">
        <v>2024</v>
      </c>
      <c r="J3">
        <v>3327</v>
      </c>
      <c r="K3">
        <v>3698</v>
      </c>
      <c r="L3">
        <v>30.81</v>
      </c>
      <c r="M3">
        <v>-13.75</v>
      </c>
      <c r="N3">
        <v>-26.41</v>
      </c>
      <c r="O3">
        <v>3.83</v>
      </c>
      <c r="P3" t="b">
        <v>0</v>
      </c>
      <c r="Q3">
        <v>1</v>
      </c>
      <c r="R3">
        <v>-1187</v>
      </c>
      <c r="S3">
        <v>106</v>
      </c>
      <c r="T3">
        <v>-108.9</v>
      </c>
      <c r="U3" t="s">
        <v>2437</v>
      </c>
      <c r="V3" t="s">
        <v>3301</v>
      </c>
      <c r="W3">
        <v>-44.536334146077529</v>
      </c>
      <c r="X3">
        <v>-84.3</v>
      </c>
      <c r="Y3" t="s">
        <v>4100</v>
      </c>
      <c r="Z3">
        <v>-28.289677827426662</v>
      </c>
      <c r="AA3">
        <v>3434</v>
      </c>
      <c r="AB3">
        <v>535815</v>
      </c>
      <c r="AC3" t="s">
        <v>4956</v>
      </c>
      <c r="AD3">
        <v>59.52</v>
      </c>
      <c r="AE3" t="s">
        <v>5820</v>
      </c>
      <c r="AF3" t="s">
        <v>6639</v>
      </c>
      <c r="AG3">
        <v>6522</v>
      </c>
      <c r="AH3">
        <v>217</v>
      </c>
      <c r="AI3">
        <v>3296748</v>
      </c>
      <c r="AJ3">
        <v>10.37</v>
      </c>
    </row>
    <row r="4" spans="1:36">
      <c r="A4" s="1" t="s">
        <v>429</v>
      </c>
      <c r="B4" t="s">
        <v>1293</v>
      </c>
      <c r="C4" t="str">
        <f>HYPERLINK("https://finance.naver.com/item/coinfo.nhn?code=005960", "A005960")</f>
        <v>A005960</v>
      </c>
      <c r="D4" t="str">
        <f>HYPERLINK("http://comp.fnguide.com/SVO2/ASP/SVD_Consensus.asp?pGB=1&amp;gicode=A005960&amp;cID=&amp;MenuYn=Y&amp;ReportGB=&amp;NewMenuID=108&amp;stkGb=701", "동부건설")</f>
        <v>동부건설</v>
      </c>
      <c r="E4">
        <v>3</v>
      </c>
      <c r="F4">
        <v>13600</v>
      </c>
      <c r="G4">
        <v>-0.18</v>
      </c>
      <c r="H4">
        <v>3.05</v>
      </c>
      <c r="I4">
        <v>48528</v>
      </c>
      <c r="J4">
        <v>30471</v>
      </c>
      <c r="K4">
        <v>25340</v>
      </c>
      <c r="L4">
        <v>-256.82</v>
      </c>
      <c r="M4">
        <v>-124.05</v>
      </c>
      <c r="N4">
        <v>-86.32</v>
      </c>
      <c r="O4">
        <v>20.81</v>
      </c>
      <c r="P4" t="b">
        <v>1</v>
      </c>
      <c r="Q4">
        <v>0</v>
      </c>
      <c r="R4">
        <v>2803</v>
      </c>
      <c r="S4">
        <v>2611</v>
      </c>
      <c r="T4">
        <v>-6.8</v>
      </c>
      <c r="U4" t="s">
        <v>2157</v>
      </c>
      <c r="V4" t="s">
        <v>3021</v>
      </c>
      <c r="W4">
        <v>-17.030332078231051</v>
      </c>
      <c r="X4">
        <v>21.8</v>
      </c>
      <c r="Y4" t="s">
        <v>3837</v>
      </c>
      <c r="Z4">
        <v>-14.260292134253969</v>
      </c>
      <c r="AA4">
        <v>3087</v>
      </c>
      <c r="AB4">
        <v>180173</v>
      </c>
      <c r="AC4" t="s">
        <v>4676</v>
      </c>
      <c r="AD4">
        <v>62.19</v>
      </c>
      <c r="AE4" t="s">
        <v>5540</v>
      </c>
      <c r="AF4" t="s">
        <v>6373</v>
      </c>
      <c r="AG4">
        <v>11554</v>
      </c>
      <c r="AH4">
        <v>555</v>
      </c>
      <c r="AI4">
        <v>4291</v>
      </c>
      <c r="AJ4">
        <v>8.1999999999999993</v>
      </c>
    </row>
    <row r="5" spans="1:36">
      <c r="A5" s="1" t="s">
        <v>827</v>
      </c>
      <c r="B5" t="s">
        <v>1691</v>
      </c>
      <c r="C5" t="str">
        <f>HYPERLINK("https://finance.naver.com/item/coinfo.nhn?code=225190", "A225190")</f>
        <v>A225190</v>
      </c>
      <c r="D5" t="str">
        <f>HYPERLINK("http://comp.fnguide.com/SVO2/ASP/SVD_Consensus.asp?pGB=1&amp;gicode=A225190&amp;cID=&amp;MenuYn=Y&amp;ReportGB=&amp;NewMenuID=108&amp;stkGb=701", "삼양옵틱스")</f>
        <v>삼양옵틱스</v>
      </c>
      <c r="E5">
        <v>1</v>
      </c>
      <c r="F5">
        <v>10000</v>
      </c>
      <c r="G5">
        <v>0</v>
      </c>
      <c r="H5">
        <v>9.4700000000000006</v>
      </c>
      <c r="I5">
        <v>18736</v>
      </c>
      <c r="J5">
        <v>9813</v>
      </c>
      <c r="K5">
        <v>7277</v>
      </c>
      <c r="L5">
        <v>-87.36</v>
      </c>
      <c r="M5">
        <v>1.87</v>
      </c>
      <c r="N5">
        <v>27.23</v>
      </c>
      <c r="O5">
        <v>38.1</v>
      </c>
      <c r="P5" t="b">
        <v>1</v>
      </c>
      <c r="Q5">
        <v>0</v>
      </c>
      <c r="R5">
        <v>1347</v>
      </c>
      <c r="U5" t="s">
        <v>2555</v>
      </c>
      <c r="V5" t="s">
        <v>3419</v>
      </c>
      <c r="W5">
        <v>0</v>
      </c>
      <c r="X5">
        <v>-80.2</v>
      </c>
      <c r="Y5" t="s">
        <v>4213</v>
      </c>
      <c r="Z5">
        <v>-27.275517905315759</v>
      </c>
      <c r="AA5">
        <v>1009</v>
      </c>
      <c r="AB5">
        <v>119068</v>
      </c>
      <c r="AC5" t="s">
        <v>5074</v>
      </c>
      <c r="AD5">
        <v>68.13</v>
      </c>
      <c r="AE5" t="s">
        <v>5938</v>
      </c>
      <c r="AF5" t="s">
        <v>6746</v>
      </c>
      <c r="AG5">
        <v>636</v>
      </c>
      <c r="AH5">
        <v>157</v>
      </c>
      <c r="AI5">
        <v>28580</v>
      </c>
      <c r="AJ5">
        <v>7.84</v>
      </c>
    </row>
    <row r="6" spans="1:36">
      <c r="A6" s="1" t="s">
        <v>313</v>
      </c>
      <c r="B6" t="s">
        <v>1177</v>
      </c>
      <c r="C6" t="str">
        <f>HYPERLINK("https://finance.naver.com/item/coinfo.nhn?code=007330", "A007330")</f>
        <v>A007330</v>
      </c>
      <c r="D6" t="str">
        <f>HYPERLINK("http://comp.fnguide.com/SVO2/ASP/SVD_Consensus.asp?pGB=1&amp;gicode=A007330&amp;cID=&amp;MenuYn=Y&amp;ReportGB=&amp;NewMenuID=108&amp;stkGb=701", "푸른저축은행")</f>
        <v>푸른저축은행</v>
      </c>
      <c r="E6">
        <v>3</v>
      </c>
      <c r="F6">
        <v>8960</v>
      </c>
      <c r="G6">
        <v>0</v>
      </c>
      <c r="H6">
        <v>4.8</v>
      </c>
      <c r="I6">
        <v>27517</v>
      </c>
      <c r="J6">
        <v>24448</v>
      </c>
      <c r="K6">
        <v>23576</v>
      </c>
      <c r="L6">
        <v>-207.11</v>
      </c>
      <c r="M6">
        <v>-172.86</v>
      </c>
      <c r="N6">
        <v>-163.13</v>
      </c>
      <c r="O6">
        <v>9.75</v>
      </c>
      <c r="P6" t="b">
        <v>1</v>
      </c>
      <c r="Q6">
        <v>0</v>
      </c>
      <c r="R6">
        <v>1631</v>
      </c>
      <c r="U6" t="s">
        <v>2041</v>
      </c>
      <c r="V6" t="s">
        <v>2905</v>
      </c>
      <c r="W6">
        <v>0</v>
      </c>
      <c r="Y6" t="s">
        <v>3605</v>
      </c>
      <c r="Z6">
        <v>-16.70070494091571</v>
      </c>
      <c r="AA6">
        <v>1351</v>
      </c>
      <c r="AB6">
        <v>33349</v>
      </c>
      <c r="AC6" t="s">
        <v>4560</v>
      </c>
      <c r="AD6">
        <v>62.3</v>
      </c>
      <c r="AE6" t="s">
        <v>5424</v>
      </c>
      <c r="AF6" t="s">
        <v>6274</v>
      </c>
      <c r="AG6">
        <v>559</v>
      </c>
      <c r="AH6">
        <v>321</v>
      </c>
      <c r="AI6">
        <v>3243332</v>
      </c>
      <c r="AJ6">
        <v>7.02</v>
      </c>
    </row>
    <row r="7" spans="1:36">
      <c r="A7" s="1" t="s">
        <v>782</v>
      </c>
      <c r="B7" t="s">
        <v>1646</v>
      </c>
      <c r="C7" t="str">
        <f>HYPERLINK("https://finance.naver.com/item/coinfo.nhn?code=019440", "A019440")</f>
        <v>A019440</v>
      </c>
      <c r="D7" t="str">
        <f>HYPERLINK("http://comp.fnguide.com/SVO2/ASP/SVD_Consensus.asp?pGB=1&amp;gicode=A019440&amp;cID=&amp;MenuYn=Y&amp;ReportGB=&amp;NewMenuID=108&amp;stkGb=701", "세아특수강")</f>
        <v>세아특수강</v>
      </c>
      <c r="E7">
        <v>3</v>
      </c>
      <c r="F7">
        <v>12400</v>
      </c>
      <c r="G7">
        <v>0</v>
      </c>
      <c r="H7">
        <v>10.51</v>
      </c>
      <c r="I7">
        <v>20191</v>
      </c>
      <c r="J7">
        <v>30882</v>
      </c>
      <c r="K7">
        <v>33920</v>
      </c>
      <c r="L7">
        <v>-62.83</v>
      </c>
      <c r="M7">
        <v>-149.05000000000001</v>
      </c>
      <c r="N7">
        <v>-173.55</v>
      </c>
      <c r="O7">
        <v>4.22</v>
      </c>
      <c r="P7" t="b">
        <v>1</v>
      </c>
      <c r="Q7">
        <v>0</v>
      </c>
      <c r="R7">
        <v>1280</v>
      </c>
      <c r="U7" t="s">
        <v>2510</v>
      </c>
      <c r="V7" t="s">
        <v>3374</v>
      </c>
      <c r="W7">
        <v>0</v>
      </c>
      <c r="X7">
        <v>0</v>
      </c>
      <c r="Y7" t="s">
        <v>4168</v>
      </c>
      <c r="Z7">
        <v>-13.238318399525831</v>
      </c>
      <c r="AA7">
        <v>1063</v>
      </c>
      <c r="AB7">
        <v>20450</v>
      </c>
      <c r="AC7" t="s">
        <v>5029</v>
      </c>
      <c r="AD7">
        <v>70.59</v>
      </c>
      <c r="AE7" t="s">
        <v>5893</v>
      </c>
      <c r="AF7" t="s">
        <v>6702</v>
      </c>
      <c r="AG7">
        <v>7175</v>
      </c>
      <c r="AH7">
        <v>195</v>
      </c>
      <c r="AI7">
        <v>213731</v>
      </c>
      <c r="AJ7">
        <v>6.69</v>
      </c>
    </row>
    <row r="8" spans="1:36">
      <c r="A8" s="1" t="s">
        <v>644</v>
      </c>
      <c r="B8" t="s">
        <v>1508</v>
      </c>
      <c r="C8" t="str">
        <f>HYPERLINK("https://finance.naver.com/item/coinfo.nhn?code=100250", "A100250")</f>
        <v>A100250</v>
      </c>
      <c r="D8" t="str">
        <f>HYPERLINK("http://comp.fnguide.com/SVO2/ASP/SVD_Consensus.asp?pGB=1&amp;gicode=A100250&amp;cID=&amp;MenuYn=Y&amp;ReportGB=&amp;NewMenuID=108&amp;stkGb=701", "진양홀딩스")</f>
        <v>진양홀딩스</v>
      </c>
      <c r="E8">
        <v>3</v>
      </c>
      <c r="F8">
        <v>2880</v>
      </c>
      <c r="G8">
        <v>0</v>
      </c>
      <c r="H8">
        <v>9.65</v>
      </c>
      <c r="I8">
        <v>2236</v>
      </c>
      <c r="J8">
        <v>4270</v>
      </c>
      <c r="K8">
        <v>4848</v>
      </c>
      <c r="L8">
        <v>22.38</v>
      </c>
      <c r="M8">
        <v>-48.27</v>
      </c>
      <c r="N8">
        <v>-68.349999999999994</v>
      </c>
      <c r="O8">
        <v>3.16</v>
      </c>
      <c r="P8" t="b">
        <v>1</v>
      </c>
      <c r="Q8">
        <v>0</v>
      </c>
      <c r="R8">
        <v>271</v>
      </c>
      <c r="U8" t="s">
        <v>2372</v>
      </c>
      <c r="V8" t="s">
        <v>3236</v>
      </c>
      <c r="W8">
        <v>0</v>
      </c>
      <c r="X8">
        <v>210.2</v>
      </c>
      <c r="Y8" t="s">
        <v>4042</v>
      </c>
      <c r="Z8">
        <v>40.698232145431817</v>
      </c>
      <c r="AA8">
        <v>1610</v>
      </c>
      <c r="AB8">
        <v>413805</v>
      </c>
      <c r="AC8" t="s">
        <v>4891</v>
      </c>
      <c r="AD8">
        <v>62.94</v>
      </c>
      <c r="AE8" t="s">
        <v>5755</v>
      </c>
      <c r="AF8" t="s">
        <v>6580</v>
      </c>
      <c r="AG8">
        <v>2253</v>
      </c>
      <c r="AH8">
        <v>129</v>
      </c>
      <c r="AI8">
        <v>1100000</v>
      </c>
      <c r="AJ8">
        <v>6.51</v>
      </c>
    </row>
    <row r="9" spans="1:36">
      <c r="A9" s="1" t="s">
        <v>769</v>
      </c>
      <c r="B9" t="s">
        <v>1633</v>
      </c>
      <c r="C9" t="str">
        <f>HYPERLINK("https://finance.naver.com/item/coinfo.nhn?code=015890", "A015890")</f>
        <v>A015890</v>
      </c>
      <c r="D9" t="str">
        <f>HYPERLINK("http://comp.fnguide.com/SVO2/ASP/SVD_Consensus.asp?pGB=1&amp;gicode=A015890&amp;cID=&amp;MenuYn=Y&amp;ReportGB=&amp;NewMenuID=108&amp;stkGb=701", "태경산업")</f>
        <v>태경산업</v>
      </c>
      <c r="E9">
        <v>3</v>
      </c>
      <c r="F9">
        <v>6010</v>
      </c>
      <c r="G9">
        <v>0</v>
      </c>
      <c r="H9">
        <v>8.08</v>
      </c>
      <c r="I9">
        <v>7471</v>
      </c>
      <c r="J9">
        <v>7964</v>
      </c>
      <c r="K9">
        <v>8104</v>
      </c>
      <c r="L9">
        <v>-24.31</v>
      </c>
      <c r="M9">
        <v>-32.51</v>
      </c>
      <c r="N9">
        <v>-34.840000000000003</v>
      </c>
      <c r="O9">
        <v>7.16</v>
      </c>
      <c r="P9" t="b">
        <v>1</v>
      </c>
      <c r="Q9">
        <v>0</v>
      </c>
      <c r="R9">
        <v>706</v>
      </c>
      <c r="U9" t="s">
        <v>2497</v>
      </c>
      <c r="V9" t="s">
        <v>3361</v>
      </c>
      <c r="W9">
        <v>0</v>
      </c>
      <c r="X9">
        <v>-95.1</v>
      </c>
      <c r="Y9" t="s">
        <v>4155</v>
      </c>
      <c r="Z9">
        <v>-20.001720973500749</v>
      </c>
      <c r="AA9">
        <v>1757</v>
      </c>
      <c r="AB9">
        <v>43729</v>
      </c>
      <c r="AC9" t="s">
        <v>5016</v>
      </c>
      <c r="AD9">
        <v>63.54</v>
      </c>
      <c r="AE9" t="s">
        <v>5880</v>
      </c>
      <c r="AF9" t="s">
        <v>6690</v>
      </c>
      <c r="AG9">
        <v>5196</v>
      </c>
      <c r="AH9">
        <v>108</v>
      </c>
      <c r="AI9">
        <v>713753</v>
      </c>
      <c r="AJ9">
        <v>6.48</v>
      </c>
    </row>
    <row r="10" spans="1:36">
      <c r="A10" s="1" t="s">
        <v>342</v>
      </c>
      <c r="B10" t="s">
        <v>1206</v>
      </c>
      <c r="C10" t="str">
        <f>HYPERLINK("https://finance.naver.com/item/coinfo.nhn?code=031330", "A031330")</f>
        <v>A031330</v>
      </c>
      <c r="D10" t="str">
        <f>HYPERLINK("http://comp.fnguide.com/SVO2/ASP/SVD_Consensus.asp?pGB=1&amp;gicode=A031330&amp;cID=&amp;MenuYn=Y&amp;ReportGB=&amp;NewMenuID=108&amp;stkGb=701", "에스에이엠티")</f>
        <v>에스에이엠티</v>
      </c>
      <c r="E10">
        <v>3</v>
      </c>
      <c r="F10">
        <v>2560</v>
      </c>
      <c r="G10">
        <v>0</v>
      </c>
      <c r="H10">
        <v>5.84</v>
      </c>
      <c r="I10">
        <v>4975</v>
      </c>
      <c r="J10">
        <v>3445</v>
      </c>
      <c r="K10">
        <v>3010</v>
      </c>
      <c r="L10">
        <v>-94.35</v>
      </c>
      <c r="M10">
        <v>-34.57</v>
      </c>
      <c r="N10">
        <v>-17.579999999999998</v>
      </c>
      <c r="O10">
        <v>16.25</v>
      </c>
      <c r="P10" t="b">
        <v>1</v>
      </c>
      <c r="Q10">
        <v>0</v>
      </c>
      <c r="R10">
        <v>376</v>
      </c>
      <c r="U10" t="s">
        <v>2070</v>
      </c>
      <c r="V10" t="s">
        <v>2934</v>
      </c>
      <c r="W10">
        <v>0</v>
      </c>
      <c r="X10">
        <v>-1</v>
      </c>
      <c r="Y10" t="s">
        <v>3763</v>
      </c>
      <c r="Z10">
        <v>-1.4921497399997929</v>
      </c>
      <c r="AA10">
        <v>2560</v>
      </c>
      <c r="AB10">
        <v>3024118</v>
      </c>
      <c r="AC10" t="s">
        <v>4589</v>
      </c>
      <c r="AD10">
        <v>50.02</v>
      </c>
      <c r="AE10" t="s">
        <v>5453</v>
      </c>
      <c r="AF10" t="s">
        <v>6297</v>
      </c>
      <c r="AG10">
        <v>12138</v>
      </c>
      <c r="AH10">
        <v>337</v>
      </c>
      <c r="AI10">
        <v>2000000</v>
      </c>
      <c r="AJ10">
        <v>6.38</v>
      </c>
    </row>
    <row r="11" spans="1:36">
      <c r="A11" s="1" t="s">
        <v>213</v>
      </c>
      <c r="B11" t="s">
        <v>1077</v>
      </c>
      <c r="C11" t="str">
        <f>HYPERLINK("https://finance.naver.com/item/coinfo.nhn?code=004800", "A004800")</f>
        <v>A004800</v>
      </c>
      <c r="D11" t="str">
        <f>HYPERLINK("http://comp.fnguide.com/SVO2/ASP/SVD_Consensus.asp?pGB=1&amp;gicode=A004800&amp;cID=&amp;MenuYn=Y&amp;ReportGB=&amp;NewMenuID=108&amp;stkGb=701", "효성")</f>
        <v>효성</v>
      </c>
      <c r="E11">
        <v>3</v>
      </c>
      <c r="F11">
        <v>81400</v>
      </c>
      <c r="G11">
        <v>0</v>
      </c>
      <c r="H11">
        <v>16.079999999999998</v>
      </c>
      <c r="I11">
        <v>622705</v>
      </c>
      <c r="J11">
        <v>321791</v>
      </c>
      <c r="K11">
        <v>236277</v>
      </c>
      <c r="L11">
        <v>-664.99</v>
      </c>
      <c r="M11">
        <v>-295.32</v>
      </c>
      <c r="N11">
        <v>-190.27</v>
      </c>
      <c r="O11">
        <v>40.340000000000003</v>
      </c>
      <c r="P11" t="b">
        <v>0</v>
      </c>
      <c r="Q11">
        <v>0</v>
      </c>
      <c r="R11">
        <v>4921</v>
      </c>
      <c r="S11">
        <v>-2288</v>
      </c>
      <c r="T11">
        <v>-146.5</v>
      </c>
      <c r="U11" t="s">
        <v>1941</v>
      </c>
      <c r="V11" t="s">
        <v>2805</v>
      </c>
      <c r="W11">
        <v>0</v>
      </c>
      <c r="X11">
        <v>0</v>
      </c>
      <c r="Y11" t="s">
        <v>3654</v>
      </c>
      <c r="Z11">
        <v>-22.86830861630861</v>
      </c>
      <c r="AA11">
        <v>17152</v>
      </c>
      <c r="AB11">
        <v>130915</v>
      </c>
      <c r="AC11" t="s">
        <v>4460</v>
      </c>
      <c r="AD11">
        <v>55.11</v>
      </c>
      <c r="AE11" t="s">
        <v>5324</v>
      </c>
      <c r="AF11" t="s">
        <v>6181</v>
      </c>
      <c r="AG11">
        <v>33734</v>
      </c>
      <c r="AH11">
        <v>2368</v>
      </c>
      <c r="AI11">
        <v>1161621</v>
      </c>
      <c r="AJ11">
        <v>6.32</v>
      </c>
    </row>
    <row r="12" spans="1:36">
      <c r="A12" s="1" t="s">
        <v>393</v>
      </c>
      <c r="B12" t="s">
        <v>1257</v>
      </c>
      <c r="C12" t="str">
        <f>HYPERLINK("https://finance.naver.com/item/coinfo.nhn?code=078020", "A078020")</f>
        <v>A078020</v>
      </c>
      <c r="D12" t="str">
        <f>HYPERLINK("http://comp.fnguide.com/SVO2/ASP/SVD_Consensus.asp?pGB=1&amp;gicode=A078020&amp;cID=&amp;MenuYn=Y&amp;ReportGB=&amp;NewMenuID=108&amp;stkGb=701", "이베스트투자증권")</f>
        <v>이베스트투자증권</v>
      </c>
      <c r="E12">
        <v>3</v>
      </c>
      <c r="F12">
        <v>7160</v>
      </c>
      <c r="G12">
        <v>0</v>
      </c>
      <c r="H12">
        <v>5.49</v>
      </c>
      <c r="I12">
        <v>13066</v>
      </c>
      <c r="J12">
        <v>11340</v>
      </c>
      <c r="K12">
        <v>10849</v>
      </c>
      <c r="L12">
        <v>-82.48</v>
      </c>
      <c r="M12">
        <v>-58.38</v>
      </c>
      <c r="N12">
        <v>-51.53</v>
      </c>
      <c r="O12">
        <v>10.17</v>
      </c>
      <c r="P12" t="b">
        <v>1</v>
      </c>
      <c r="Q12">
        <v>0</v>
      </c>
      <c r="R12">
        <v>1020</v>
      </c>
      <c r="U12" t="s">
        <v>2121</v>
      </c>
      <c r="V12" t="s">
        <v>2985</v>
      </c>
      <c r="W12">
        <v>0</v>
      </c>
      <c r="X12">
        <v>19.399999999999999</v>
      </c>
      <c r="Y12" t="s">
        <v>3804</v>
      </c>
      <c r="Z12">
        <v>11.115730995948759</v>
      </c>
      <c r="AA12">
        <v>3972</v>
      </c>
      <c r="AB12">
        <v>323883</v>
      </c>
      <c r="AC12" t="s">
        <v>4640</v>
      </c>
      <c r="AD12">
        <v>62.45</v>
      </c>
      <c r="AE12" t="s">
        <v>5504</v>
      </c>
      <c r="AF12" t="s">
        <v>6339</v>
      </c>
      <c r="AG12">
        <v>1893</v>
      </c>
      <c r="AH12">
        <v>705</v>
      </c>
      <c r="AI12">
        <v>5075498</v>
      </c>
      <c r="AJ12">
        <v>6.16</v>
      </c>
    </row>
    <row r="13" spans="1:36">
      <c r="A13" s="1" t="s">
        <v>36</v>
      </c>
      <c r="B13" t="s">
        <v>900</v>
      </c>
      <c r="C13" t="str">
        <f>HYPERLINK("https://finance.naver.com/item/coinfo.nhn?code=095570", "A095570")</f>
        <v>A095570</v>
      </c>
      <c r="D13" t="str">
        <f>HYPERLINK("http://comp.fnguide.com/SVO2/ASP/SVD_Consensus.asp?pGB=1&amp;gicode=A095570&amp;cID=&amp;MenuYn=Y&amp;ReportGB=&amp;NewMenuID=108&amp;stkGb=701", "AJ네트웍스")</f>
        <v>AJ네트웍스</v>
      </c>
      <c r="E13">
        <v>3</v>
      </c>
      <c r="F13">
        <v>4550</v>
      </c>
      <c r="G13">
        <v>0</v>
      </c>
      <c r="H13">
        <v>5.0599999999999996</v>
      </c>
      <c r="I13">
        <v>7574</v>
      </c>
      <c r="J13">
        <v>7225</v>
      </c>
      <c r="K13">
        <v>7126</v>
      </c>
      <c r="L13">
        <v>-66.47</v>
      </c>
      <c r="M13">
        <v>-58.8</v>
      </c>
      <c r="N13">
        <v>-56.62</v>
      </c>
      <c r="O13">
        <v>8.6</v>
      </c>
      <c r="P13" t="b">
        <v>1</v>
      </c>
      <c r="Q13">
        <v>0</v>
      </c>
      <c r="R13">
        <v>982</v>
      </c>
      <c r="U13" t="s">
        <v>1764</v>
      </c>
      <c r="V13" t="s">
        <v>2628</v>
      </c>
      <c r="W13">
        <v>0</v>
      </c>
      <c r="X13">
        <v>0</v>
      </c>
      <c r="Y13" t="s">
        <v>3492</v>
      </c>
      <c r="Z13">
        <v>19.879178372567761</v>
      </c>
      <c r="AA13">
        <v>2130</v>
      </c>
      <c r="AB13">
        <v>88772</v>
      </c>
      <c r="AC13" t="s">
        <v>4283</v>
      </c>
      <c r="AD13">
        <v>72.180000000000007</v>
      </c>
      <c r="AE13" t="s">
        <v>5147</v>
      </c>
      <c r="AF13" t="s">
        <v>6011</v>
      </c>
      <c r="AG13">
        <v>12028</v>
      </c>
      <c r="AH13">
        <v>178</v>
      </c>
      <c r="AI13">
        <v>1284859</v>
      </c>
      <c r="AJ13">
        <v>6.04</v>
      </c>
    </row>
    <row r="14" spans="1:36">
      <c r="A14" s="1" t="s">
        <v>436</v>
      </c>
      <c r="B14" t="s">
        <v>1300</v>
      </c>
      <c r="C14" t="str">
        <f>HYPERLINK("https://finance.naver.com/item/coinfo.nhn?code=082640", "A082640")</f>
        <v>A082640</v>
      </c>
      <c r="D14" t="str">
        <f>HYPERLINK("http://comp.fnguide.com/SVO2/ASP/SVD_Consensus.asp?pGB=1&amp;gicode=A082640&amp;cID=&amp;MenuYn=Y&amp;ReportGB=&amp;NewMenuID=108&amp;stkGb=701", "동양생명")</f>
        <v>동양생명</v>
      </c>
      <c r="E14">
        <v>3</v>
      </c>
      <c r="F14">
        <v>3725</v>
      </c>
      <c r="G14">
        <v>0</v>
      </c>
      <c r="H14">
        <v>5.6</v>
      </c>
      <c r="I14">
        <v>9627</v>
      </c>
      <c r="J14">
        <v>13876</v>
      </c>
      <c r="K14">
        <v>15084</v>
      </c>
      <c r="L14">
        <v>-158.44</v>
      </c>
      <c r="M14">
        <v>-272.52</v>
      </c>
      <c r="N14">
        <v>-304.94</v>
      </c>
      <c r="O14">
        <v>4.58</v>
      </c>
      <c r="P14" t="b">
        <v>1</v>
      </c>
      <c r="Q14">
        <v>0</v>
      </c>
      <c r="R14">
        <v>714</v>
      </c>
      <c r="U14" t="s">
        <v>2164</v>
      </c>
      <c r="V14" t="s">
        <v>3028</v>
      </c>
      <c r="W14">
        <v>0</v>
      </c>
      <c r="X14">
        <v>5.0999999999999996</v>
      </c>
      <c r="Y14" t="s">
        <v>3844</v>
      </c>
      <c r="Z14">
        <v>4.4559531071242109</v>
      </c>
      <c r="AA14">
        <v>6011</v>
      </c>
      <c r="AB14">
        <v>323790</v>
      </c>
      <c r="AC14" t="s">
        <v>4683</v>
      </c>
      <c r="AD14">
        <v>75.37</v>
      </c>
      <c r="AE14" t="s">
        <v>5547</v>
      </c>
      <c r="AF14" t="s">
        <v>6380</v>
      </c>
      <c r="AG14">
        <v>45264</v>
      </c>
      <c r="AH14">
        <v>1142</v>
      </c>
      <c r="AI14">
        <v>5500000</v>
      </c>
      <c r="AJ14">
        <v>5.75</v>
      </c>
    </row>
    <row r="15" spans="1:36">
      <c r="A15" s="1" t="s">
        <v>598</v>
      </c>
      <c r="B15" t="s">
        <v>1462</v>
      </c>
      <c r="C15" t="str">
        <f>HYPERLINK("https://finance.naver.com/item/coinfo.nhn?code=024110", "A024110")</f>
        <v>A024110</v>
      </c>
      <c r="D15" t="str">
        <f>HYPERLINK("http://comp.fnguide.com/SVO2/ASP/SVD_Consensus.asp?pGB=1&amp;gicode=A024110&amp;cID=&amp;MenuYn=Y&amp;ReportGB=&amp;NewMenuID=108&amp;stkGb=701", "기업은행")</f>
        <v>기업은행</v>
      </c>
      <c r="E15">
        <v>3</v>
      </c>
      <c r="F15">
        <v>9450</v>
      </c>
      <c r="G15">
        <v>-0.79</v>
      </c>
      <c r="H15">
        <v>4.93</v>
      </c>
      <c r="I15">
        <v>30460</v>
      </c>
      <c r="J15">
        <v>30592</v>
      </c>
      <c r="K15">
        <v>30630</v>
      </c>
      <c r="L15">
        <v>-222.33</v>
      </c>
      <c r="M15">
        <v>-223.73</v>
      </c>
      <c r="N15">
        <v>-224.12</v>
      </c>
      <c r="O15">
        <v>7.88</v>
      </c>
      <c r="P15" t="b">
        <v>0</v>
      </c>
      <c r="Q15">
        <v>0</v>
      </c>
      <c r="R15">
        <v>2393</v>
      </c>
      <c r="S15">
        <v>1878</v>
      </c>
      <c r="T15">
        <v>-21.5</v>
      </c>
      <c r="U15" t="s">
        <v>2326</v>
      </c>
      <c r="V15" t="s">
        <v>3190</v>
      </c>
      <c r="W15">
        <v>-6.2733822105373038</v>
      </c>
      <c r="X15">
        <v>2.5</v>
      </c>
      <c r="Y15" t="s">
        <v>4000</v>
      </c>
      <c r="Z15">
        <v>2.85981313209418</v>
      </c>
      <c r="AA15">
        <v>69804</v>
      </c>
      <c r="AB15">
        <v>3301952</v>
      </c>
      <c r="AC15" t="s">
        <v>4845</v>
      </c>
      <c r="AD15">
        <v>63.47</v>
      </c>
      <c r="AE15" t="s">
        <v>5709</v>
      </c>
      <c r="AF15" t="s">
        <v>6538</v>
      </c>
      <c r="AG15">
        <v>94885</v>
      </c>
      <c r="AH15">
        <v>22279</v>
      </c>
      <c r="AI15">
        <v>2</v>
      </c>
      <c r="AJ15">
        <v>5.68</v>
      </c>
    </row>
    <row r="16" spans="1:36">
      <c r="A16" s="1" t="s">
        <v>269</v>
      </c>
      <c r="B16" t="s">
        <v>1133</v>
      </c>
      <c r="C16" t="str">
        <f>HYPERLINK("https://finance.naver.com/item/coinfo.nhn?code=190650", "A190650")</f>
        <v>A190650</v>
      </c>
      <c r="D16" t="str">
        <f>HYPERLINK("http://comp.fnguide.com/SVO2/ASP/SVD_Consensus.asp?pGB=1&amp;gicode=A190650&amp;cID=&amp;MenuYn=Y&amp;ReportGB=&amp;NewMenuID=108&amp;stkGb=701", "코리아에셋투자증권")</f>
        <v>코리아에셋투자증권</v>
      </c>
      <c r="E16">
        <v>3</v>
      </c>
      <c r="F16">
        <v>7640</v>
      </c>
      <c r="G16">
        <v>0</v>
      </c>
      <c r="H16">
        <v>4.5</v>
      </c>
      <c r="I16">
        <v>15641</v>
      </c>
      <c r="J16">
        <v>12786</v>
      </c>
      <c r="K16">
        <v>11974</v>
      </c>
      <c r="L16">
        <v>-104.73</v>
      </c>
      <c r="M16">
        <v>-67.349999999999994</v>
      </c>
      <c r="N16">
        <v>-56.73</v>
      </c>
      <c r="O16">
        <v>11.4</v>
      </c>
      <c r="P16" t="b">
        <v>1</v>
      </c>
      <c r="Q16">
        <v>0</v>
      </c>
      <c r="R16">
        <v>1207</v>
      </c>
      <c r="U16" t="s">
        <v>1997</v>
      </c>
      <c r="V16" t="s">
        <v>2861</v>
      </c>
      <c r="W16">
        <v>0</v>
      </c>
      <c r="X16">
        <v>17.399999999999999</v>
      </c>
      <c r="Y16" t="s">
        <v>3703</v>
      </c>
      <c r="Z16">
        <v>13.29630875068155</v>
      </c>
      <c r="AA16">
        <v>488</v>
      </c>
      <c r="AB16">
        <v>23218</v>
      </c>
      <c r="AC16" t="s">
        <v>4516</v>
      </c>
      <c r="AD16">
        <v>51.42</v>
      </c>
      <c r="AE16" t="s">
        <v>5380</v>
      </c>
      <c r="AF16" t="s">
        <v>6233</v>
      </c>
      <c r="AG16">
        <v>560</v>
      </c>
      <c r="AH16">
        <v>94</v>
      </c>
      <c r="AJ16">
        <v>5.52</v>
      </c>
    </row>
    <row r="17" spans="1:36">
      <c r="A17" s="1" t="s">
        <v>618</v>
      </c>
      <c r="B17" t="s">
        <v>1482</v>
      </c>
      <c r="C17" t="str">
        <f>HYPERLINK("https://finance.naver.com/item/coinfo.nhn?code=025530", "A025530")</f>
        <v>A025530</v>
      </c>
      <c r="D17" t="str">
        <f>HYPERLINK("http://comp.fnguide.com/SVO2/ASP/SVD_Consensus.asp?pGB=1&amp;gicode=A025530&amp;cID=&amp;MenuYn=Y&amp;ReportGB=&amp;NewMenuID=108&amp;stkGb=701", "SJM홀딩스")</f>
        <v>SJM홀딩스</v>
      </c>
      <c r="E17">
        <v>3</v>
      </c>
      <c r="F17">
        <v>3010</v>
      </c>
      <c r="G17">
        <v>0</v>
      </c>
      <c r="H17">
        <v>9.82</v>
      </c>
      <c r="I17">
        <v>5867</v>
      </c>
      <c r="J17">
        <v>9010</v>
      </c>
      <c r="K17">
        <v>9903</v>
      </c>
      <c r="L17">
        <v>-94.9</v>
      </c>
      <c r="M17">
        <v>-199.33</v>
      </c>
      <c r="N17">
        <v>-229</v>
      </c>
      <c r="O17">
        <v>4.2</v>
      </c>
      <c r="P17" t="b">
        <v>1</v>
      </c>
      <c r="Q17">
        <v>0</v>
      </c>
      <c r="R17">
        <v>329</v>
      </c>
      <c r="U17" t="s">
        <v>2346</v>
      </c>
      <c r="V17" t="s">
        <v>3210</v>
      </c>
      <c r="W17">
        <v>0</v>
      </c>
      <c r="X17">
        <v>-37.200000000000003</v>
      </c>
      <c r="Y17" t="s">
        <v>4020</v>
      </c>
      <c r="Z17">
        <v>-22.627422280839721</v>
      </c>
      <c r="AA17">
        <v>450</v>
      </c>
      <c r="AB17">
        <v>13356</v>
      </c>
      <c r="AC17" t="s">
        <v>4865</v>
      </c>
      <c r="AD17">
        <v>63.91</v>
      </c>
      <c r="AE17" t="s">
        <v>5729</v>
      </c>
      <c r="AF17" t="s">
        <v>6558</v>
      </c>
      <c r="AG17">
        <v>1608</v>
      </c>
      <c r="AH17">
        <v>63</v>
      </c>
      <c r="AI17">
        <v>1382017</v>
      </c>
      <c r="AJ17">
        <v>5.41</v>
      </c>
    </row>
    <row r="18" spans="1:36">
      <c r="A18" s="1" t="s">
        <v>733</v>
      </c>
      <c r="B18" t="s">
        <v>1597</v>
      </c>
      <c r="C18" t="str">
        <f>HYPERLINK("https://finance.naver.com/item/coinfo.nhn?code=123890", "A123890")</f>
        <v>A123890</v>
      </c>
      <c r="D18" t="str">
        <f>HYPERLINK("http://comp.fnguide.com/SVO2/ASP/SVD_Consensus.asp?pGB=1&amp;gicode=A123890&amp;cID=&amp;MenuYn=Y&amp;ReportGB=&amp;NewMenuID=108&amp;stkGb=701", "한국자산신탁")</f>
        <v>한국자산신탁</v>
      </c>
      <c r="E18">
        <v>3</v>
      </c>
      <c r="F18">
        <v>4240</v>
      </c>
      <c r="G18">
        <v>-6.65</v>
      </c>
      <c r="H18">
        <v>4.66</v>
      </c>
      <c r="I18">
        <v>12151</v>
      </c>
      <c r="J18">
        <v>8095</v>
      </c>
      <c r="K18">
        <v>6942</v>
      </c>
      <c r="L18">
        <v>-186.58</v>
      </c>
      <c r="M18">
        <v>-90.92</v>
      </c>
      <c r="N18">
        <v>-63.74</v>
      </c>
      <c r="O18">
        <v>17.829999999999998</v>
      </c>
      <c r="P18" t="b">
        <v>1</v>
      </c>
      <c r="Q18">
        <v>1</v>
      </c>
      <c r="R18">
        <v>723</v>
      </c>
      <c r="S18">
        <v>993</v>
      </c>
      <c r="T18">
        <v>37.299999999999997</v>
      </c>
      <c r="U18" t="s">
        <v>2461</v>
      </c>
      <c r="V18" t="s">
        <v>3325</v>
      </c>
      <c r="W18">
        <v>-0.70088001815672429</v>
      </c>
      <c r="Y18" t="s">
        <v>3605</v>
      </c>
      <c r="Z18">
        <v>-4.6603363274600351</v>
      </c>
      <c r="AA18">
        <v>5257</v>
      </c>
      <c r="AB18">
        <v>436744</v>
      </c>
      <c r="AC18" t="s">
        <v>4980</v>
      </c>
      <c r="AD18">
        <v>53.62</v>
      </c>
      <c r="AE18" t="s">
        <v>5844</v>
      </c>
      <c r="AF18" t="s">
        <v>6660</v>
      </c>
      <c r="AG18">
        <v>2233</v>
      </c>
      <c r="AH18">
        <v>1141</v>
      </c>
      <c r="AI18">
        <v>1610697</v>
      </c>
      <c r="AJ18">
        <v>5.4</v>
      </c>
    </row>
    <row r="19" spans="1:36">
      <c r="A19" s="1" t="s">
        <v>175</v>
      </c>
      <c r="B19" t="s">
        <v>1039</v>
      </c>
      <c r="C19" t="str">
        <f>HYPERLINK("https://finance.naver.com/item/coinfo.nhn?code=003300", "A003300")</f>
        <v>A003300</v>
      </c>
      <c r="D19" t="str">
        <f>HYPERLINK("http://comp.fnguide.com/SVO2/ASP/SVD_Consensus.asp?pGB=1&amp;gicode=A003300&amp;cID=&amp;MenuYn=Y&amp;ReportGB=&amp;NewMenuID=108&amp;stkGb=701", "한일홀딩스")</f>
        <v>한일홀딩스</v>
      </c>
      <c r="E19">
        <v>3</v>
      </c>
      <c r="F19">
        <v>11400</v>
      </c>
      <c r="G19">
        <v>0</v>
      </c>
      <c r="H19">
        <v>19.059999999999999</v>
      </c>
      <c r="I19">
        <v>64685</v>
      </c>
      <c r="J19">
        <v>46667</v>
      </c>
      <c r="K19">
        <v>41546</v>
      </c>
      <c r="L19">
        <v>-467.41</v>
      </c>
      <c r="M19">
        <v>-309.36</v>
      </c>
      <c r="N19">
        <v>-264.44</v>
      </c>
      <c r="O19">
        <v>14.79</v>
      </c>
      <c r="P19" t="b">
        <v>1</v>
      </c>
      <c r="Q19">
        <v>0</v>
      </c>
      <c r="R19">
        <v>461</v>
      </c>
      <c r="U19" t="s">
        <v>1903</v>
      </c>
      <c r="V19" t="s">
        <v>2767</v>
      </c>
      <c r="W19">
        <v>0</v>
      </c>
      <c r="X19">
        <v>113.1</v>
      </c>
      <c r="Y19" t="s">
        <v>3619</v>
      </c>
      <c r="Z19">
        <v>-8.7774041950950732</v>
      </c>
      <c r="AA19">
        <v>3285</v>
      </c>
      <c r="AB19">
        <v>57166</v>
      </c>
      <c r="AC19" t="s">
        <v>4422</v>
      </c>
      <c r="AD19">
        <v>68.739999999999995</v>
      </c>
      <c r="AE19" t="s">
        <v>5286</v>
      </c>
      <c r="AF19" t="s">
        <v>6143</v>
      </c>
      <c r="AG19">
        <v>16518</v>
      </c>
      <c r="AH19">
        <v>836</v>
      </c>
      <c r="AI19">
        <v>0</v>
      </c>
      <c r="AJ19">
        <v>5.24</v>
      </c>
    </row>
    <row r="20" spans="1:36">
      <c r="A20" s="1" t="s">
        <v>670</v>
      </c>
      <c r="B20" t="s">
        <v>1534</v>
      </c>
      <c r="C20" t="str">
        <f>HYPERLINK("https://finance.naver.com/item/coinfo.nhn?code=033660", "A033660")</f>
        <v>A033660</v>
      </c>
      <c r="D20" t="str">
        <f>HYPERLINK("http://comp.fnguide.com/SVO2/ASP/SVD_Consensus.asp?pGB=1&amp;gicode=A033660&amp;cID=&amp;MenuYn=Y&amp;ReportGB=&amp;NewMenuID=108&amp;stkGb=701", "아주캐피탈")</f>
        <v>아주캐피탈</v>
      </c>
      <c r="E20">
        <v>3</v>
      </c>
      <c r="F20">
        <v>12850</v>
      </c>
      <c r="G20">
        <v>0.23</v>
      </c>
      <c r="H20">
        <v>7.05</v>
      </c>
      <c r="I20">
        <v>21910</v>
      </c>
      <c r="J20">
        <v>17555</v>
      </c>
      <c r="K20">
        <v>16318</v>
      </c>
      <c r="L20">
        <v>-70.5</v>
      </c>
      <c r="M20">
        <v>-36.619999999999997</v>
      </c>
      <c r="N20">
        <v>-26.99</v>
      </c>
      <c r="O20">
        <v>11.86</v>
      </c>
      <c r="P20" t="b">
        <v>1</v>
      </c>
      <c r="Q20">
        <v>3</v>
      </c>
      <c r="R20">
        <v>1765</v>
      </c>
      <c r="S20">
        <v>1998</v>
      </c>
      <c r="T20">
        <v>13.2</v>
      </c>
      <c r="U20" t="s">
        <v>2398</v>
      </c>
      <c r="V20" t="s">
        <v>3262</v>
      </c>
      <c r="W20">
        <v>30.24672450725792</v>
      </c>
      <c r="Y20" t="s">
        <v>3605</v>
      </c>
      <c r="Z20">
        <v>5.3230441831680464</v>
      </c>
      <c r="AA20">
        <v>7395</v>
      </c>
      <c r="AB20">
        <v>65690</v>
      </c>
      <c r="AC20" t="s">
        <v>4917</v>
      </c>
      <c r="AD20">
        <v>74.05</v>
      </c>
      <c r="AE20" t="s">
        <v>5781</v>
      </c>
      <c r="AF20" t="s">
        <v>6605</v>
      </c>
      <c r="AG20">
        <v>2293</v>
      </c>
      <c r="AH20">
        <v>1338</v>
      </c>
      <c r="AI20">
        <v>2067090</v>
      </c>
      <c r="AJ20">
        <v>5.22</v>
      </c>
    </row>
    <row r="21" spans="1:36">
      <c r="A21" s="1" t="s">
        <v>595</v>
      </c>
      <c r="B21" t="s">
        <v>1459</v>
      </c>
      <c r="C21" t="str">
        <f>HYPERLINK("https://finance.naver.com/item/coinfo.nhn?code=092440", "A092440")</f>
        <v>A092440</v>
      </c>
      <c r="D21" t="str">
        <f>HYPERLINK("http://comp.fnguide.com/SVO2/ASP/SVD_Consensus.asp?pGB=1&amp;gicode=A092440&amp;cID=&amp;MenuYn=Y&amp;ReportGB=&amp;NewMenuID=108&amp;stkGb=701", "기신정기")</f>
        <v>기신정기</v>
      </c>
      <c r="E21">
        <v>3</v>
      </c>
      <c r="F21">
        <v>3525</v>
      </c>
      <c r="G21">
        <v>0</v>
      </c>
      <c r="H21">
        <v>9.66</v>
      </c>
      <c r="I21">
        <v>4803</v>
      </c>
      <c r="J21">
        <v>6801</v>
      </c>
      <c r="K21">
        <v>7369</v>
      </c>
      <c r="L21">
        <v>-36.270000000000003</v>
      </c>
      <c r="M21">
        <v>-92.93</v>
      </c>
      <c r="N21">
        <v>-109.04</v>
      </c>
      <c r="O21">
        <v>4.7</v>
      </c>
      <c r="P21" t="b">
        <v>1</v>
      </c>
      <c r="Q21">
        <v>0</v>
      </c>
      <c r="R21">
        <v>298</v>
      </c>
      <c r="U21" t="s">
        <v>2323</v>
      </c>
      <c r="V21" t="s">
        <v>3187</v>
      </c>
      <c r="W21">
        <v>0</v>
      </c>
      <c r="X21">
        <v>-29.5</v>
      </c>
      <c r="Y21" t="s">
        <v>3997</v>
      </c>
      <c r="Z21">
        <v>-3.5182346607127162</v>
      </c>
      <c r="AA21">
        <v>1029</v>
      </c>
      <c r="AB21">
        <v>46285</v>
      </c>
      <c r="AC21" t="s">
        <v>4842</v>
      </c>
      <c r="AD21">
        <v>71.95</v>
      </c>
      <c r="AE21" t="s">
        <v>5706</v>
      </c>
      <c r="AF21" t="s">
        <v>6535</v>
      </c>
      <c r="AG21">
        <v>1246</v>
      </c>
      <c r="AH21">
        <v>93</v>
      </c>
      <c r="AJ21">
        <v>5.22</v>
      </c>
    </row>
    <row r="22" spans="1:36">
      <c r="A22" s="1" t="s">
        <v>287</v>
      </c>
      <c r="B22" t="s">
        <v>1151</v>
      </c>
      <c r="C22" t="str">
        <f>HYPERLINK("https://finance.naver.com/item/coinfo.nhn?code=046110", "A046110")</f>
        <v>A046110</v>
      </c>
      <c r="D22" t="str">
        <f>HYPERLINK("http://comp.fnguide.com/SVO2/ASP/SVD_Consensus.asp?pGB=1&amp;gicode=A046110&amp;cID=&amp;MenuYn=Y&amp;ReportGB=&amp;NewMenuID=108&amp;stkGb=701", "한일네트웍스")</f>
        <v>한일네트웍스</v>
      </c>
      <c r="E22">
        <v>3</v>
      </c>
      <c r="F22">
        <v>5060</v>
      </c>
      <c r="G22">
        <v>0</v>
      </c>
      <c r="H22">
        <v>7.53</v>
      </c>
      <c r="I22">
        <v>9712</v>
      </c>
      <c r="J22">
        <v>7261</v>
      </c>
      <c r="K22">
        <v>6564</v>
      </c>
      <c r="L22">
        <v>-91.93</v>
      </c>
      <c r="M22">
        <v>-43.49</v>
      </c>
      <c r="N22">
        <v>-29.73</v>
      </c>
      <c r="O22">
        <v>13.68</v>
      </c>
      <c r="P22" t="b">
        <v>1</v>
      </c>
      <c r="Q22">
        <v>0</v>
      </c>
      <c r="R22">
        <v>589</v>
      </c>
      <c r="U22" t="s">
        <v>2015</v>
      </c>
      <c r="V22" t="s">
        <v>2879</v>
      </c>
      <c r="W22">
        <v>0</v>
      </c>
      <c r="X22">
        <v>13.6</v>
      </c>
      <c r="Y22" t="s">
        <v>3719</v>
      </c>
      <c r="Z22">
        <v>28.70544131727133</v>
      </c>
      <c r="AA22">
        <v>605</v>
      </c>
      <c r="AB22">
        <v>61402</v>
      </c>
      <c r="AC22" t="s">
        <v>4534</v>
      </c>
      <c r="AD22">
        <v>50.1</v>
      </c>
      <c r="AE22" t="s">
        <v>5398</v>
      </c>
      <c r="AF22" t="s">
        <v>6250</v>
      </c>
      <c r="AG22">
        <v>1216</v>
      </c>
      <c r="AH22">
        <v>87</v>
      </c>
      <c r="AJ22">
        <v>5.19</v>
      </c>
    </row>
    <row r="23" spans="1:36">
      <c r="A23" s="1" t="s">
        <v>829</v>
      </c>
      <c r="B23" t="s">
        <v>1693</v>
      </c>
      <c r="C23" t="str">
        <f>HYPERLINK("https://finance.naver.com/item/coinfo.nhn?code=065710", "A065710")</f>
        <v>A065710</v>
      </c>
      <c r="D23" t="str">
        <f>HYPERLINK("http://comp.fnguide.com/SVO2/ASP/SVD_Consensus.asp?pGB=1&amp;gicode=A065710&amp;cID=&amp;MenuYn=Y&amp;ReportGB=&amp;NewMenuID=108&amp;stkGb=701", "서호전기")</f>
        <v>서호전기</v>
      </c>
      <c r="E23">
        <v>1</v>
      </c>
      <c r="F23">
        <v>22000</v>
      </c>
      <c r="G23">
        <v>0</v>
      </c>
      <c r="H23">
        <v>7.87</v>
      </c>
      <c r="I23">
        <v>29082</v>
      </c>
      <c r="J23">
        <v>20338</v>
      </c>
      <c r="K23">
        <v>17854</v>
      </c>
      <c r="L23">
        <v>-32.19</v>
      </c>
      <c r="M23">
        <v>7.55</v>
      </c>
      <c r="N23">
        <v>18.850000000000001</v>
      </c>
      <c r="O23">
        <v>15.87</v>
      </c>
      <c r="P23" t="b">
        <v>1</v>
      </c>
      <c r="Q23">
        <v>0</v>
      </c>
      <c r="R23">
        <v>2973</v>
      </c>
      <c r="U23" t="s">
        <v>2557</v>
      </c>
      <c r="V23" t="s">
        <v>3421</v>
      </c>
      <c r="W23">
        <v>0</v>
      </c>
      <c r="X23">
        <v>-53.1</v>
      </c>
      <c r="Y23" t="s">
        <v>4215</v>
      </c>
      <c r="Z23">
        <v>19.817472365224241</v>
      </c>
      <c r="AA23">
        <v>1133</v>
      </c>
      <c r="AB23">
        <v>13536</v>
      </c>
      <c r="AC23" t="s">
        <v>5076</v>
      </c>
      <c r="AD23">
        <v>58.01</v>
      </c>
      <c r="AE23" t="s">
        <v>5940</v>
      </c>
      <c r="AF23" t="s">
        <v>6748</v>
      </c>
      <c r="AG23">
        <v>649</v>
      </c>
      <c r="AH23">
        <v>122</v>
      </c>
      <c r="AI23">
        <v>9078</v>
      </c>
      <c r="AJ23">
        <v>5.13</v>
      </c>
    </row>
    <row r="24" spans="1:36">
      <c r="A24" s="1" t="s">
        <v>505</v>
      </c>
      <c r="B24" t="s">
        <v>1369</v>
      </c>
      <c r="C24" t="str">
        <f>HYPERLINK("https://finance.naver.com/item/coinfo.nhn?code=007340", "A007340")</f>
        <v>A007340</v>
      </c>
      <c r="D24" t="str">
        <f>HYPERLINK("http://comp.fnguide.com/SVO2/ASP/SVD_Consensus.asp?pGB=1&amp;gicode=A007340&amp;cID=&amp;MenuYn=Y&amp;ReportGB=&amp;NewMenuID=108&amp;stkGb=701", "디티알오토모티브")</f>
        <v>디티알오토모티브</v>
      </c>
      <c r="E24">
        <v>3</v>
      </c>
      <c r="F24">
        <v>26200</v>
      </c>
      <c r="G24">
        <v>0</v>
      </c>
      <c r="H24">
        <v>4.46</v>
      </c>
      <c r="I24">
        <v>93533</v>
      </c>
      <c r="J24">
        <v>79285</v>
      </c>
      <c r="K24">
        <v>75236</v>
      </c>
      <c r="L24">
        <v>-257</v>
      </c>
      <c r="M24">
        <v>-202.62</v>
      </c>
      <c r="N24">
        <v>-187.16</v>
      </c>
      <c r="O24">
        <v>10.63</v>
      </c>
      <c r="P24" t="b">
        <v>1</v>
      </c>
      <c r="Q24">
        <v>0</v>
      </c>
      <c r="R24">
        <v>6584</v>
      </c>
      <c r="U24" t="s">
        <v>2233</v>
      </c>
      <c r="V24" t="s">
        <v>3097</v>
      </c>
      <c r="W24">
        <v>0</v>
      </c>
      <c r="X24">
        <v>-27.4</v>
      </c>
      <c r="Y24" t="s">
        <v>3909</v>
      </c>
      <c r="Z24">
        <v>9.2982209112366654</v>
      </c>
      <c r="AA24">
        <v>2618</v>
      </c>
      <c r="AB24">
        <v>36707</v>
      </c>
      <c r="AC24" t="s">
        <v>4752</v>
      </c>
      <c r="AD24">
        <v>51.25</v>
      </c>
      <c r="AE24" t="s">
        <v>5616</v>
      </c>
      <c r="AF24" t="s">
        <v>6447</v>
      </c>
      <c r="AG24">
        <v>9298</v>
      </c>
      <c r="AH24">
        <v>802</v>
      </c>
      <c r="AI24">
        <v>1375880</v>
      </c>
      <c r="AJ24">
        <v>5.1100000000000003</v>
      </c>
    </row>
    <row r="25" spans="1:36">
      <c r="A25" s="1" t="s">
        <v>47</v>
      </c>
      <c r="B25" t="s">
        <v>911</v>
      </c>
      <c r="C25" t="str">
        <f>HYPERLINK("https://finance.naver.com/item/coinfo.nhn?code=038390", "A038390")</f>
        <v>A038390</v>
      </c>
      <c r="D25" t="str">
        <f>HYPERLINK("http://comp.fnguide.com/SVO2/ASP/SVD_Consensus.asp?pGB=1&amp;gicode=A038390&amp;cID=&amp;MenuYn=Y&amp;ReportGB=&amp;NewMenuID=108&amp;stkGb=701", "레드캡투어")</f>
        <v>레드캡투어</v>
      </c>
      <c r="E25">
        <v>3</v>
      </c>
      <c r="F25">
        <v>18800</v>
      </c>
      <c r="G25">
        <v>0</v>
      </c>
      <c r="H25">
        <v>6.05</v>
      </c>
      <c r="I25">
        <v>29276</v>
      </c>
      <c r="J25">
        <v>23931</v>
      </c>
      <c r="K25">
        <v>22413</v>
      </c>
      <c r="L25">
        <v>-55.72</v>
      </c>
      <c r="M25">
        <v>-27.29</v>
      </c>
      <c r="N25">
        <v>-19.22</v>
      </c>
      <c r="O25">
        <v>11.4</v>
      </c>
      <c r="P25" t="b">
        <v>0</v>
      </c>
      <c r="Q25">
        <v>0</v>
      </c>
      <c r="R25">
        <v>2589</v>
      </c>
      <c r="U25" t="s">
        <v>1775</v>
      </c>
      <c r="V25" t="s">
        <v>2639</v>
      </c>
      <c r="W25">
        <v>0</v>
      </c>
      <c r="X25">
        <v>-33</v>
      </c>
      <c r="Y25" t="s">
        <v>3502</v>
      </c>
      <c r="Z25">
        <v>1.4664023405123849</v>
      </c>
      <c r="AA25">
        <v>1615</v>
      </c>
      <c r="AB25">
        <v>27618</v>
      </c>
      <c r="AC25" t="s">
        <v>4294</v>
      </c>
      <c r="AD25">
        <v>74.58</v>
      </c>
      <c r="AE25" t="s">
        <v>5158</v>
      </c>
      <c r="AF25" t="s">
        <v>6022</v>
      </c>
      <c r="AG25">
        <v>2588</v>
      </c>
      <c r="AH25">
        <v>350</v>
      </c>
      <c r="AI25">
        <v>552500</v>
      </c>
      <c r="AJ25">
        <v>5.1100000000000003</v>
      </c>
    </row>
    <row r="26" spans="1:36">
      <c r="A26" s="1" t="s">
        <v>346</v>
      </c>
      <c r="B26" t="s">
        <v>1210</v>
      </c>
      <c r="C26" t="str">
        <f>HYPERLINK("https://finance.naver.com/item/coinfo.nhn?code=098660", "A098660")</f>
        <v>A098660</v>
      </c>
      <c r="D26" t="str">
        <f>HYPERLINK("http://comp.fnguide.com/SVO2/ASP/SVD_Consensus.asp?pGB=1&amp;gicode=A098660&amp;cID=&amp;MenuYn=Y&amp;ReportGB=&amp;NewMenuID=108&amp;stkGb=701", "에스티오")</f>
        <v>에스티오</v>
      </c>
      <c r="E26">
        <v>3</v>
      </c>
      <c r="F26">
        <v>2110</v>
      </c>
      <c r="G26">
        <v>0</v>
      </c>
      <c r="H26">
        <v>9.0500000000000007</v>
      </c>
      <c r="I26">
        <v>1750</v>
      </c>
      <c r="J26">
        <v>2437</v>
      </c>
      <c r="K26">
        <v>2632</v>
      </c>
      <c r="L26">
        <v>17.059999999999999</v>
      </c>
      <c r="M26">
        <v>-15.5</v>
      </c>
      <c r="N26">
        <v>-24.76</v>
      </c>
      <c r="O26">
        <v>4.8</v>
      </c>
      <c r="P26" t="b">
        <v>1</v>
      </c>
      <c r="Q26">
        <v>0</v>
      </c>
      <c r="R26">
        <v>262</v>
      </c>
      <c r="U26" t="s">
        <v>2074</v>
      </c>
      <c r="V26" t="s">
        <v>2938</v>
      </c>
      <c r="W26">
        <v>0</v>
      </c>
      <c r="X26">
        <v>0</v>
      </c>
      <c r="Y26" t="s">
        <v>3766</v>
      </c>
      <c r="Z26">
        <v>-27.899999999999991</v>
      </c>
      <c r="AA26">
        <v>264</v>
      </c>
      <c r="AB26">
        <v>23421</v>
      </c>
      <c r="AC26" t="s">
        <v>4593</v>
      </c>
      <c r="AD26">
        <v>67.75</v>
      </c>
      <c r="AE26" t="s">
        <v>5457</v>
      </c>
      <c r="AF26" t="s">
        <v>6300</v>
      </c>
      <c r="AG26">
        <v>851</v>
      </c>
      <c r="AH26">
        <v>54</v>
      </c>
      <c r="AI26">
        <v>363728</v>
      </c>
      <c r="AJ26">
        <v>5.0599999999999996</v>
      </c>
    </row>
    <row r="27" spans="1:36">
      <c r="A27" s="1" t="s">
        <v>795</v>
      </c>
      <c r="B27" t="s">
        <v>1659</v>
      </c>
      <c r="C27" t="str">
        <f>HYPERLINK("https://finance.naver.com/item/coinfo.nhn?code=051600", "A051600")</f>
        <v>A051600</v>
      </c>
      <c r="D27" t="str">
        <f>HYPERLINK("http://comp.fnguide.com/SVO2/ASP/SVD_Consensus.asp?pGB=1&amp;gicode=A051600&amp;cID=&amp;MenuYn=Y&amp;ReportGB=&amp;NewMenuID=108&amp;stkGb=701", "한전KPS")</f>
        <v>한전KPS</v>
      </c>
      <c r="E27">
        <v>2</v>
      </c>
      <c r="F27">
        <v>30650</v>
      </c>
      <c r="G27">
        <v>-2.5</v>
      </c>
      <c r="H27">
        <v>11.49</v>
      </c>
      <c r="I27">
        <v>47193</v>
      </c>
      <c r="J27">
        <v>33016</v>
      </c>
      <c r="K27">
        <v>28988</v>
      </c>
      <c r="L27">
        <v>-53.97</v>
      </c>
      <c r="M27">
        <v>-7.72</v>
      </c>
      <c r="N27">
        <v>5.42</v>
      </c>
      <c r="O27">
        <v>15.86</v>
      </c>
      <c r="P27" t="b">
        <v>0</v>
      </c>
      <c r="Q27">
        <v>0</v>
      </c>
      <c r="R27">
        <v>3407</v>
      </c>
      <c r="S27">
        <v>2622</v>
      </c>
      <c r="T27">
        <v>-23</v>
      </c>
      <c r="U27" t="s">
        <v>2523</v>
      </c>
      <c r="V27" t="s">
        <v>3387</v>
      </c>
      <c r="W27">
        <v>-4.5985410141571537</v>
      </c>
      <c r="X27">
        <v>-31.8</v>
      </c>
      <c r="Y27" t="s">
        <v>4181</v>
      </c>
      <c r="Z27">
        <v>-9.2745030949948237</v>
      </c>
      <c r="AA27">
        <v>13793</v>
      </c>
      <c r="AB27">
        <v>407242</v>
      </c>
      <c r="AC27" t="s">
        <v>5042</v>
      </c>
      <c r="AD27">
        <v>51</v>
      </c>
      <c r="AE27" t="s">
        <v>5906</v>
      </c>
      <c r="AF27" t="s">
        <v>6715</v>
      </c>
      <c r="AG27">
        <v>12469</v>
      </c>
      <c r="AH27">
        <v>1939</v>
      </c>
      <c r="AJ27">
        <v>4.9000000000000004</v>
      </c>
    </row>
    <row r="28" spans="1:36">
      <c r="A28" s="1" t="s">
        <v>536</v>
      </c>
      <c r="B28" t="s">
        <v>1400</v>
      </c>
      <c r="C28" t="str">
        <f>HYPERLINK("https://finance.naver.com/item/coinfo.nhn?code=092230", "A092230")</f>
        <v>A092230</v>
      </c>
      <c r="D28" t="str">
        <f>HYPERLINK("http://comp.fnguide.com/SVO2/ASP/SVD_Consensus.asp?pGB=1&amp;gicode=A092230&amp;cID=&amp;MenuYn=Y&amp;ReportGB=&amp;NewMenuID=108&amp;stkGb=701", "KPX홀딩스")</f>
        <v>KPX홀딩스</v>
      </c>
      <c r="E28">
        <v>3</v>
      </c>
      <c r="F28">
        <v>63400</v>
      </c>
      <c r="G28">
        <v>0</v>
      </c>
      <c r="H28">
        <v>6.69</v>
      </c>
      <c r="I28">
        <v>79906</v>
      </c>
      <c r="J28">
        <v>124821</v>
      </c>
      <c r="K28">
        <v>137585</v>
      </c>
      <c r="L28">
        <v>-26.03</v>
      </c>
      <c r="M28">
        <v>-96.88</v>
      </c>
      <c r="N28">
        <v>-117.01</v>
      </c>
      <c r="O28">
        <v>4.0999999999999996</v>
      </c>
      <c r="P28" t="b">
        <v>1</v>
      </c>
      <c r="Q28">
        <v>0</v>
      </c>
      <c r="R28">
        <v>8130</v>
      </c>
      <c r="U28" t="s">
        <v>2264</v>
      </c>
      <c r="V28" t="s">
        <v>3128</v>
      </c>
      <c r="W28">
        <v>0</v>
      </c>
      <c r="X28">
        <v>94.9</v>
      </c>
      <c r="Y28" t="s">
        <v>3938</v>
      </c>
      <c r="Z28">
        <v>14.44944727546844</v>
      </c>
      <c r="AA28">
        <v>2678</v>
      </c>
      <c r="AB28">
        <v>18427</v>
      </c>
      <c r="AC28" t="s">
        <v>4783</v>
      </c>
      <c r="AD28">
        <v>77.17</v>
      </c>
      <c r="AE28" t="s">
        <v>5647</v>
      </c>
      <c r="AF28" t="s">
        <v>6476</v>
      </c>
      <c r="AG28">
        <v>10103</v>
      </c>
      <c r="AH28">
        <v>643</v>
      </c>
      <c r="AI28">
        <v>138750</v>
      </c>
      <c r="AJ28">
        <v>4.78</v>
      </c>
    </row>
    <row r="29" spans="1:36">
      <c r="A29" s="1" t="s">
        <v>462</v>
      </c>
      <c r="B29" t="s">
        <v>1326</v>
      </c>
      <c r="C29" t="str">
        <f>HYPERLINK("https://finance.naver.com/item/coinfo.nhn?code=117580", "A117580")</f>
        <v>A117580</v>
      </c>
      <c r="D29" t="str">
        <f>HYPERLINK("http://comp.fnguide.com/SVO2/ASP/SVD_Consensus.asp?pGB=1&amp;gicode=A117580&amp;cID=&amp;MenuYn=Y&amp;ReportGB=&amp;NewMenuID=108&amp;stkGb=701", "대성에너지")</f>
        <v>대성에너지</v>
      </c>
      <c r="E29">
        <v>3</v>
      </c>
      <c r="F29">
        <v>5500</v>
      </c>
      <c r="G29">
        <v>0</v>
      </c>
      <c r="H29">
        <v>11.06</v>
      </c>
      <c r="I29">
        <v>6179</v>
      </c>
      <c r="J29">
        <v>9167</v>
      </c>
      <c r="K29">
        <v>10016</v>
      </c>
      <c r="L29">
        <v>-12.34</v>
      </c>
      <c r="M29">
        <v>-66.67</v>
      </c>
      <c r="N29">
        <v>-82.11</v>
      </c>
      <c r="O29">
        <v>4.4000000000000004</v>
      </c>
      <c r="P29" t="b">
        <v>0</v>
      </c>
      <c r="Q29">
        <v>0</v>
      </c>
      <c r="R29">
        <v>474</v>
      </c>
      <c r="U29" t="s">
        <v>2190</v>
      </c>
      <c r="V29" t="s">
        <v>3054</v>
      </c>
      <c r="W29">
        <v>0</v>
      </c>
      <c r="X29">
        <v>24.5</v>
      </c>
      <c r="Y29" t="s">
        <v>3868</v>
      </c>
      <c r="Z29">
        <v>3.40648756630002</v>
      </c>
      <c r="AA29">
        <v>1513</v>
      </c>
      <c r="AB29">
        <v>32000</v>
      </c>
      <c r="AC29" t="s">
        <v>4709</v>
      </c>
      <c r="AD29">
        <v>72.73</v>
      </c>
      <c r="AE29" t="s">
        <v>5573</v>
      </c>
      <c r="AF29" t="s">
        <v>6405</v>
      </c>
      <c r="AG29">
        <v>7749</v>
      </c>
      <c r="AH29">
        <v>243</v>
      </c>
      <c r="AJ29">
        <v>4.7699999999999996</v>
      </c>
    </row>
    <row r="30" spans="1:36">
      <c r="A30" s="1" t="s">
        <v>815</v>
      </c>
      <c r="B30" t="s">
        <v>1679</v>
      </c>
      <c r="C30" t="str">
        <f>HYPERLINK("https://finance.naver.com/item/coinfo.nhn?code=272550", "A272550")</f>
        <v>A272550</v>
      </c>
      <c r="D30" t="str">
        <f>HYPERLINK("http://comp.fnguide.com/SVO2/ASP/SVD_Consensus.asp?pGB=1&amp;gicode=A272550&amp;cID=&amp;MenuYn=Y&amp;ReportGB=&amp;NewMenuID=108&amp;stkGb=701", "삼양패키징")</f>
        <v>삼양패키징</v>
      </c>
      <c r="E30">
        <v>2</v>
      </c>
      <c r="F30">
        <v>21700</v>
      </c>
      <c r="G30">
        <v>0</v>
      </c>
      <c r="H30">
        <v>7.88</v>
      </c>
      <c r="I30">
        <v>25231</v>
      </c>
      <c r="J30">
        <v>22169</v>
      </c>
      <c r="K30">
        <v>21298</v>
      </c>
      <c r="L30">
        <v>-16.27</v>
      </c>
      <c r="M30">
        <v>-2.16</v>
      </c>
      <c r="N30">
        <v>1.85</v>
      </c>
      <c r="O30">
        <v>9.9499999999999993</v>
      </c>
      <c r="P30" t="b">
        <v>1</v>
      </c>
      <c r="Q30">
        <v>0</v>
      </c>
      <c r="R30">
        <v>1998</v>
      </c>
      <c r="U30" t="s">
        <v>2543</v>
      </c>
      <c r="V30" t="s">
        <v>3407</v>
      </c>
      <c r="W30">
        <v>0</v>
      </c>
      <c r="X30">
        <v>54.4</v>
      </c>
      <c r="Y30" t="s">
        <v>4201</v>
      </c>
      <c r="Z30">
        <v>30.721490388338221</v>
      </c>
      <c r="AA30">
        <v>3084</v>
      </c>
      <c r="AB30">
        <v>31906</v>
      </c>
      <c r="AC30" t="s">
        <v>5062</v>
      </c>
      <c r="AD30">
        <v>71.010000000000005</v>
      </c>
      <c r="AE30" t="s">
        <v>5926</v>
      </c>
      <c r="AF30" t="s">
        <v>6734</v>
      </c>
      <c r="AG30">
        <v>3754</v>
      </c>
      <c r="AH30">
        <v>416</v>
      </c>
      <c r="AJ30">
        <v>4.76</v>
      </c>
    </row>
    <row r="31" spans="1:36">
      <c r="A31" s="1" t="s">
        <v>520</v>
      </c>
      <c r="B31" t="s">
        <v>1384</v>
      </c>
      <c r="C31" t="str">
        <f>HYPERLINK("https://finance.naver.com/item/coinfo.nhn?code=000060", "A000060")</f>
        <v>A000060</v>
      </c>
      <c r="D31" t="str">
        <f>HYPERLINK("http://comp.fnguide.com/SVO2/ASP/SVD_Consensus.asp?pGB=1&amp;gicode=A000060&amp;cID=&amp;MenuYn=Y&amp;ReportGB=&amp;NewMenuID=108&amp;stkGb=701", "메리츠화재")</f>
        <v>메리츠화재</v>
      </c>
      <c r="E31">
        <v>3</v>
      </c>
      <c r="F31">
        <v>16450</v>
      </c>
      <c r="G31">
        <v>-6.06</v>
      </c>
      <c r="H31">
        <v>6.75</v>
      </c>
      <c r="I31">
        <v>36304</v>
      </c>
      <c r="J31">
        <v>26861</v>
      </c>
      <c r="K31">
        <v>24177</v>
      </c>
      <c r="L31">
        <v>-120.69</v>
      </c>
      <c r="M31">
        <v>-63.29</v>
      </c>
      <c r="N31">
        <v>-46.98</v>
      </c>
      <c r="O31">
        <v>13.99</v>
      </c>
      <c r="P31" t="b">
        <v>1</v>
      </c>
      <c r="Q31">
        <v>2</v>
      </c>
      <c r="R31">
        <v>2643</v>
      </c>
      <c r="S31">
        <v>3364</v>
      </c>
      <c r="T31">
        <v>27.3</v>
      </c>
      <c r="U31" t="s">
        <v>2248</v>
      </c>
      <c r="V31" t="s">
        <v>3112</v>
      </c>
      <c r="W31">
        <v>-1.113322198250122</v>
      </c>
      <c r="X31">
        <v>16.5</v>
      </c>
      <c r="Y31" t="s">
        <v>3923</v>
      </c>
      <c r="Z31">
        <v>15.65850051513527</v>
      </c>
      <c r="AA31">
        <v>19843</v>
      </c>
      <c r="AB31">
        <v>625185</v>
      </c>
      <c r="AC31" t="s">
        <v>4767</v>
      </c>
      <c r="AD31">
        <v>56.32</v>
      </c>
      <c r="AE31" t="s">
        <v>5631</v>
      </c>
      <c r="AF31" t="s">
        <v>6461</v>
      </c>
      <c r="AG31">
        <v>80830</v>
      </c>
      <c r="AH31">
        <v>3528</v>
      </c>
      <c r="AI31">
        <v>2600822</v>
      </c>
      <c r="AJ31">
        <v>4.76</v>
      </c>
    </row>
    <row r="32" spans="1:36">
      <c r="A32" s="1" t="s">
        <v>517</v>
      </c>
      <c r="B32" t="s">
        <v>1381</v>
      </c>
      <c r="C32" t="str">
        <f>HYPERLINK("https://finance.naver.com/item/coinfo.nhn?code=138040", "A138040")</f>
        <v>A138040</v>
      </c>
      <c r="D32" t="str">
        <f>HYPERLINK("http://comp.fnguide.com/SVO2/ASP/SVD_Consensus.asp?pGB=1&amp;gicode=A138040&amp;cID=&amp;MenuYn=Y&amp;ReportGB=&amp;NewMenuID=108&amp;stkGb=701", "메리츠금융지주")</f>
        <v>메리츠금융지주</v>
      </c>
      <c r="E32">
        <v>3</v>
      </c>
      <c r="F32">
        <v>10500</v>
      </c>
      <c r="G32">
        <v>0</v>
      </c>
      <c r="H32">
        <v>4.1500000000000004</v>
      </c>
      <c r="I32">
        <v>40728</v>
      </c>
      <c r="J32">
        <v>28787</v>
      </c>
      <c r="K32">
        <v>25393</v>
      </c>
      <c r="L32">
        <v>-287.89</v>
      </c>
      <c r="M32">
        <v>-174.16</v>
      </c>
      <c r="N32">
        <v>-141.84</v>
      </c>
      <c r="O32">
        <v>15.49</v>
      </c>
      <c r="P32" t="b">
        <v>1</v>
      </c>
      <c r="Q32">
        <v>0</v>
      </c>
      <c r="R32">
        <v>2841</v>
      </c>
      <c r="U32" t="s">
        <v>2245</v>
      </c>
      <c r="V32" t="s">
        <v>3109</v>
      </c>
      <c r="W32">
        <v>0</v>
      </c>
      <c r="X32">
        <v>4.8</v>
      </c>
      <c r="Y32" t="s">
        <v>3920</v>
      </c>
      <c r="Z32">
        <v>4.5394133651112778</v>
      </c>
      <c r="AA32">
        <v>14071</v>
      </c>
      <c r="AB32">
        <v>247697</v>
      </c>
      <c r="AC32" t="s">
        <v>4764</v>
      </c>
      <c r="AD32">
        <v>72.25</v>
      </c>
      <c r="AE32" t="s">
        <v>5628</v>
      </c>
      <c r="AF32" t="s">
        <v>6458</v>
      </c>
      <c r="AG32">
        <v>18316</v>
      </c>
      <c r="AH32">
        <v>9623</v>
      </c>
      <c r="AI32">
        <v>2385670</v>
      </c>
      <c r="AJ32">
        <v>4.66</v>
      </c>
    </row>
    <row r="33" spans="1:36">
      <c r="A33" s="1" t="s">
        <v>304</v>
      </c>
      <c r="B33" t="s">
        <v>1168</v>
      </c>
      <c r="C33" t="str">
        <f>HYPERLINK("https://finance.naver.com/item/coinfo.nhn?code=023760", "A023760")</f>
        <v>A023760</v>
      </c>
      <c r="D33" t="str">
        <f>HYPERLINK("http://comp.fnguide.com/SVO2/ASP/SVD_Consensus.asp?pGB=1&amp;gicode=A023760&amp;cID=&amp;MenuYn=Y&amp;ReportGB=&amp;NewMenuID=108&amp;stkGb=701", "한국캐피탈")</f>
        <v>한국캐피탈</v>
      </c>
      <c r="E33">
        <v>3</v>
      </c>
      <c r="F33">
        <v>597</v>
      </c>
      <c r="G33">
        <v>0</v>
      </c>
      <c r="H33">
        <v>4.9800000000000004</v>
      </c>
      <c r="I33">
        <v>786</v>
      </c>
      <c r="J33">
        <v>859</v>
      </c>
      <c r="K33">
        <v>880</v>
      </c>
      <c r="L33">
        <v>-31.68</v>
      </c>
      <c r="M33">
        <v>-43.89</v>
      </c>
      <c r="N33">
        <v>-47.36</v>
      </c>
      <c r="O33">
        <v>6.88</v>
      </c>
      <c r="P33" t="b">
        <v>1</v>
      </c>
      <c r="Q33">
        <v>0</v>
      </c>
      <c r="R33">
        <v>109</v>
      </c>
      <c r="U33" t="s">
        <v>2032</v>
      </c>
      <c r="V33" t="s">
        <v>2896</v>
      </c>
      <c r="W33">
        <v>0</v>
      </c>
      <c r="Y33" t="s">
        <v>3605</v>
      </c>
      <c r="Z33">
        <v>-5.3165201775832287</v>
      </c>
      <c r="AA33">
        <v>1884</v>
      </c>
      <c r="AB33">
        <v>352928</v>
      </c>
      <c r="AC33" t="s">
        <v>4551</v>
      </c>
      <c r="AD33">
        <v>80.41</v>
      </c>
      <c r="AE33" t="s">
        <v>5415</v>
      </c>
      <c r="AF33" t="s">
        <v>6266</v>
      </c>
      <c r="AG33">
        <v>564</v>
      </c>
      <c r="AH33">
        <v>269</v>
      </c>
      <c r="AI33">
        <v>3578001</v>
      </c>
      <c r="AJ33">
        <v>4.59</v>
      </c>
    </row>
    <row r="34" spans="1:36">
      <c r="A34" s="1" t="s">
        <v>535</v>
      </c>
      <c r="B34" t="s">
        <v>1399</v>
      </c>
      <c r="C34" t="str">
        <f>HYPERLINK("https://finance.naver.com/item/coinfo.nhn?code=025000", "A025000")</f>
        <v>A025000</v>
      </c>
      <c r="D34" t="str">
        <f>HYPERLINK("http://comp.fnguide.com/SVO2/ASP/SVD_Consensus.asp?pGB=1&amp;gicode=A025000&amp;cID=&amp;MenuYn=Y&amp;ReportGB=&amp;NewMenuID=108&amp;stkGb=701", "KPX케미칼")</f>
        <v>KPX케미칼</v>
      </c>
      <c r="E34">
        <v>3</v>
      </c>
      <c r="F34">
        <v>56800</v>
      </c>
      <c r="G34">
        <v>0.26</v>
      </c>
      <c r="H34">
        <v>6.6</v>
      </c>
      <c r="I34">
        <v>79038</v>
      </c>
      <c r="J34">
        <v>90496</v>
      </c>
      <c r="K34">
        <v>93752</v>
      </c>
      <c r="L34">
        <v>-39.15</v>
      </c>
      <c r="M34">
        <v>-59.32</v>
      </c>
      <c r="N34">
        <v>-65.06</v>
      </c>
      <c r="O34">
        <v>6.4</v>
      </c>
      <c r="P34" t="b">
        <v>1</v>
      </c>
      <c r="Q34">
        <v>2</v>
      </c>
      <c r="R34">
        <v>8420</v>
      </c>
      <c r="S34">
        <v>10816</v>
      </c>
      <c r="T34">
        <v>28.5</v>
      </c>
      <c r="U34" t="s">
        <v>2263</v>
      </c>
      <c r="V34" t="s">
        <v>3127</v>
      </c>
      <c r="W34">
        <v>25.47892039198614</v>
      </c>
      <c r="X34">
        <v>46</v>
      </c>
      <c r="Y34" t="s">
        <v>3937</v>
      </c>
      <c r="Z34">
        <v>11.996931325842869</v>
      </c>
      <c r="AA34">
        <v>2749</v>
      </c>
      <c r="AB34">
        <v>6511</v>
      </c>
      <c r="AC34" t="s">
        <v>4782</v>
      </c>
      <c r="AD34">
        <v>64.400000000000006</v>
      </c>
      <c r="AE34" t="s">
        <v>5646</v>
      </c>
      <c r="AF34" t="s">
        <v>6475</v>
      </c>
      <c r="AG34">
        <v>7657</v>
      </c>
      <c r="AH34">
        <v>484</v>
      </c>
      <c r="AI34">
        <v>84779</v>
      </c>
      <c r="AJ34">
        <v>4.5</v>
      </c>
    </row>
    <row r="35" spans="1:36">
      <c r="A35" s="1" t="s">
        <v>673</v>
      </c>
      <c r="B35" t="s">
        <v>1537</v>
      </c>
      <c r="C35" t="str">
        <f>HYPERLINK("https://finance.naver.com/item/coinfo.nhn?code=000480", "A000480")</f>
        <v>A000480</v>
      </c>
      <c r="D35" t="str">
        <f>HYPERLINK("http://comp.fnguide.com/SVO2/ASP/SVD_Consensus.asp?pGB=1&amp;gicode=A000480&amp;cID=&amp;MenuYn=Y&amp;ReportGB=&amp;NewMenuID=108&amp;stkGb=701", "조선내화")</f>
        <v>조선내화</v>
      </c>
      <c r="E35">
        <v>3</v>
      </c>
      <c r="F35">
        <v>86800</v>
      </c>
      <c r="G35">
        <v>0</v>
      </c>
      <c r="H35">
        <v>14.59</v>
      </c>
      <c r="I35">
        <v>129386</v>
      </c>
      <c r="J35">
        <v>162810</v>
      </c>
      <c r="K35">
        <v>172308</v>
      </c>
      <c r="L35">
        <v>-49.06</v>
      </c>
      <c r="M35">
        <v>-87.57</v>
      </c>
      <c r="N35">
        <v>-98.51</v>
      </c>
      <c r="O35">
        <v>5.55</v>
      </c>
      <c r="P35" t="b">
        <v>1</v>
      </c>
      <c r="Q35">
        <v>0</v>
      </c>
      <c r="R35">
        <v>6088</v>
      </c>
      <c r="U35" t="s">
        <v>2401</v>
      </c>
      <c r="V35" t="s">
        <v>3265</v>
      </c>
      <c r="W35">
        <v>0</v>
      </c>
      <c r="X35">
        <v>79.3</v>
      </c>
      <c r="Y35" t="s">
        <v>4068</v>
      </c>
      <c r="Z35">
        <v>22.851866526274531</v>
      </c>
      <c r="AA35">
        <v>3472</v>
      </c>
      <c r="AB35">
        <v>1105</v>
      </c>
      <c r="AC35" t="s">
        <v>4920</v>
      </c>
      <c r="AD35">
        <v>61.41</v>
      </c>
      <c r="AE35" t="s">
        <v>5784</v>
      </c>
      <c r="AF35" t="s">
        <v>6607</v>
      </c>
      <c r="AG35">
        <v>7572</v>
      </c>
      <c r="AH35">
        <v>213</v>
      </c>
      <c r="AI35">
        <v>800000</v>
      </c>
      <c r="AJ35">
        <v>4.5</v>
      </c>
    </row>
    <row r="36" spans="1:36">
      <c r="A36" s="1" t="s">
        <v>413</v>
      </c>
      <c r="B36" t="s">
        <v>1277</v>
      </c>
      <c r="C36" t="str">
        <f>HYPERLINK("https://finance.naver.com/item/coinfo.nhn?code=010470", "A010470")</f>
        <v>A010470</v>
      </c>
      <c r="D36" t="str">
        <f>HYPERLINK("http://comp.fnguide.com/SVO2/ASP/SVD_Consensus.asp?pGB=1&amp;gicode=A010470&amp;cID=&amp;MenuYn=Y&amp;ReportGB=&amp;NewMenuID=108&amp;stkGb=701", "오리콤")</f>
        <v>오리콤</v>
      </c>
      <c r="E36">
        <v>3</v>
      </c>
      <c r="F36">
        <v>5160</v>
      </c>
      <c r="G36">
        <v>0</v>
      </c>
      <c r="H36">
        <v>9.69</v>
      </c>
      <c r="I36">
        <v>7807</v>
      </c>
      <c r="J36">
        <v>7457</v>
      </c>
      <c r="K36">
        <v>7357</v>
      </c>
      <c r="L36">
        <v>-51.3</v>
      </c>
      <c r="M36">
        <v>-44.51</v>
      </c>
      <c r="N36">
        <v>-42.58</v>
      </c>
      <c r="O36">
        <v>8.58</v>
      </c>
      <c r="P36" t="b">
        <v>0</v>
      </c>
      <c r="Q36">
        <v>0</v>
      </c>
      <c r="R36">
        <v>515</v>
      </c>
      <c r="U36" t="s">
        <v>2141</v>
      </c>
      <c r="V36" t="s">
        <v>3005</v>
      </c>
      <c r="W36">
        <v>0</v>
      </c>
      <c r="X36">
        <v>0</v>
      </c>
      <c r="Y36" t="s">
        <v>3822</v>
      </c>
      <c r="Z36">
        <v>19.273062724207971</v>
      </c>
      <c r="AA36">
        <v>611</v>
      </c>
      <c r="AB36">
        <v>98363</v>
      </c>
      <c r="AC36" t="s">
        <v>4660</v>
      </c>
      <c r="AD36">
        <v>62.12</v>
      </c>
      <c r="AE36" t="s">
        <v>5524</v>
      </c>
      <c r="AF36" t="s">
        <v>6357</v>
      </c>
      <c r="AG36">
        <v>1985</v>
      </c>
      <c r="AH36">
        <v>80</v>
      </c>
      <c r="AI36">
        <v>370315</v>
      </c>
      <c r="AJ36">
        <v>4.41</v>
      </c>
    </row>
    <row r="37" spans="1:36">
      <c r="A37" s="1" t="s">
        <v>691</v>
      </c>
      <c r="B37" t="s">
        <v>1555</v>
      </c>
      <c r="C37" t="str">
        <f>HYPERLINK("https://finance.naver.com/item/coinfo.nhn?code=034590", "A034590")</f>
        <v>A034590</v>
      </c>
      <c r="D37" t="str">
        <f>HYPERLINK("http://comp.fnguide.com/SVO2/ASP/SVD_Consensus.asp?pGB=1&amp;gicode=A034590&amp;cID=&amp;MenuYn=Y&amp;ReportGB=&amp;NewMenuID=108&amp;stkGb=701", "인천도시가스")</f>
        <v>인천도시가스</v>
      </c>
      <c r="E37">
        <v>3</v>
      </c>
      <c r="F37">
        <v>26150</v>
      </c>
      <c r="G37">
        <v>0</v>
      </c>
      <c r="H37">
        <v>11.73</v>
      </c>
      <c r="I37">
        <v>41650</v>
      </c>
      <c r="J37">
        <v>43594</v>
      </c>
      <c r="K37">
        <v>44147</v>
      </c>
      <c r="L37">
        <v>-59.27</v>
      </c>
      <c r="M37">
        <v>-66.709999999999994</v>
      </c>
      <c r="N37">
        <v>-68.819999999999993</v>
      </c>
      <c r="O37">
        <v>7.37</v>
      </c>
      <c r="P37" t="b">
        <v>0</v>
      </c>
      <c r="Q37">
        <v>0</v>
      </c>
      <c r="R37">
        <v>2448</v>
      </c>
      <c r="U37" t="s">
        <v>2419</v>
      </c>
      <c r="V37" t="s">
        <v>3283</v>
      </c>
      <c r="W37">
        <v>0</v>
      </c>
      <c r="X37">
        <v>-7.3</v>
      </c>
      <c r="Y37" t="s">
        <v>4084</v>
      </c>
      <c r="Z37">
        <v>6.7600430471569828</v>
      </c>
      <c r="AA37">
        <v>1144</v>
      </c>
      <c r="AB37">
        <v>4322</v>
      </c>
      <c r="AC37" t="s">
        <v>4938</v>
      </c>
      <c r="AD37">
        <v>68.459999999999994</v>
      </c>
      <c r="AE37" t="s">
        <v>5802</v>
      </c>
      <c r="AF37" t="s">
        <v>6623</v>
      </c>
      <c r="AG37">
        <v>5735</v>
      </c>
      <c r="AH37">
        <v>120</v>
      </c>
      <c r="AI37">
        <v>252755</v>
      </c>
      <c r="AJ37">
        <v>4.3600000000000003</v>
      </c>
    </row>
    <row r="38" spans="1:36">
      <c r="A38" s="1" t="s">
        <v>590</v>
      </c>
      <c r="B38" t="s">
        <v>1454</v>
      </c>
      <c r="C38" t="str">
        <f>HYPERLINK("https://finance.naver.com/item/coinfo.nhn?code=030610", "A030610")</f>
        <v>A030610</v>
      </c>
      <c r="D38" t="str">
        <f>HYPERLINK("http://comp.fnguide.com/SVO2/ASP/SVD_Consensus.asp?pGB=1&amp;gicode=A030610&amp;cID=&amp;MenuYn=Y&amp;ReportGB=&amp;NewMenuID=108&amp;stkGb=701", "교보증권")</f>
        <v>교보증권</v>
      </c>
      <c r="E38">
        <v>3</v>
      </c>
      <c r="F38">
        <v>7900</v>
      </c>
      <c r="G38">
        <v>0</v>
      </c>
      <c r="H38">
        <v>3.98</v>
      </c>
      <c r="I38">
        <v>17387</v>
      </c>
      <c r="J38">
        <v>16022</v>
      </c>
      <c r="K38">
        <v>15634</v>
      </c>
      <c r="L38">
        <v>-120.09</v>
      </c>
      <c r="M38">
        <v>-102.81</v>
      </c>
      <c r="N38">
        <v>-97.9</v>
      </c>
      <c r="O38">
        <v>9.1300000000000008</v>
      </c>
      <c r="P38" t="b">
        <v>1</v>
      </c>
      <c r="Q38">
        <v>0</v>
      </c>
      <c r="R38">
        <v>2319</v>
      </c>
      <c r="U38" t="s">
        <v>2318</v>
      </c>
      <c r="V38" t="s">
        <v>3182</v>
      </c>
      <c r="W38">
        <v>0</v>
      </c>
      <c r="X38">
        <v>9.1</v>
      </c>
      <c r="Y38" t="s">
        <v>3992</v>
      </c>
      <c r="Z38">
        <v>9.0797725192460774</v>
      </c>
      <c r="AA38">
        <v>5108</v>
      </c>
      <c r="AB38">
        <v>113800</v>
      </c>
      <c r="AC38" t="s">
        <v>4837</v>
      </c>
      <c r="AD38">
        <v>73.16</v>
      </c>
      <c r="AE38" t="s">
        <v>5701</v>
      </c>
      <c r="AF38" t="s">
        <v>6530</v>
      </c>
      <c r="AG38">
        <v>3064</v>
      </c>
      <c r="AH38">
        <v>1104</v>
      </c>
      <c r="AI38">
        <v>1093598</v>
      </c>
      <c r="AJ38">
        <v>4.34</v>
      </c>
    </row>
    <row r="39" spans="1:36">
      <c r="A39" s="1" t="s">
        <v>481</v>
      </c>
      <c r="B39" t="s">
        <v>1345</v>
      </c>
      <c r="C39" t="str">
        <f>HYPERLINK("https://finance.naver.com/item/coinfo.nhn?code=104700", "A104700")</f>
        <v>A104700</v>
      </c>
      <c r="D39" t="str">
        <f>HYPERLINK("http://comp.fnguide.com/SVO2/ASP/SVD_Consensus.asp?pGB=1&amp;gicode=A104700&amp;cID=&amp;MenuYn=Y&amp;ReportGB=&amp;NewMenuID=108&amp;stkGb=701", "한국철강")</f>
        <v>한국철강</v>
      </c>
      <c r="E39">
        <v>3</v>
      </c>
      <c r="F39">
        <v>6550</v>
      </c>
      <c r="G39">
        <v>0</v>
      </c>
      <c r="H39">
        <v>11.41</v>
      </c>
      <c r="I39">
        <v>3808</v>
      </c>
      <c r="J39">
        <v>11134</v>
      </c>
      <c r="K39">
        <v>13216</v>
      </c>
      <c r="L39">
        <v>41.86</v>
      </c>
      <c r="M39">
        <v>-69.98</v>
      </c>
      <c r="N39">
        <v>-101.76</v>
      </c>
      <c r="O39">
        <v>1.89</v>
      </c>
      <c r="P39" t="b">
        <v>1</v>
      </c>
      <c r="Q39">
        <v>0</v>
      </c>
      <c r="R39">
        <v>414</v>
      </c>
      <c r="U39" t="s">
        <v>2209</v>
      </c>
      <c r="V39" t="s">
        <v>3073</v>
      </c>
      <c r="W39">
        <v>0</v>
      </c>
      <c r="X39">
        <v>63</v>
      </c>
      <c r="Y39" t="s">
        <v>3886</v>
      </c>
      <c r="Z39">
        <v>30.42208214993196</v>
      </c>
      <c r="AA39">
        <v>3016</v>
      </c>
      <c r="AB39">
        <v>138824</v>
      </c>
      <c r="AC39" t="s">
        <v>4728</v>
      </c>
      <c r="AD39">
        <v>52.66</v>
      </c>
      <c r="AE39" t="s">
        <v>5592</v>
      </c>
      <c r="AF39" t="s">
        <v>6423</v>
      </c>
      <c r="AG39">
        <v>7191</v>
      </c>
      <c r="AH39">
        <v>122</v>
      </c>
      <c r="AI39">
        <v>697202</v>
      </c>
      <c r="AJ39">
        <v>4.2300000000000004</v>
      </c>
    </row>
    <row r="40" spans="1:36">
      <c r="A40" s="1" t="s">
        <v>761</v>
      </c>
      <c r="B40" t="s">
        <v>1625</v>
      </c>
      <c r="C40" t="str">
        <f>HYPERLINK("https://finance.naver.com/item/coinfo.nhn?code=004970", "A004970")</f>
        <v>A004970</v>
      </c>
      <c r="D40" t="str">
        <f>HYPERLINK("http://comp.fnguide.com/SVO2/ASP/SVD_Consensus.asp?pGB=1&amp;gicode=A004970&amp;cID=&amp;MenuYn=Y&amp;ReportGB=&amp;NewMenuID=108&amp;stkGb=701", "신라교역")</f>
        <v>신라교역</v>
      </c>
      <c r="E40">
        <v>3</v>
      </c>
      <c r="F40">
        <v>9420</v>
      </c>
      <c r="G40">
        <v>0</v>
      </c>
      <c r="H40">
        <v>18.46</v>
      </c>
      <c r="I40">
        <v>19042</v>
      </c>
      <c r="J40">
        <v>27064</v>
      </c>
      <c r="K40">
        <v>29344</v>
      </c>
      <c r="L40">
        <v>-102.14</v>
      </c>
      <c r="M40">
        <v>-187.3</v>
      </c>
      <c r="N40">
        <v>-211.5</v>
      </c>
      <c r="O40">
        <v>4.67</v>
      </c>
      <c r="P40" t="b">
        <v>0</v>
      </c>
      <c r="Q40">
        <v>0</v>
      </c>
      <c r="R40">
        <v>645</v>
      </c>
      <c r="U40" t="s">
        <v>2489</v>
      </c>
      <c r="V40" t="s">
        <v>3353</v>
      </c>
      <c r="W40">
        <v>0</v>
      </c>
      <c r="X40">
        <v>-47.2</v>
      </c>
      <c r="Y40" t="s">
        <v>4148</v>
      </c>
      <c r="Z40">
        <v>-20.138868536107179</v>
      </c>
      <c r="AA40">
        <v>1507</v>
      </c>
      <c r="AB40">
        <v>98472</v>
      </c>
      <c r="AC40" t="s">
        <v>5008</v>
      </c>
      <c r="AD40">
        <v>66.91</v>
      </c>
      <c r="AE40" t="s">
        <v>5872</v>
      </c>
      <c r="AF40" t="s">
        <v>6684</v>
      </c>
      <c r="AG40">
        <v>3696</v>
      </c>
      <c r="AH40">
        <v>-42</v>
      </c>
      <c r="AJ40">
        <v>4.2</v>
      </c>
    </row>
    <row r="41" spans="1:36">
      <c r="A41" s="1" t="s">
        <v>778</v>
      </c>
      <c r="B41" t="s">
        <v>1642</v>
      </c>
      <c r="C41" t="str">
        <f>HYPERLINK("https://finance.naver.com/item/coinfo.nhn?code=010770", "A010770")</f>
        <v>A010770</v>
      </c>
      <c r="D41" t="str">
        <f>HYPERLINK("http://comp.fnguide.com/SVO2/ASP/SVD_Consensus.asp?pGB=1&amp;gicode=A010770&amp;cID=&amp;MenuYn=Y&amp;ReportGB=&amp;NewMenuID=108&amp;stkGb=701", "평화홀딩스")</f>
        <v>평화홀딩스</v>
      </c>
      <c r="E41">
        <v>3</v>
      </c>
      <c r="F41">
        <v>3460</v>
      </c>
      <c r="G41">
        <v>0</v>
      </c>
      <c r="I41">
        <v>0</v>
      </c>
      <c r="J41">
        <v>5063</v>
      </c>
      <c r="K41">
        <v>6502</v>
      </c>
      <c r="L41">
        <v>100</v>
      </c>
      <c r="M41">
        <v>-46.33</v>
      </c>
      <c r="N41">
        <v>-87.92</v>
      </c>
      <c r="O41">
        <v>0</v>
      </c>
      <c r="P41" t="b">
        <v>0</v>
      </c>
      <c r="Q41">
        <v>0</v>
      </c>
      <c r="R41">
        <v>-942</v>
      </c>
      <c r="U41" t="s">
        <v>2506</v>
      </c>
      <c r="V41" t="s">
        <v>3370</v>
      </c>
      <c r="W41">
        <v>0</v>
      </c>
      <c r="X41">
        <v>0</v>
      </c>
      <c r="Y41" t="s">
        <v>4164</v>
      </c>
      <c r="Z41">
        <v>1028.4000000000001</v>
      </c>
      <c r="AA41">
        <v>506</v>
      </c>
      <c r="AB41">
        <v>33102</v>
      </c>
      <c r="AC41" t="s">
        <v>5025</v>
      </c>
      <c r="AD41">
        <v>52.34</v>
      </c>
      <c r="AE41" t="s">
        <v>5889</v>
      </c>
      <c r="AF41" t="s">
        <v>6021</v>
      </c>
      <c r="AG41">
        <v>5811</v>
      </c>
      <c r="AH41">
        <v>-36</v>
      </c>
      <c r="AI41">
        <v>769331</v>
      </c>
      <c r="AJ41">
        <v>4.17</v>
      </c>
    </row>
    <row r="42" spans="1:36">
      <c r="A42" s="1" t="s">
        <v>59</v>
      </c>
      <c r="B42" t="s">
        <v>923</v>
      </c>
      <c r="C42" t="str">
        <f>HYPERLINK("https://finance.naver.com/item/coinfo.nhn?code=013120", "A013120")</f>
        <v>A013120</v>
      </c>
      <c r="D42" t="str">
        <f>HYPERLINK("http://comp.fnguide.com/SVO2/ASP/SVD_Consensus.asp?pGB=1&amp;gicode=A013120&amp;cID=&amp;MenuYn=Y&amp;ReportGB=&amp;NewMenuID=108&amp;stkGb=701", "동원개발")</f>
        <v>동원개발</v>
      </c>
      <c r="E42">
        <v>3</v>
      </c>
      <c r="F42">
        <v>4805</v>
      </c>
      <c r="G42">
        <v>0</v>
      </c>
      <c r="H42">
        <v>4.38</v>
      </c>
      <c r="I42">
        <v>16106</v>
      </c>
      <c r="J42">
        <v>11525</v>
      </c>
      <c r="K42">
        <v>10223</v>
      </c>
      <c r="L42">
        <v>-235.19</v>
      </c>
      <c r="M42">
        <v>-139.85</v>
      </c>
      <c r="N42">
        <v>-112.75</v>
      </c>
      <c r="O42">
        <v>15.06</v>
      </c>
      <c r="P42" t="b">
        <v>1</v>
      </c>
      <c r="Q42">
        <v>0</v>
      </c>
      <c r="R42">
        <v>933</v>
      </c>
      <c r="U42" t="s">
        <v>1787</v>
      </c>
      <c r="V42" t="s">
        <v>2651</v>
      </c>
      <c r="W42">
        <v>0</v>
      </c>
      <c r="X42">
        <v>43.1</v>
      </c>
      <c r="Y42" t="s">
        <v>3513</v>
      </c>
      <c r="Z42">
        <v>6.1171088526694506</v>
      </c>
      <c r="AA42">
        <v>4363</v>
      </c>
      <c r="AB42">
        <v>368062</v>
      </c>
      <c r="AC42" t="s">
        <v>4306</v>
      </c>
      <c r="AD42">
        <v>61.17</v>
      </c>
      <c r="AE42" t="s">
        <v>5170</v>
      </c>
      <c r="AF42" t="s">
        <v>6033</v>
      </c>
      <c r="AG42">
        <v>6426</v>
      </c>
      <c r="AH42">
        <v>1061</v>
      </c>
      <c r="AJ42">
        <v>4.16</v>
      </c>
    </row>
    <row r="43" spans="1:36">
      <c r="A43" s="1" t="s">
        <v>496</v>
      </c>
      <c r="B43" t="s">
        <v>1360</v>
      </c>
      <c r="C43" t="str">
        <f>HYPERLINK("https://finance.naver.com/item/coinfo.nhn?code=029780", "A029780")</f>
        <v>A029780</v>
      </c>
      <c r="D43" t="str">
        <f>HYPERLINK("http://comp.fnguide.com/SVO2/ASP/SVD_Consensus.asp?pGB=1&amp;gicode=A029780&amp;cID=&amp;MenuYn=Y&amp;ReportGB=&amp;NewMenuID=108&amp;stkGb=701", "삼성카드")</f>
        <v>삼성카드</v>
      </c>
      <c r="E43">
        <v>3</v>
      </c>
      <c r="F43">
        <v>35250</v>
      </c>
      <c r="G43">
        <v>12.03</v>
      </c>
      <c r="H43">
        <v>13</v>
      </c>
      <c r="I43">
        <v>41932</v>
      </c>
      <c r="J43">
        <v>55587</v>
      </c>
      <c r="K43">
        <v>59467</v>
      </c>
      <c r="L43">
        <v>-18.95</v>
      </c>
      <c r="M43">
        <v>-57.69</v>
      </c>
      <c r="N43">
        <v>-68.7</v>
      </c>
      <c r="O43">
        <v>5.15</v>
      </c>
      <c r="P43" t="b">
        <v>0</v>
      </c>
      <c r="Q43">
        <v>1</v>
      </c>
      <c r="R43">
        <v>2970</v>
      </c>
      <c r="S43">
        <v>3446</v>
      </c>
      <c r="T43">
        <v>16</v>
      </c>
      <c r="U43" t="s">
        <v>2224</v>
      </c>
      <c r="V43" t="s">
        <v>3088</v>
      </c>
      <c r="W43">
        <v>1.0806909986056821</v>
      </c>
      <c r="Y43" t="s">
        <v>3605</v>
      </c>
      <c r="Z43">
        <v>-1.3272385285063579</v>
      </c>
      <c r="AA43">
        <v>40840</v>
      </c>
      <c r="AB43">
        <v>133895</v>
      </c>
      <c r="AC43" t="s">
        <v>4743</v>
      </c>
      <c r="AD43">
        <v>71.900000000000006</v>
      </c>
      <c r="AE43" t="s">
        <v>5607</v>
      </c>
      <c r="AF43" t="s">
        <v>6438</v>
      </c>
      <c r="AG43">
        <v>24557</v>
      </c>
      <c r="AH43">
        <v>4497</v>
      </c>
      <c r="AI43">
        <v>9148196</v>
      </c>
      <c r="AJ43">
        <v>4.1500000000000004</v>
      </c>
    </row>
    <row r="44" spans="1:36">
      <c r="A44" s="1" t="s">
        <v>522</v>
      </c>
      <c r="B44" t="s">
        <v>1386</v>
      </c>
      <c r="C44" t="str">
        <f>HYPERLINK("https://finance.naver.com/item/coinfo.nhn?code=009580", "A009580")</f>
        <v>A009580</v>
      </c>
      <c r="D44" t="str">
        <f>HYPERLINK("http://comp.fnguide.com/SVO2/ASP/SVD_Consensus.asp?pGB=1&amp;gicode=A009580&amp;cID=&amp;MenuYn=Y&amp;ReportGB=&amp;NewMenuID=108&amp;stkGb=701", "무림P&amp;P")</f>
        <v>무림P&amp;P</v>
      </c>
      <c r="E44">
        <v>3</v>
      </c>
      <c r="F44">
        <v>3545</v>
      </c>
      <c r="G44">
        <v>0</v>
      </c>
      <c r="H44">
        <v>26.08</v>
      </c>
      <c r="I44">
        <v>7278</v>
      </c>
      <c r="J44">
        <v>8821</v>
      </c>
      <c r="K44">
        <v>9259</v>
      </c>
      <c r="L44">
        <v>-105.31</v>
      </c>
      <c r="M44">
        <v>-148.83000000000001</v>
      </c>
      <c r="N44">
        <v>-161.19999999999999</v>
      </c>
      <c r="O44">
        <v>5.87</v>
      </c>
      <c r="P44" t="b">
        <v>0</v>
      </c>
      <c r="Q44">
        <v>0</v>
      </c>
      <c r="R44">
        <v>162</v>
      </c>
      <c r="S44">
        <v>-128</v>
      </c>
      <c r="T44">
        <v>-179</v>
      </c>
      <c r="U44" t="s">
        <v>2250</v>
      </c>
      <c r="V44" t="s">
        <v>3114</v>
      </c>
      <c r="W44">
        <v>0</v>
      </c>
      <c r="X44">
        <v>-98.3</v>
      </c>
      <c r="Y44" t="s">
        <v>3925</v>
      </c>
      <c r="Z44">
        <v>-83.230866151320157</v>
      </c>
      <c r="AA44">
        <v>2211</v>
      </c>
      <c r="AB44">
        <v>325898</v>
      </c>
      <c r="AC44" t="s">
        <v>4769</v>
      </c>
      <c r="AD44">
        <v>66.97</v>
      </c>
      <c r="AE44" t="s">
        <v>5633</v>
      </c>
      <c r="AF44" t="s">
        <v>6463</v>
      </c>
      <c r="AG44">
        <v>6313</v>
      </c>
      <c r="AH44">
        <v>494</v>
      </c>
      <c r="AI44">
        <v>4546</v>
      </c>
      <c r="AJ44">
        <v>4.1399999999999997</v>
      </c>
    </row>
    <row r="45" spans="1:36">
      <c r="A45" s="1" t="s">
        <v>631</v>
      </c>
      <c r="B45" t="s">
        <v>1495</v>
      </c>
      <c r="C45" t="str">
        <f>HYPERLINK("https://finance.naver.com/item/coinfo.nhn?code=267290", "A267290")</f>
        <v>A267290</v>
      </c>
      <c r="D45" t="str">
        <f>HYPERLINK("http://comp.fnguide.com/SVO2/ASP/SVD_Consensus.asp?pGB=1&amp;gicode=A267290&amp;cID=&amp;MenuYn=Y&amp;ReportGB=&amp;NewMenuID=108&amp;stkGb=701", "경동도시가스")</f>
        <v>경동도시가스</v>
      </c>
      <c r="E45">
        <v>3</v>
      </c>
      <c r="F45">
        <v>19100</v>
      </c>
      <c r="G45">
        <v>0</v>
      </c>
      <c r="H45">
        <v>5.0999999999999996</v>
      </c>
      <c r="I45">
        <v>53874</v>
      </c>
      <c r="J45">
        <v>56107</v>
      </c>
      <c r="K45">
        <v>56741</v>
      </c>
      <c r="L45">
        <v>-182.06</v>
      </c>
      <c r="M45">
        <v>-193.75</v>
      </c>
      <c r="N45">
        <v>-197.07</v>
      </c>
      <c r="O45">
        <v>7.43</v>
      </c>
      <c r="P45" t="b">
        <v>0</v>
      </c>
      <c r="Q45">
        <v>0</v>
      </c>
      <c r="R45">
        <v>4163</v>
      </c>
      <c r="U45" t="s">
        <v>2359</v>
      </c>
      <c r="V45" t="s">
        <v>3223</v>
      </c>
      <c r="W45">
        <v>0</v>
      </c>
      <c r="X45">
        <v>-37.799999999999997</v>
      </c>
      <c r="Y45" t="s">
        <v>4032</v>
      </c>
      <c r="Z45">
        <v>0</v>
      </c>
      <c r="AA45">
        <v>1126</v>
      </c>
      <c r="AB45">
        <v>16717</v>
      </c>
      <c r="AC45" t="s">
        <v>4878</v>
      </c>
      <c r="AD45">
        <v>52.28</v>
      </c>
      <c r="AE45" t="s">
        <v>5742</v>
      </c>
      <c r="AF45" t="s">
        <v>6570</v>
      </c>
      <c r="AG45">
        <v>14227</v>
      </c>
      <c r="AH45">
        <v>281</v>
      </c>
      <c r="AI45">
        <v>4979</v>
      </c>
      <c r="AJ45">
        <v>4.12</v>
      </c>
    </row>
    <row r="46" spans="1:36">
      <c r="A46" s="1" t="s">
        <v>88</v>
      </c>
      <c r="B46" t="s">
        <v>952</v>
      </c>
      <c r="C46" t="str">
        <f>HYPERLINK("https://finance.naver.com/item/coinfo.nhn?code=093920", "A093920")</f>
        <v>A093920</v>
      </c>
      <c r="D46" t="str">
        <f>HYPERLINK("http://comp.fnguide.com/SVO2/ASP/SVD_Consensus.asp?pGB=1&amp;gicode=A093920&amp;cID=&amp;MenuYn=Y&amp;ReportGB=&amp;NewMenuID=108&amp;stkGb=701", "서원인텍")</f>
        <v>서원인텍</v>
      </c>
      <c r="E46">
        <v>3</v>
      </c>
      <c r="F46">
        <v>7450</v>
      </c>
      <c r="G46">
        <v>0</v>
      </c>
      <c r="H46">
        <v>10.92</v>
      </c>
      <c r="I46">
        <v>5823</v>
      </c>
      <c r="J46">
        <v>7515</v>
      </c>
      <c r="K46">
        <v>7995</v>
      </c>
      <c r="L46">
        <v>21.83</v>
      </c>
      <c r="M46">
        <v>-0.87</v>
      </c>
      <c r="N46">
        <v>-7.32</v>
      </c>
      <c r="O46">
        <v>5.35</v>
      </c>
      <c r="P46" t="b">
        <v>1</v>
      </c>
      <c r="Q46">
        <v>0</v>
      </c>
      <c r="R46">
        <v>672</v>
      </c>
      <c r="U46" t="s">
        <v>1816</v>
      </c>
      <c r="V46" t="s">
        <v>2680</v>
      </c>
      <c r="W46">
        <v>0</v>
      </c>
      <c r="X46">
        <v>11.7</v>
      </c>
      <c r="Y46" t="s">
        <v>3538</v>
      </c>
      <c r="Z46">
        <v>-10.74083924619023</v>
      </c>
      <c r="AA46">
        <v>1386</v>
      </c>
      <c r="AB46">
        <v>184317</v>
      </c>
      <c r="AC46" t="s">
        <v>4335</v>
      </c>
      <c r="AD46">
        <v>52.41</v>
      </c>
      <c r="AE46" t="s">
        <v>5199</v>
      </c>
      <c r="AF46" t="s">
        <v>6061</v>
      </c>
      <c r="AG46">
        <v>3029</v>
      </c>
      <c r="AH46">
        <v>169</v>
      </c>
      <c r="AJ46">
        <v>4.09</v>
      </c>
    </row>
    <row r="47" spans="1:36">
      <c r="A47" s="1" t="s">
        <v>74</v>
      </c>
      <c r="B47" t="s">
        <v>938</v>
      </c>
      <c r="C47" t="str">
        <f>HYPERLINK("https://finance.naver.com/item/coinfo.nhn?code=140520", "A140520")</f>
        <v>A140520</v>
      </c>
      <c r="D47" t="str">
        <f>HYPERLINK("http://comp.fnguide.com/SVO2/ASP/SVD_Consensus.asp?pGB=1&amp;gicode=A140520&amp;cID=&amp;MenuYn=Y&amp;ReportGB=&amp;NewMenuID=108&amp;stkGb=701", "대창스틸")</f>
        <v>대창스틸</v>
      </c>
      <c r="E47">
        <v>3</v>
      </c>
      <c r="F47">
        <v>2470</v>
      </c>
      <c r="G47">
        <v>0</v>
      </c>
      <c r="I47">
        <v>162</v>
      </c>
      <c r="J47">
        <v>2884</v>
      </c>
      <c r="K47">
        <v>3657</v>
      </c>
      <c r="L47">
        <v>93.43</v>
      </c>
      <c r="M47">
        <v>-16.75</v>
      </c>
      <c r="N47">
        <v>-48.06</v>
      </c>
      <c r="O47">
        <v>0.27</v>
      </c>
      <c r="P47" t="b">
        <v>0</v>
      </c>
      <c r="Q47">
        <v>0</v>
      </c>
      <c r="R47">
        <v>-35</v>
      </c>
      <c r="U47" t="s">
        <v>1802</v>
      </c>
      <c r="V47" t="s">
        <v>2666</v>
      </c>
      <c r="W47">
        <v>0</v>
      </c>
      <c r="X47">
        <v>0</v>
      </c>
      <c r="Y47" t="s">
        <v>3499</v>
      </c>
      <c r="Z47">
        <v>0</v>
      </c>
      <c r="AA47">
        <v>494</v>
      </c>
      <c r="AB47">
        <v>339227</v>
      </c>
      <c r="AC47" t="s">
        <v>4321</v>
      </c>
      <c r="AD47">
        <v>65.92</v>
      </c>
      <c r="AE47" t="s">
        <v>5185</v>
      </c>
      <c r="AF47" t="s">
        <v>6048</v>
      </c>
      <c r="AG47">
        <v>1976</v>
      </c>
      <c r="AH47">
        <v>41</v>
      </c>
      <c r="AI47">
        <v>1407</v>
      </c>
      <c r="AJ47">
        <v>4.08</v>
      </c>
    </row>
    <row r="48" spans="1:36">
      <c r="A48" s="1" t="s">
        <v>275</v>
      </c>
      <c r="B48" t="s">
        <v>1139</v>
      </c>
      <c r="C48" t="str">
        <f>HYPERLINK("https://finance.naver.com/item/coinfo.nhn?code=221980", "A221980")</f>
        <v>A221980</v>
      </c>
      <c r="D48" t="str">
        <f>HYPERLINK("http://comp.fnguide.com/SVO2/ASP/SVD_Consensus.asp?pGB=1&amp;gicode=A221980&amp;cID=&amp;MenuYn=Y&amp;ReportGB=&amp;NewMenuID=108&amp;stkGb=701", "케이디켐")</f>
        <v>케이디켐</v>
      </c>
      <c r="E48">
        <v>3</v>
      </c>
      <c r="F48">
        <v>14200</v>
      </c>
      <c r="G48">
        <v>0</v>
      </c>
      <c r="H48">
        <v>6.62</v>
      </c>
      <c r="I48">
        <v>25349</v>
      </c>
      <c r="J48">
        <v>22268</v>
      </c>
      <c r="K48">
        <v>21393</v>
      </c>
      <c r="L48">
        <v>-78.52</v>
      </c>
      <c r="M48">
        <v>-56.82</v>
      </c>
      <c r="N48">
        <v>-50.65</v>
      </c>
      <c r="O48">
        <v>9.9499999999999993</v>
      </c>
      <c r="P48" t="b">
        <v>1</v>
      </c>
      <c r="Q48">
        <v>0</v>
      </c>
      <c r="R48">
        <v>1857</v>
      </c>
      <c r="U48" t="s">
        <v>2003</v>
      </c>
      <c r="V48" t="s">
        <v>2867</v>
      </c>
      <c r="W48">
        <v>0</v>
      </c>
      <c r="X48">
        <v>5.4</v>
      </c>
      <c r="Y48" t="s">
        <v>3709</v>
      </c>
      <c r="Z48">
        <v>-8.6382214051367701</v>
      </c>
      <c r="AA48">
        <v>573</v>
      </c>
      <c r="AB48">
        <v>3376</v>
      </c>
      <c r="AC48" t="s">
        <v>4522</v>
      </c>
      <c r="AD48">
        <v>71.069999999999993</v>
      </c>
      <c r="AE48" t="s">
        <v>5386</v>
      </c>
      <c r="AF48" t="s">
        <v>6239</v>
      </c>
      <c r="AG48">
        <v>488</v>
      </c>
      <c r="AH48">
        <v>64</v>
      </c>
      <c r="AI48">
        <v>213443</v>
      </c>
      <c r="AJ48">
        <v>4.07</v>
      </c>
    </row>
    <row r="49" spans="1:36">
      <c r="A49" s="1" t="s">
        <v>433</v>
      </c>
      <c r="B49" t="s">
        <v>1297</v>
      </c>
      <c r="C49" t="str">
        <f>HYPERLINK("https://finance.naver.com/item/coinfo.nhn?code=282690", "A282690")</f>
        <v>A282690</v>
      </c>
      <c r="D49" t="str">
        <f>HYPERLINK("http://comp.fnguide.com/SVO2/ASP/SVD_Consensus.asp?pGB=1&amp;gicode=A282690&amp;cID=&amp;MenuYn=Y&amp;ReportGB=&amp;NewMenuID=108&amp;stkGb=701", "동아타이어")</f>
        <v>동아타이어</v>
      </c>
      <c r="E49">
        <v>3</v>
      </c>
      <c r="F49">
        <v>10200</v>
      </c>
      <c r="G49">
        <v>0</v>
      </c>
      <c r="H49">
        <v>6.86</v>
      </c>
      <c r="I49">
        <v>16929</v>
      </c>
      <c r="J49">
        <v>22382</v>
      </c>
      <c r="K49">
        <v>23931</v>
      </c>
      <c r="L49">
        <v>-65.97</v>
      </c>
      <c r="M49">
        <v>-119.43</v>
      </c>
      <c r="N49">
        <v>-134.62</v>
      </c>
      <c r="O49">
        <v>5.17</v>
      </c>
      <c r="P49" t="b">
        <v>1</v>
      </c>
      <c r="Q49">
        <v>0</v>
      </c>
      <c r="R49">
        <v>1799</v>
      </c>
      <c r="U49" t="s">
        <v>2161</v>
      </c>
      <c r="V49" t="s">
        <v>3025</v>
      </c>
      <c r="W49">
        <v>0</v>
      </c>
      <c r="X49">
        <v>-50.1</v>
      </c>
      <c r="Y49" t="s">
        <v>3841</v>
      </c>
      <c r="Z49">
        <v>0</v>
      </c>
      <c r="AA49">
        <v>1401</v>
      </c>
      <c r="AB49">
        <v>79385</v>
      </c>
      <c r="AC49" t="s">
        <v>4680</v>
      </c>
      <c r="AD49">
        <v>64.94</v>
      </c>
      <c r="AE49" t="s">
        <v>5544</v>
      </c>
      <c r="AF49" t="s">
        <v>6377</v>
      </c>
      <c r="AG49">
        <v>1560</v>
      </c>
      <c r="AH49">
        <v>180</v>
      </c>
      <c r="AI49">
        <v>1598</v>
      </c>
      <c r="AJ49">
        <v>4.05</v>
      </c>
    </row>
    <row r="50" spans="1:36">
      <c r="A50" s="1" t="s">
        <v>583</v>
      </c>
      <c r="B50" t="s">
        <v>1447</v>
      </c>
      <c r="C50" t="str">
        <f>HYPERLINK("https://finance.naver.com/item/coinfo.nhn?code=100840", "A100840")</f>
        <v>A100840</v>
      </c>
      <c r="D50" t="str">
        <f>HYPERLINK("http://comp.fnguide.com/SVO2/ASP/SVD_Consensus.asp?pGB=1&amp;gicode=A100840&amp;cID=&amp;MenuYn=Y&amp;ReportGB=&amp;NewMenuID=108&amp;stkGb=701", "S&amp;TC")</f>
        <v>S&amp;TC</v>
      </c>
      <c r="E50">
        <v>3</v>
      </c>
      <c r="F50">
        <v>15850</v>
      </c>
      <c r="G50">
        <v>0</v>
      </c>
      <c r="H50">
        <v>9.6199999999999992</v>
      </c>
      <c r="I50">
        <v>18172</v>
      </c>
      <c r="J50">
        <v>29875</v>
      </c>
      <c r="K50">
        <v>33201</v>
      </c>
      <c r="L50">
        <v>-14.65</v>
      </c>
      <c r="M50">
        <v>-88.49</v>
      </c>
      <c r="N50">
        <v>-109.47</v>
      </c>
      <c r="O50">
        <v>3.83</v>
      </c>
      <c r="P50" t="b">
        <v>1</v>
      </c>
      <c r="Q50">
        <v>0</v>
      </c>
      <c r="R50">
        <v>2058</v>
      </c>
      <c r="U50" t="s">
        <v>2311</v>
      </c>
      <c r="V50" t="s">
        <v>3175</v>
      </c>
      <c r="W50">
        <v>0</v>
      </c>
      <c r="X50">
        <v>5.4</v>
      </c>
      <c r="Y50" t="s">
        <v>3985</v>
      </c>
      <c r="Z50">
        <v>-9.7703282551653494</v>
      </c>
      <c r="AA50">
        <v>1190</v>
      </c>
      <c r="AB50">
        <v>26400</v>
      </c>
      <c r="AC50" t="s">
        <v>4830</v>
      </c>
      <c r="AD50">
        <v>55.93</v>
      </c>
      <c r="AE50" t="s">
        <v>5694</v>
      </c>
      <c r="AF50" t="s">
        <v>6523</v>
      </c>
      <c r="AG50">
        <v>2133</v>
      </c>
      <c r="AH50">
        <v>175</v>
      </c>
      <c r="AI50">
        <v>994762</v>
      </c>
      <c r="AJ50">
        <v>4.04</v>
      </c>
    </row>
    <row r="51" spans="1:36">
      <c r="A51" s="1" t="s">
        <v>642</v>
      </c>
      <c r="B51" t="s">
        <v>1506</v>
      </c>
      <c r="C51" t="str">
        <f>HYPERLINK("https://finance.naver.com/item/coinfo.nhn?code=002600", "A002600")</f>
        <v>A002600</v>
      </c>
      <c r="D51" t="str">
        <f>HYPERLINK("http://comp.fnguide.com/SVO2/ASP/SVD_Consensus.asp?pGB=1&amp;gicode=A002600&amp;cID=&amp;MenuYn=Y&amp;ReportGB=&amp;NewMenuID=108&amp;stkGb=701", "조흥")</f>
        <v>조흥</v>
      </c>
      <c r="E51">
        <v>3</v>
      </c>
      <c r="F51">
        <v>180500</v>
      </c>
      <c r="G51">
        <v>0</v>
      </c>
      <c r="H51">
        <v>11.43</v>
      </c>
      <c r="I51">
        <v>186657</v>
      </c>
      <c r="J51">
        <v>204212</v>
      </c>
      <c r="K51">
        <v>209200</v>
      </c>
      <c r="L51">
        <v>-3.41</v>
      </c>
      <c r="M51">
        <v>-13.14</v>
      </c>
      <c r="N51">
        <v>-15.9</v>
      </c>
      <c r="O51">
        <v>6.87</v>
      </c>
      <c r="P51" t="b">
        <v>1</v>
      </c>
      <c r="Q51">
        <v>0</v>
      </c>
      <c r="R51">
        <v>13076</v>
      </c>
      <c r="U51" t="s">
        <v>2370</v>
      </c>
      <c r="V51" t="s">
        <v>3234</v>
      </c>
      <c r="W51">
        <v>0</v>
      </c>
      <c r="X51">
        <v>27.5</v>
      </c>
      <c r="Y51" t="s">
        <v>4041</v>
      </c>
      <c r="Z51">
        <v>8.5217124047547443</v>
      </c>
      <c r="AA51">
        <v>1083</v>
      </c>
      <c r="AB51">
        <v>169</v>
      </c>
      <c r="AC51" t="s">
        <v>4889</v>
      </c>
      <c r="AD51">
        <v>67.23</v>
      </c>
      <c r="AE51" t="s">
        <v>5753</v>
      </c>
      <c r="AF51" t="s">
        <v>6579</v>
      </c>
      <c r="AG51">
        <v>1951</v>
      </c>
      <c r="AH51">
        <v>123</v>
      </c>
      <c r="AJ51">
        <v>4.01</v>
      </c>
    </row>
    <row r="52" spans="1:36">
      <c r="A52" s="1" t="s">
        <v>705</v>
      </c>
      <c r="B52" t="s">
        <v>1569</v>
      </c>
      <c r="C52" t="str">
        <f>HYPERLINK("https://finance.naver.com/item/coinfo.nhn?code=194370", "A194370")</f>
        <v>A194370</v>
      </c>
      <c r="D52" t="str">
        <f>HYPERLINK("http://comp.fnguide.com/SVO2/ASP/SVD_Consensus.asp?pGB=1&amp;gicode=A194370&amp;cID=&amp;MenuYn=Y&amp;ReportGB=&amp;NewMenuID=108&amp;stkGb=701", "제이에스코퍼레이션")</f>
        <v>제이에스코퍼레이션</v>
      </c>
      <c r="E52">
        <v>3</v>
      </c>
      <c r="F52">
        <v>7400</v>
      </c>
      <c r="G52">
        <v>0</v>
      </c>
      <c r="H52">
        <v>20.39</v>
      </c>
      <c r="I52">
        <v>7206</v>
      </c>
      <c r="J52">
        <v>10517</v>
      </c>
      <c r="K52">
        <v>11458</v>
      </c>
      <c r="L52">
        <v>2.63</v>
      </c>
      <c r="M52">
        <v>-42.12</v>
      </c>
      <c r="N52">
        <v>-54.84</v>
      </c>
      <c r="O52">
        <v>4.5</v>
      </c>
      <c r="P52" t="b">
        <v>1</v>
      </c>
      <c r="Q52">
        <v>0</v>
      </c>
      <c r="R52">
        <v>615</v>
      </c>
      <c r="U52" t="s">
        <v>2433</v>
      </c>
      <c r="V52" t="s">
        <v>3297</v>
      </c>
      <c r="W52">
        <v>0</v>
      </c>
      <c r="X52">
        <v>-30</v>
      </c>
      <c r="Y52" t="s">
        <v>4098</v>
      </c>
      <c r="Z52">
        <v>-23.017766114941629</v>
      </c>
      <c r="AA52">
        <v>987</v>
      </c>
      <c r="AB52">
        <v>13314</v>
      </c>
      <c r="AC52" t="s">
        <v>4952</v>
      </c>
      <c r="AD52">
        <v>60.46</v>
      </c>
      <c r="AE52" t="s">
        <v>5816</v>
      </c>
      <c r="AF52" t="s">
        <v>6637</v>
      </c>
      <c r="AG52">
        <v>2531</v>
      </c>
      <c r="AH52">
        <v>111</v>
      </c>
      <c r="AI52">
        <v>997942</v>
      </c>
      <c r="AJ52">
        <v>3.98</v>
      </c>
    </row>
    <row r="53" spans="1:36">
      <c r="A53" s="1" t="s">
        <v>402</v>
      </c>
      <c r="B53" t="s">
        <v>1266</v>
      </c>
      <c r="C53" t="str">
        <f>HYPERLINK("https://finance.naver.com/item/coinfo.nhn?code=008370", "A008370")</f>
        <v>A008370</v>
      </c>
      <c r="D53" t="str">
        <f>HYPERLINK("http://comp.fnguide.com/SVO2/ASP/SVD_Consensus.asp?pGB=1&amp;gicode=A008370&amp;cID=&amp;MenuYn=Y&amp;ReportGB=&amp;NewMenuID=108&amp;stkGb=701", "원풍")</f>
        <v>원풍</v>
      </c>
      <c r="E53">
        <v>3</v>
      </c>
      <c r="F53">
        <v>4410</v>
      </c>
      <c r="G53">
        <v>0</v>
      </c>
      <c r="H53">
        <v>23.63</v>
      </c>
      <c r="I53">
        <v>2300</v>
      </c>
      <c r="J53">
        <v>4900</v>
      </c>
      <c r="K53">
        <v>5639</v>
      </c>
      <c r="L53">
        <v>47.84</v>
      </c>
      <c r="M53">
        <v>-11.12</v>
      </c>
      <c r="N53">
        <v>-27.87</v>
      </c>
      <c r="O53">
        <v>2.76</v>
      </c>
      <c r="P53" t="b">
        <v>1</v>
      </c>
      <c r="Q53">
        <v>0</v>
      </c>
      <c r="R53">
        <v>166</v>
      </c>
      <c r="U53" t="s">
        <v>2130</v>
      </c>
      <c r="V53" t="s">
        <v>2994</v>
      </c>
      <c r="W53">
        <v>0</v>
      </c>
      <c r="X53">
        <v>98.9</v>
      </c>
      <c r="Y53" t="s">
        <v>3811</v>
      </c>
      <c r="Z53">
        <v>-8.0592766189145237</v>
      </c>
      <c r="AA53">
        <v>529</v>
      </c>
      <c r="AB53">
        <v>44890</v>
      </c>
      <c r="AC53" t="s">
        <v>4649</v>
      </c>
      <c r="AD53">
        <v>56.58</v>
      </c>
      <c r="AE53" t="s">
        <v>5513</v>
      </c>
      <c r="AF53" t="s">
        <v>6347</v>
      </c>
      <c r="AG53">
        <v>729</v>
      </c>
      <c r="AH53">
        <v>27</v>
      </c>
      <c r="AI53">
        <v>900000</v>
      </c>
      <c r="AJ53">
        <v>3.83</v>
      </c>
    </row>
    <row r="54" spans="1:36">
      <c r="A54" s="1" t="s">
        <v>632</v>
      </c>
      <c r="B54" t="s">
        <v>1496</v>
      </c>
      <c r="C54" t="str">
        <f>HYPERLINK("https://finance.naver.com/item/coinfo.nhn?code=023000", "A023000")</f>
        <v>A023000</v>
      </c>
      <c r="D54" t="str">
        <f>HYPERLINK("http://comp.fnguide.com/SVO2/ASP/SVD_Consensus.asp?pGB=1&amp;gicode=A023000&amp;cID=&amp;MenuYn=Y&amp;ReportGB=&amp;NewMenuID=108&amp;stkGb=701", "삼원강재")</f>
        <v>삼원강재</v>
      </c>
      <c r="E54">
        <v>3</v>
      </c>
      <c r="F54">
        <v>2645</v>
      </c>
      <c r="G54">
        <v>0</v>
      </c>
      <c r="H54">
        <v>11.58</v>
      </c>
      <c r="I54">
        <v>3632</v>
      </c>
      <c r="J54">
        <v>4625</v>
      </c>
      <c r="K54">
        <v>4907</v>
      </c>
      <c r="L54">
        <v>-37.32</v>
      </c>
      <c r="M54">
        <v>-74.849999999999994</v>
      </c>
      <c r="N54">
        <v>-85.51</v>
      </c>
      <c r="O54">
        <v>5.46</v>
      </c>
      <c r="P54" t="b">
        <v>1</v>
      </c>
      <c r="Q54">
        <v>0</v>
      </c>
      <c r="R54">
        <v>261</v>
      </c>
      <c r="U54" t="s">
        <v>2360</v>
      </c>
      <c r="V54" t="s">
        <v>3224</v>
      </c>
      <c r="W54">
        <v>0</v>
      </c>
      <c r="X54">
        <v>-30.3</v>
      </c>
      <c r="Y54" t="s">
        <v>4033</v>
      </c>
      <c r="Z54">
        <v>-14.426071375389331</v>
      </c>
      <c r="AA54">
        <v>1058</v>
      </c>
      <c r="AB54">
        <v>30291</v>
      </c>
      <c r="AC54" t="s">
        <v>4879</v>
      </c>
      <c r="AD54">
        <v>61.19</v>
      </c>
      <c r="AE54" t="s">
        <v>5743</v>
      </c>
      <c r="AF54" t="s">
        <v>6571</v>
      </c>
      <c r="AG54">
        <v>2693</v>
      </c>
      <c r="AH54">
        <v>108</v>
      </c>
      <c r="AI54">
        <v>260044</v>
      </c>
      <c r="AJ54">
        <v>3.81</v>
      </c>
    </row>
    <row r="55" spans="1:36">
      <c r="A55" s="1" t="s">
        <v>131</v>
      </c>
      <c r="B55" t="s">
        <v>995</v>
      </c>
      <c r="C55" t="str">
        <f>HYPERLINK("https://finance.naver.com/item/coinfo.nhn?code=017480", "A017480")</f>
        <v>A017480</v>
      </c>
      <c r="D55" t="str">
        <f>HYPERLINK("http://comp.fnguide.com/SVO2/ASP/SVD_Consensus.asp?pGB=1&amp;gicode=A017480&amp;cID=&amp;MenuYn=Y&amp;ReportGB=&amp;NewMenuID=108&amp;stkGb=701", "삼현철강")</f>
        <v>삼현철강</v>
      </c>
      <c r="E55">
        <v>3</v>
      </c>
      <c r="F55">
        <v>4240</v>
      </c>
      <c r="G55">
        <v>0</v>
      </c>
      <c r="H55">
        <v>9.5</v>
      </c>
      <c r="I55">
        <v>5681</v>
      </c>
      <c r="J55">
        <v>8072</v>
      </c>
      <c r="K55">
        <v>8751</v>
      </c>
      <c r="L55">
        <v>-33.979999999999997</v>
      </c>
      <c r="M55">
        <v>-90.37</v>
      </c>
      <c r="N55">
        <v>-106.4</v>
      </c>
      <c r="O55">
        <v>4.67</v>
      </c>
      <c r="P55" t="b">
        <v>1</v>
      </c>
      <c r="Q55">
        <v>0</v>
      </c>
      <c r="R55">
        <v>417</v>
      </c>
      <c r="U55" t="s">
        <v>1859</v>
      </c>
      <c r="V55" t="s">
        <v>2723</v>
      </c>
      <c r="W55">
        <v>0</v>
      </c>
      <c r="X55">
        <v>-5.4</v>
      </c>
      <c r="Y55" t="s">
        <v>3576</v>
      </c>
      <c r="Z55">
        <v>-10.554350319186399</v>
      </c>
      <c r="AA55">
        <v>666</v>
      </c>
      <c r="AB55">
        <v>33991</v>
      </c>
      <c r="AC55" t="s">
        <v>4378</v>
      </c>
      <c r="AD55">
        <v>58.27</v>
      </c>
      <c r="AE55" t="s">
        <v>5242</v>
      </c>
      <c r="AF55" t="s">
        <v>6099</v>
      </c>
      <c r="AG55">
        <v>2376</v>
      </c>
      <c r="AH55">
        <v>79</v>
      </c>
      <c r="AI55">
        <v>260000</v>
      </c>
      <c r="AJ55">
        <v>3.79</v>
      </c>
    </row>
    <row r="56" spans="1:36">
      <c r="A56" s="1" t="s">
        <v>734</v>
      </c>
      <c r="B56" t="s">
        <v>1598</v>
      </c>
      <c r="C56" t="str">
        <f>HYPERLINK("https://finance.naver.com/item/coinfo.nhn?code=047050", "A047050")</f>
        <v>A047050</v>
      </c>
      <c r="D56" t="str">
        <f>HYPERLINK("http://comp.fnguide.com/SVO2/ASP/SVD_Consensus.asp?pGB=1&amp;gicode=A047050&amp;cID=&amp;MenuYn=Y&amp;ReportGB=&amp;NewMenuID=108&amp;stkGb=701", "포스코인터내셔널")</f>
        <v>포스코인터내셔널</v>
      </c>
      <c r="E56">
        <v>3</v>
      </c>
      <c r="F56">
        <v>15200</v>
      </c>
      <c r="G56">
        <v>0.73</v>
      </c>
      <c r="H56">
        <v>10.99</v>
      </c>
      <c r="I56">
        <v>20062</v>
      </c>
      <c r="J56">
        <v>22854</v>
      </c>
      <c r="K56">
        <v>23648</v>
      </c>
      <c r="L56">
        <v>-31.99</v>
      </c>
      <c r="M56">
        <v>-50.36</v>
      </c>
      <c r="N56">
        <v>-55.58</v>
      </c>
      <c r="O56">
        <v>6.45</v>
      </c>
      <c r="P56" t="b">
        <v>1</v>
      </c>
      <c r="Q56">
        <v>2</v>
      </c>
      <c r="R56">
        <v>1697</v>
      </c>
      <c r="S56">
        <v>2195</v>
      </c>
      <c r="T56">
        <v>29.3</v>
      </c>
      <c r="U56" t="s">
        <v>2462</v>
      </c>
      <c r="V56" t="s">
        <v>3326</v>
      </c>
      <c r="W56">
        <v>14.9589733174281</v>
      </c>
      <c r="X56">
        <v>6.9</v>
      </c>
      <c r="Y56" t="s">
        <v>4122</v>
      </c>
      <c r="Z56">
        <v>9.9013359499590123</v>
      </c>
      <c r="AA56">
        <v>18753</v>
      </c>
      <c r="AB56">
        <v>719592</v>
      </c>
      <c r="AC56" t="s">
        <v>4981</v>
      </c>
      <c r="AD56">
        <v>63.38</v>
      </c>
      <c r="AE56" t="s">
        <v>5845</v>
      </c>
      <c r="AF56" t="s">
        <v>6661</v>
      </c>
      <c r="AG56">
        <v>244226</v>
      </c>
      <c r="AH56">
        <v>6053</v>
      </c>
      <c r="AI56">
        <v>258</v>
      </c>
      <c r="AJ56">
        <v>3.75</v>
      </c>
    </row>
    <row r="57" spans="1:36">
      <c r="A57" s="1" t="s">
        <v>226</v>
      </c>
      <c r="B57" t="s">
        <v>1090</v>
      </c>
      <c r="C57" t="str">
        <f>HYPERLINK("https://finance.naver.com/item/coinfo.nhn?code=024120", "A024120")</f>
        <v>A024120</v>
      </c>
      <c r="D57" t="str">
        <f>HYPERLINK("http://comp.fnguide.com/SVO2/ASP/SVD_Consensus.asp?pGB=1&amp;gicode=A024120&amp;cID=&amp;MenuYn=Y&amp;ReportGB=&amp;NewMenuID=108&amp;stkGb=701", "KB오토시스")</f>
        <v>KB오토시스</v>
      </c>
      <c r="E57">
        <v>3</v>
      </c>
      <c r="F57">
        <v>7370</v>
      </c>
      <c r="G57">
        <v>0</v>
      </c>
      <c r="H57">
        <v>6.65</v>
      </c>
      <c r="I57">
        <v>14230</v>
      </c>
      <c r="J57">
        <v>11031</v>
      </c>
      <c r="K57">
        <v>10122</v>
      </c>
      <c r="L57">
        <v>-93.08</v>
      </c>
      <c r="M57">
        <v>-49.67</v>
      </c>
      <c r="N57">
        <v>-37.340000000000003</v>
      </c>
      <c r="O57">
        <v>12.68</v>
      </c>
      <c r="P57" t="b">
        <v>1</v>
      </c>
      <c r="Q57">
        <v>0</v>
      </c>
      <c r="R57">
        <v>930</v>
      </c>
      <c r="U57" t="s">
        <v>1954</v>
      </c>
      <c r="V57" t="s">
        <v>2818</v>
      </c>
      <c r="W57">
        <v>0</v>
      </c>
      <c r="X57">
        <v>-77.2</v>
      </c>
      <c r="Y57" t="s">
        <v>3666</v>
      </c>
      <c r="Z57">
        <v>-14.700060334505981</v>
      </c>
      <c r="AA57">
        <v>848</v>
      </c>
      <c r="AB57">
        <v>792152</v>
      </c>
      <c r="AC57" t="s">
        <v>4473</v>
      </c>
      <c r="AD57">
        <v>72.069999999999993</v>
      </c>
      <c r="AE57" t="s">
        <v>5337</v>
      </c>
      <c r="AF57" t="s">
        <v>6194</v>
      </c>
      <c r="AG57">
        <v>1478</v>
      </c>
      <c r="AH57">
        <v>127</v>
      </c>
      <c r="AJ57">
        <v>3.72</v>
      </c>
    </row>
    <row r="58" spans="1:36">
      <c r="A58" s="1" t="s">
        <v>573</v>
      </c>
      <c r="B58" t="s">
        <v>1437</v>
      </c>
      <c r="C58" t="str">
        <f>HYPERLINK("https://finance.naver.com/item/coinfo.nhn?code=078930", "A078930")</f>
        <v>A078930</v>
      </c>
      <c r="D58" t="str">
        <f>HYPERLINK("http://comp.fnguide.com/SVO2/ASP/SVD_Consensus.asp?pGB=1&amp;gicode=A078930&amp;cID=&amp;MenuYn=Y&amp;ReportGB=&amp;NewMenuID=108&amp;stkGb=701", "GS")</f>
        <v>GS</v>
      </c>
      <c r="E58">
        <v>3</v>
      </c>
      <c r="F58">
        <v>37500</v>
      </c>
      <c r="G58">
        <v>0</v>
      </c>
      <c r="H58">
        <v>8.98</v>
      </c>
      <c r="I58">
        <v>109289</v>
      </c>
      <c r="J58">
        <v>101033</v>
      </c>
      <c r="K58">
        <v>98687</v>
      </c>
      <c r="L58">
        <v>-191.44</v>
      </c>
      <c r="M58">
        <v>-169.42</v>
      </c>
      <c r="N58">
        <v>-163.16999999999999</v>
      </c>
      <c r="O58">
        <v>9.08</v>
      </c>
      <c r="P58" t="b">
        <v>0</v>
      </c>
      <c r="Q58">
        <v>0</v>
      </c>
      <c r="R58">
        <v>5744</v>
      </c>
      <c r="S58">
        <v>-348</v>
      </c>
      <c r="T58">
        <v>-106.1</v>
      </c>
      <c r="U58" t="s">
        <v>2301</v>
      </c>
      <c r="V58" t="s">
        <v>3165</v>
      </c>
      <c r="W58">
        <v>0</v>
      </c>
      <c r="X58">
        <v>0</v>
      </c>
      <c r="Y58" t="s">
        <v>3975</v>
      </c>
      <c r="Z58">
        <v>2.5251741218843549</v>
      </c>
      <c r="AA58">
        <v>34843</v>
      </c>
      <c r="AB58">
        <v>244796</v>
      </c>
      <c r="AC58" t="s">
        <v>4820</v>
      </c>
      <c r="AD58">
        <v>52.12</v>
      </c>
      <c r="AE58" t="s">
        <v>5684</v>
      </c>
      <c r="AF58" t="s">
        <v>6513</v>
      </c>
      <c r="AG58">
        <v>177861</v>
      </c>
      <c r="AH58">
        <v>20331</v>
      </c>
      <c r="AI58">
        <v>19883</v>
      </c>
      <c r="AJ58">
        <v>3.68</v>
      </c>
    </row>
    <row r="59" spans="1:36">
      <c r="A59" s="1" t="s">
        <v>654</v>
      </c>
      <c r="B59" t="s">
        <v>1518</v>
      </c>
      <c r="C59" t="str">
        <f>HYPERLINK("https://finance.naver.com/item/coinfo.nhn?code=001800", "A001800")</f>
        <v>A001800</v>
      </c>
      <c r="D59" t="str">
        <f>HYPERLINK("http://comp.fnguide.com/SVO2/ASP/SVD_Consensus.asp?pGB=1&amp;gicode=A001800&amp;cID=&amp;MenuYn=Y&amp;ReportGB=&amp;NewMenuID=108&amp;stkGb=701", "오리온홀딩스")</f>
        <v>오리온홀딩스</v>
      </c>
      <c r="E59">
        <v>3</v>
      </c>
      <c r="F59">
        <v>13800</v>
      </c>
      <c r="G59">
        <v>0</v>
      </c>
      <c r="H59">
        <v>23.05</v>
      </c>
      <c r="I59">
        <v>66913</v>
      </c>
      <c r="J59">
        <v>45918</v>
      </c>
      <c r="K59">
        <v>39951</v>
      </c>
      <c r="L59">
        <v>-384.87</v>
      </c>
      <c r="M59">
        <v>-232.74</v>
      </c>
      <c r="N59">
        <v>-189.5</v>
      </c>
      <c r="O59">
        <v>16.59</v>
      </c>
      <c r="P59" t="b">
        <v>0</v>
      </c>
      <c r="Q59">
        <v>0</v>
      </c>
      <c r="R59">
        <v>772</v>
      </c>
      <c r="U59" t="s">
        <v>2382</v>
      </c>
      <c r="V59" t="s">
        <v>3246</v>
      </c>
      <c r="W59">
        <v>0</v>
      </c>
      <c r="X59">
        <v>50.8</v>
      </c>
      <c r="Y59" t="s">
        <v>4052</v>
      </c>
      <c r="Z59">
        <v>-15.341600402863969</v>
      </c>
      <c r="AA59">
        <v>8645</v>
      </c>
      <c r="AB59">
        <v>216953</v>
      </c>
      <c r="AC59" t="s">
        <v>4901</v>
      </c>
      <c r="AD59">
        <v>63.85</v>
      </c>
      <c r="AE59" t="s">
        <v>5765</v>
      </c>
      <c r="AF59" t="s">
        <v>6590</v>
      </c>
      <c r="AG59">
        <v>21036</v>
      </c>
      <c r="AH59">
        <v>2667</v>
      </c>
      <c r="AI59">
        <v>2488769</v>
      </c>
      <c r="AJ59">
        <v>3.65</v>
      </c>
    </row>
    <row r="60" spans="1:36">
      <c r="A60" s="1" t="s">
        <v>417</v>
      </c>
      <c r="B60" t="s">
        <v>1281</v>
      </c>
      <c r="C60" t="str">
        <f>HYPERLINK("https://finance.naver.com/item/coinfo.nhn?code=079000", "A079000")</f>
        <v>A079000</v>
      </c>
      <c r="D60" t="str">
        <f>HYPERLINK("http://comp.fnguide.com/SVO2/ASP/SVD_Consensus.asp?pGB=1&amp;gicode=A079000&amp;cID=&amp;MenuYn=Y&amp;ReportGB=&amp;NewMenuID=108&amp;stkGb=701", "와토스코리아")</f>
        <v>와토스코리아</v>
      </c>
      <c r="E60">
        <v>3</v>
      </c>
      <c r="F60">
        <v>5450</v>
      </c>
      <c r="G60">
        <v>0</v>
      </c>
      <c r="H60">
        <v>12.67</v>
      </c>
      <c r="I60">
        <v>5661</v>
      </c>
      <c r="J60">
        <v>8548</v>
      </c>
      <c r="K60">
        <v>9369</v>
      </c>
      <c r="L60">
        <v>-3.86</v>
      </c>
      <c r="M60">
        <v>-56.85</v>
      </c>
      <c r="N60">
        <v>-71.91</v>
      </c>
      <c r="O60">
        <v>4.3</v>
      </c>
      <c r="P60" t="b">
        <v>1</v>
      </c>
      <c r="Q60">
        <v>0</v>
      </c>
      <c r="R60">
        <v>437</v>
      </c>
      <c r="U60" t="s">
        <v>2145</v>
      </c>
      <c r="V60" t="s">
        <v>3009</v>
      </c>
      <c r="W60">
        <v>0</v>
      </c>
      <c r="X60">
        <v>-74.900000000000006</v>
      </c>
      <c r="Y60" t="s">
        <v>3826</v>
      </c>
      <c r="Z60">
        <v>-31.482556748599851</v>
      </c>
      <c r="AA60">
        <v>392</v>
      </c>
      <c r="AB60">
        <v>28421</v>
      </c>
      <c r="AC60" t="s">
        <v>4664</v>
      </c>
      <c r="AD60">
        <v>67.12</v>
      </c>
      <c r="AE60" t="s">
        <v>5528</v>
      </c>
      <c r="AF60" t="s">
        <v>6361</v>
      </c>
      <c r="AG60">
        <v>183</v>
      </c>
      <c r="AH60">
        <v>5</v>
      </c>
      <c r="AI60">
        <v>1393</v>
      </c>
      <c r="AJ60">
        <v>3.61</v>
      </c>
    </row>
    <row r="61" spans="1:36">
      <c r="A61" s="1" t="s">
        <v>408</v>
      </c>
      <c r="B61" t="s">
        <v>1272</v>
      </c>
      <c r="C61" t="str">
        <f>HYPERLINK("https://finance.naver.com/item/coinfo.nhn?code=036560", "A036560")</f>
        <v>A036560</v>
      </c>
      <c r="D61" t="str">
        <f>HYPERLINK("http://comp.fnguide.com/SVO2/ASP/SVD_Consensus.asp?pGB=1&amp;gicode=A036560&amp;cID=&amp;MenuYn=Y&amp;ReportGB=&amp;NewMenuID=108&amp;stkGb=701", "영풍정밀")</f>
        <v>영풍정밀</v>
      </c>
      <c r="E61">
        <v>3</v>
      </c>
      <c r="F61">
        <v>8360</v>
      </c>
      <c r="G61">
        <v>0</v>
      </c>
      <c r="H61">
        <v>10.64</v>
      </c>
      <c r="I61">
        <v>9040</v>
      </c>
      <c r="J61">
        <v>14465</v>
      </c>
      <c r="K61">
        <v>16007</v>
      </c>
      <c r="L61">
        <v>-8.1300000000000008</v>
      </c>
      <c r="M61">
        <v>-73.03</v>
      </c>
      <c r="N61">
        <v>-91.47</v>
      </c>
      <c r="O61">
        <v>3.98</v>
      </c>
      <c r="P61" t="b">
        <v>1</v>
      </c>
      <c r="Q61">
        <v>0</v>
      </c>
      <c r="R61">
        <v>799</v>
      </c>
      <c r="U61" t="s">
        <v>2136</v>
      </c>
      <c r="V61" t="s">
        <v>3000</v>
      </c>
      <c r="W61">
        <v>0</v>
      </c>
      <c r="X61">
        <v>8.5</v>
      </c>
      <c r="Y61" t="s">
        <v>3817</v>
      </c>
      <c r="Z61">
        <v>8.4411357410976606</v>
      </c>
      <c r="AA61">
        <v>1317</v>
      </c>
      <c r="AB61">
        <v>145105</v>
      </c>
      <c r="AC61" t="s">
        <v>4655</v>
      </c>
      <c r="AD61">
        <v>51.07</v>
      </c>
      <c r="AE61" t="s">
        <v>5519</v>
      </c>
      <c r="AF61" t="s">
        <v>6352</v>
      </c>
      <c r="AG61">
        <v>750</v>
      </c>
      <c r="AH61">
        <v>101</v>
      </c>
      <c r="AJ61">
        <v>3.53</v>
      </c>
    </row>
    <row r="62" spans="1:36">
      <c r="A62" s="1" t="s">
        <v>620</v>
      </c>
      <c r="B62" t="s">
        <v>1484</v>
      </c>
      <c r="C62" t="str">
        <f>HYPERLINK("https://finance.naver.com/item/coinfo.nhn?code=018670", "A018670")</f>
        <v>A018670</v>
      </c>
      <c r="D62" t="str">
        <f>HYPERLINK("http://comp.fnguide.com/SVO2/ASP/SVD_Consensus.asp?pGB=1&amp;gicode=A018670&amp;cID=&amp;MenuYn=Y&amp;ReportGB=&amp;NewMenuID=108&amp;stkGb=701", "SK가스")</f>
        <v>SK가스</v>
      </c>
      <c r="E62">
        <v>3</v>
      </c>
      <c r="F62">
        <v>105500</v>
      </c>
      <c r="G62">
        <v>0.13</v>
      </c>
      <c r="H62">
        <v>4.92</v>
      </c>
      <c r="I62">
        <v>173390</v>
      </c>
      <c r="J62">
        <v>180928</v>
      </c>
      <c r="K62">
        <v>183069</v>
      </c>
      <c r="L62">
        <v>-64.349999999999994</v>
      </c>
      <c r="M62">
        <v>-71.5</v>
      </c>
      <c r="N62">
        <v>-73.53</v>
      </c>
      <c r="O62">
        <v>7.4</v>
      </c>
      <c r="P62" t="b">
        <v>1</v>
      </c>
      <c r="Q62">
        <v>2</v>
      </c>
      <c r="R62">
        <v>17212</v>
      </c>
      <c r="S62">
        <v>29439</v>
      </c>
      <c r="T62">
        <v>71</v>
      </c>
      <c r="U62" t="s">
        <v>2348</v>
      </c>
      <c r="V62" t="s">
        <v>3212</v>
      </c>
      <c r="W62">
        <v>38.555394090302151</v>
      </c>
      <c r="X62">
        <v>1015.5</v>
      </c>
      <c r="Y62" t="s">
        <v>4022</v>
      </c>
      <c r="Z62">
        <v>91.240142071169686</v>
      </c>
      <c r="AA62">
        <v>9738</v>
      </c>
      <c r="AB62">
        <v>21304</v>
      </c>
      <c r="AC62" t="s">
        <v>4867</v>
      </c>
      <c r="AD62">
        <v>67.349999999999994</v>
      </c>
      <c r="AE62" t="s">
        <v>5731</v>
      </c>
      <c r="AF62" t="s">
        <v>6560</v>
      </c>
      <c r="AG62">
        <v>49311</v>
      </c>
      <c r="AH62">
        <v>1896</v>
      </c>
      <c r="AI62">
        <v>297248</v>
      </c>
      <c r="AJ62">
        <v>3.51</v>
      </c>
    </row>
    <row r="63" spans="1:36">
      <c r="A63" s="1" t="s">
        <v>446</v>
      </c>
      <c r="B63" t="s">
        <v>1310</v>
      </c>
      <c r="C63" t="str">
        <f>HYPERLINK("https://finance.naver.com/item/coinfo.nhn?code=241560", "A241560")</f>
        <v>A241560</v>
      </c>
      <c r="D63" t="str">
        <f>HYPERLINK("http://comp.fnguide.com/SVO2/ASP/SVD_Consensus.asp?pGB=1&amp;gicode=A241560&amp;cID=&amp;MenuYn=Y&amp;ReportGB=&amp;NewMenuID=108&amp;stkGb=701", "두산밥캣")</f>
        <v>두산밥캣</v>
      </c>
      <c r="E63">
        <v>3</v>
      </c>
      <c r="F63">
        <v>30000</v>
      </c>
      <c r="G63">
        <v>-1.29</v>
      </c>
      <c r="H63">
        <v>12.65</v>
      </c>
      <c r="I63">
        <v>36651</v>
      </c>
      <c r="J63">
        <v>38481</v>
      </c>
      <c r="K63">
        <v>39001</v>
      </c>
      <c r="L63">
        <v>-22.17</v>
      </c>
      <c r="M63">
        <v>-28.27</v>
      </c>
      <c r="N63">
        <v>-30</v>
      </c>
      <c r="O63">
        <v>7.33</v>
      </c>
      <c r="P63" t="b">
        <v>1</v>
      </c>
      <c r="Q63">
        <v>0</v>
      </c>
      <c r="R63">
        <v>2714</v>
      </c>
      <c r="S63">
        <v>2002</v>
      </c>
      <c r="T63">
        <v>-26.2</v>
      </c>
      <c r="U63" t="s">
        <v>2174</v>
      </c>
      <c r="V63" t="s">
        <v>3038</v>
      </c>
      <c r="W63">
        <v>-9.8118204026815707</v>
      </c>
      <c r="X63">
        <v>-37.700000000000003</v>
      </c>
      <c r="Y63" t="s">
        <v>3854</v>
      </c>
      <c r="Z63">
        <v>1.8682738874399969</v>
      </c>
      <c r="AA63">
        <v>30075</v>
      </c>
      <c r="AB63">
        <v>255182</v>
      </c>
      <c r="AC63" t="s">
        <v>4693</v>
      </c>
      <c r="AD63">
        <v>51.06</v>
      </c>
      <c r="AE63" t="s">
        <v>5557</v>
      </c>
      <c r="AF63" t="s">
        <v>6390</v>
      </c>
      <c r="AG63">
        <v>45096</v>
      </c>
      <c r="AH63">
        <v>4770</v>
      </c>
      <c r="AJ63">
        <v>3.49</v>
      </c>
    </row>
    <row r="64" spans="1:36">
      <c r="A64" s="1" t="s">
        <v>458</v>
      </c>
      <c r="B64" t="s">
        <v>1322</v>
      </c>
      <c r="C64" t="str">
        <f>HYPERLINK("https://finance.naver.com/item/coinfo.nhn?code=006570", "A006570")</f>
        <v>A006570</v>
      </c>
      <c r="D64" t="str">
        <f>HYPERLINK("http://comp.fnguide.com/SVO2/ASP/SVD_Consensus.asp?pGB=1&amp;gicode=A006570&amp;cID=&amp;MenuYn=Y&amp;ReportGB=&amp;NewMenuID=108&amp;stkGb=701", "대림통상")</f>
        <v>대림통상</v>
      </c>
      <c r="E64">
        <v>3</v>
      </c>
      <c r="F64">
        <v>4030</v>
      </c>
      <c r="G64">
        <v>0</v>
      </c>
      <c r="I64">
        <v>0</v>
      </c>
      <c r="J64">
        <v>3639</v>
      </c>
      <c r="K64">
        <v>4673</v>
      </c>
      <c r="L64">
        <v>100</v>
      </c>
      <c r="M64">
        <v>9.7100000000000009</v>
      </c>
      <c r="N64">
        <v>-15.95</v>
      </c>
      <c r="O64">
        <v>0</v>
      </c>
      <c r="P64" t="b">
        <v>0</v>
      </c>
      <c r="Q64">
        <v>0</v>
      </c>
      <c r="R64">
        <v>-765</v>
      </c>
      <c r="U64" t="s">
        <v>2186</v>
      </c>
      <c r="V64" t="s">
        <v>3050</v>
      </c>
      <c r="W64">
        <v>0</v>
      </c>
      <c r="X64">
        <v>0</v>
      </c>
      <c r="Y64" t="s">
        <v>3499</v>
      </c>
      <c r="Z64">
        <v>0</v>
      </c>
      <c r="AA64">
        <v>614</v>
      </c>
      <c r="AB64">
        <v>71155</v>
      </c>
      <c r="AC64" t="s">
        <v>4705</v>
      </c>
      <c r="AD64">
        <v>79.48</v>
      </c>
      <c r="AE64" t="s">
        <v>5569</v>
      </c>
      <c r="AF64" t="s">
        <v>6021</v>
      </c>
      <c r="AG64">
        <v>1836</v>
      </c>
      <c r="AH64">
        <v>-25</v>
      </c>
      <c r="AI64">
        <v>111373</v>
      </c>
      <c r="AJ64">
        <v>3.4</v>
      </c>
    </row>
    <row r="65" spans="1:36">
      <c r="A65" s="1" t="s">
        <v>780</v>
      </c>
      <c r="B65" t="s">
        <v>1644</v>
      </c>
      <c r="C65" t="str">
        <f>HYPERLINK("https://finance.naver.com/item/coinfo.nhn?code=016800", "A016800")</f>
        <v>A016800</v>
      </c>
      <c r="D65" t="str">
        <f>HYPERLINK("http://comp.fnguide.com/SVO2/ASP/SVD_Consensus.asp?pGB=1&amp;gicode=A016800&amp;cID=&amp;MenuYn=Y&amp;ReportGB=&amp;NewMenuID=108&amp;stkGb=701", "퍼시스")</f>
        <v>퍼시스</v>
      </c>
      <c r="E65">
        <v>3</v>
      </c>
      <c r="F65">
        <v>30700</v>
      </c>
      <c r="G65">
        <v>0</v>
      </c>
      <c r="H65">
        <v>9.99</v>
      </c>
      <c r="I65">
        <v>52821</v>
      </c>
      <c r="J65">
        <v>50134</v>
      </c>
      <c r="K65">
        <v>49370</v>
      </c>
      <c r="L65">
        <v>-72.06</v>
      </c>
      <c r="M65">
        <v>-63.3</v>
      </c>
      <c r="N65">
        <v>-60.82</v>
      </c>
      <c r="O65">
        <v>8.67</v>
      </c>
      <c r="P65" t="b">
        <v>1</v>
      </c>
      <c r="Q65">
        <v>0</v>
      </c>
      <c r="R65">
        <v>2953</v>
      </c>
      <c r="U65" t="s">
        <v>2508</v>
      </c>
      <c r="V65" t="s">
        <v>3372</v>
      </c>
      <c r="W65">
        <v>0</v>
      </c>
      <c r="X65">
        <v>11.3</v>
      </c>
      <c r="Y65" t="s">
        <v>4166</v>
      </c>
      <c r="Z65">
        <v>4.7071967565230688</v>
      </c>
      <c r="AA65">
        <v>3531</v>
      </c>
      <c r="AB65">
        <v>1274</v>
      </c>
      <c r="AC65" t="s">
        <v>5027</v>
      </c>
      <c r="AD65">
        <v>54.71</v>
      </c>
      <c r="AE65" t="s">
        <v>5891</v>
      </c>
      <c r="AF65" t="s">
        <v>6700</v>
      </c>
      <c r="AG65">
        <v>3047</v>
      </c>
      <c r="AH65">
        <v>251</v>
      </c>
      <c r="AI65">
        <v>2319969</v>
      </c>
      <c r="AJ65">
        <v>3.39</v>
      </c>
    </row>
    <row r="66" spans="1:36">
      <c r="A66" s="1" t="s">
        <v>82</v>
      </c>
      <c r="B66" t="s">
        <v>946</v>
      </c>
      <c r="C66" t="str">
        <f>HYPERLINK("https://finance.naver.com/item/coinfo.nhn?code=060380", "A060380")</f>
        <v>A060380</v>
      </c>
      <c r="D66" t="str">
        <f>HYPERLINK("http://comp.fnguide.com/SVO2/ASP/SVD_Consensus.asp?pGB=1&amp;gicode=A060380&amp;cID=&amp;MenuYn=Y&amp;ReportGB=&amp;NewMenuID=108&amp;stkGb=701", "동양에스텍")</f>
        <v>동양에스텍</v>
      </c>
      <c r="E66">
        <v>3</v>
      </c>
      <c r="F66">
        <v>3045</v>
      </c>
      <c r="G66">
        <v>0</v>
      </c>
      <c r="H66">
        <v>15.13</v>
      </c>
      <c r="I66">
        <v>1960</v>
      </c>
      <c r="J66">
        <v>3975</v>
      </c>
      <c r="K66">
        <v>4548</v>
      </c>
      <c r="L66">
        <v>35.619999999999997</v>
      </c>
      <c r="M66">
        <v>-30.55</v>
      </c>
      <c r="N66">
        <v>-49.36</v>
      </c>
      <c r="O66">
        <v>2.93</v>
      </c>
      <c r="P66" t="b">
        <v>1</v>
      </c>
      <c r="Q66">
        <v>0</v>
      </c>
      <c r="R66">
        <v>195</v>
      </c>
      <c r="U66" t="s">
        <v>1810</v>
      </c>
      <c r="V66" t="s">
        <v>2674</v>
      </c>
      <c r="W66">
        <v>0</v>
      </c>
      <c r="X66">
        <v>-22.2</v>
      </c>
      <c r="Y66" t="s">
        <v>3534</v>
      </c>
      <c r="Z66">
        <v>-24.896737753943061</v>
      </c>
      <c r="AA66">
        <v>305</v>
      </c>
      <c r="AB66">
        <v>28668</v>
      </c>
      <c r="AC66" t="s">
        <v>4329</v>
      </c>
      <c r="AD66">
        <v>54.01</v>
      </c>
      <c r="AE66" t="s">
        <v>5193</v>
      </c>
      <c r="AF66" t="s">
        <v>6056</v>
      </c>
      <c r="AG66">
        <v>2121</v>
      </c>
      <c r="AH66">
        <v>28</v>
      </c>
      <c r="AI66">
        <v>300000</v>
      </c>
      <c r="AJ66">
        <v>3.39</v>
      </c>
    </row>
    <row r="67" spans="1:36">
      <c r="A67" s="1" t="s">
        <v>303</v>
      </c>
      <c r="B67" t="s">
        <v>1167</v>
      </c>
      <c r="C67" t="str">
        <f>HYPERLINK("https://finance.naver.com/item/coinfo.nhn?code=010240", "A010240")</f>
        <v>A010240</v>
      </c>
      <c r="D67" t="str">
        <f>HYPERLINK("http://comp.fnguide.com/SVO2/ASP/SVD_Consensus.asp?pGB=1&amp;gicode=A010240&amp;cID=&amp;MenuYn=Y&amp;ReportGB=&amp;NewMenuID=108&amp;stkGb=701", "흥국")</f>
        <v>흥국</v>
      </c>
      <c r="E67">
        <v>3</v>
      </c>
      <c r="F67">
        <v>6130</v>
      </c>
      <c r="G67">
        <v>0</v>
      </c>
      <c r="H67">
        <v>7.79</v>
      </c>
      <c r="I67">
        <v>9106</v>
      </c>
      <c r="J67">
        <v>7144</v>
      </c>
      <c r="K67">
        <v>6586</v>
      </c>
      <c r="L67">
        <v>-48.55</v>
      </c>
      <c r="M67">
        <v>-16.53</v>
      </c>
      <c r="N67">
        <v>-7.44</v>
      </c>
      <c r="O67">
        <v>12.37</v>
      </c>
      <c r="P67" t="b">
        <v>1</v>
      </c>
      <c r="Q67">
        <v>0</v>
      </c>
      <c r="R67">
        <v>568</v>
      </c>
      <c r="U67" t="s">
        <v>2031</v>
      </c>
      <c r="V67" t="s">
        <v>2895</v>
      </c>
      <c r="W67">
        <v>0</v>
      </c>
      <c r="X67">
        <v>60.8</v>
      </c>
      <c r="Y67" t="s">
        <v>3734</v>
      </c>
      <c r="Z67">
        <v>51.503500197006737</v>
      </c>
      <c r="AA67">
        <v>755</v>
      </c>
      <c r="AB67">
        <v>102631</v>
      </c>
      <c r="AC67" t="s">
        <v>4550</v>
      </c>
      <c r="AD67">
        <v>51.18</v>
      </c>
      <c r="AE67" t="s">
        <v>5414</v>
      </c>
      <c r="AF67" t="s">
        <v>6265</v>
      </c>
      <c r="AG67">
        <v>1045</v>
      </c>
      <c r="AH67">
        <v>89</v>
      </c>
      <c r="AI67">
        <v>772811</v>
      </c>
      <c r="AJ67">
        <v>3.39</v>
      </c>
    </row>
    <row r="68" spans="1:36">
      <c r="A68" s="1" t="s">
        <v>602</v>
      </c>
      <c r="B68" t="s">
        <v>1466</v>
      </c>
      <c r="C68" t="str">
        <f>HYPERLINK("https://finance.naver.com/item/coinfo.nhn?code=090350", "A090350")</f>
        <v>A090350</v>
      </c>
      <c r="D68" t="str">
        <f>HYPERLINK("http://comp.fnguide.com/SVO2/ASP/SVD_Consensus.asp?pGB=1&amp;gicode=A090350&amp;cID=&amp;MenuYn=Y&amp;ReportGB=&amp;NewMenuID=108&amp;stkGb=701", "노루페인트")</f>
        <v>노루페인트</v>
      </c>
      <c r="E68">
        <v>3</v>
      </c>
      <c r="F68">
        <v>9180</v>
      </c>
      <c r="G68">
        <v>0</v>
      </c>
      <c r="H68">
        <v>8.82</v>
      </c>
      <c r="I68">
        <v>12395</v>
      </c>
      <c r="J68">
        <v>14636</v>
      </c>
      <c r="K68">
        <v>15273</v>
      </c>
      <c r="L68">
        <v>-35.020000000000003</v>
      </c>
      <c r="M68">
        <v>-59.43</v>
      </c>
      <c r="N68">
        <v>-66.37</v>
      </c>
      <c r="O68">
        <v>6.11</v>
      </c>
      <c r="P68" t="b">
        <v>1</v>
      </c>
      <c r="Q68">
        <v>0</v>
      </c>
      <c r="R68">
        <v>924</v>
      </c>
      <c r="U68" t="s">
        <v>2330</v>
      </c>
      <c r="V68" t="s">
        <v>3194</v>
      </c>
      <c r="W68">
        <v>0</v>
      </c>
      <c r="X68">
        <v>-1.2</v>
      </c>
      <c r="Y68" t="s">
        <v>4004</v>
      </c>
      <c r="Z68">
        <v>-10.628074829354521</v>
      </c>
      <c r="AA68">
        <v>1836</v>
      </c>
      <c r="AB68">
        <v>197505</v>
      </c>
      <c r="AC68" t="s">
        <v>4849</v>
      </c>
      <c r="AD68">
        <v>53.21</v>
      </c>
      <c r="AE68" t="s">
        <v>5713</v>
      </c>
      <c r="AF68" t="s">
        <v>6542</v>
      </c>
      <c r="AG68">
        <v>6475</v>
      </c>
      <c r="AH68">
        <v>292</v>
      </c>
      <c r="AJ68">
        <v>3.37</v>
      </c>
    </row>
    <row r="69" spans="1:36">
      <c r="A69" s="1" t="s">
        <v>195</v>
      </c>
      <c r="B69" t="s">
        <v>1059</v>
      </c>
      <c r="C69" t="str">
        <f>HYPERLINK("https://finance.naver.com/item/coinfo.nhn?code=121440", "A121440")</f>
        <v>A121440</v>
      </c>
      <c r="D69" t="str">
        <f>HYPERLINK("http://comp.fnguide.com/SVO2/ASP/SVD_Consensus.asp?pGB=1&amp;gicode=A121440&amp;cID=&amp;MenuYn=Y&amp;ReportGB=&amp;NewMenuID=108&amp;stkGb=701", "골프존뉴딘홀딩스")</f>
        <v>골프존뉴딘홀딩스</v>
      </c>
      <c r="E69">
        <v>3</v>
      </c>
      <c r="F69">
        <v>5560</v>
      </c>
      <c r="G69">
        <v>0</v>
      </c>
      <c r="I69">
        <v>0</v>
      </c>
      <c r="J69">
        <v>6314</v>
      </c>
      <c r="K69">
        <v>8108</v>
      </c>
      <c r="L69">
        <v>100</v>
      </c>
      <c r="M69">
        <v>-13.56</v>
      </c>
      <c r="N69">
        <v>-45.83</v>
      </c>
      <c r="O69">
        <v>0</v>
      </c>
      <c r="P69" t="b">
        <v>0</v>
      </c>
      <c r="Q69">
        <v>1</v>
      </c>
      <c r="R69">
        <v>-751</v>
      </c>
      <c r="S69">
        <v>591</v>
      </c>
      <c r="T69">
        <v>-178.7</v>
      </c>
      <c r="U69" t="s">
        <v>1923</v>
      </c>
      <c r="V69" t="s">
        <v>2787</v>
      </c>
      <c r="W69">
        <v>0</v>
      </c>
      <c r="X69">
        <v>0</v>
      </c>
      <c r="Y69" t="s">
        <v>3638</v>
      </c>
      <c r="Z69">
        <v>-99.6</v>
      </c>
      <c r="AA69">
        <v>2382</v>
      </c>
      <c r="AB69">
        <v>53464</v>
      </c>
      <c r="AC69" t="s">
        <v>4442</v>
      </c>
      <c r="AD69">
        <v>55.01</v>
      </c>
      <c r="AE69" t="s">
        <v>5306</v>
      </c>
      <c r="AF69" t="s">
        <v>6163</v>
      </c>
      <c r="AG69">
        <v>2289</v>
      </c>
      <c r="AH69">
        <v>-36</v>
      </c>
      <c r="AI69">
        <v>77616</v>
      </c>
      <c r="AJ69">
        <v>3.3</v>
      </c>
    </row>
    <row r="70" spans="1:36">
      <c r="A70" s="1" t="s">
        <v>431</v>
      </c>
      <c r="B70" t="s">
        <v>1295</v>
      </c>
      <c r="C70" t="str">
        <f>HYPERLINK("https://finance.naver.com/item/coinfo.nhn?code=005190", "A005190")</f>
        <v>A005190</v>
      </c>
      <c r="D70" t="str">
        <f>HYPERLINK("http://comp.fnguide.com/SVO2/ASP/SVD_Consensus.asp?pGB=1&amp;gicode=A005190&amp;cID=&amp;MenuYn=Y&amp;ReportGB=&amp;NewMenuID=108&amp;stkGb=701", "동성화학")</f>
        <v>동성화학</v>
      </c>
      <c r="E70">
        <v>3</v>
      </c>
      <c r="F70">
        <v>16500</v>
      </c>
      <c r="G70">
        <v>0.15</v>
      </c>
      <c r="H70">
        <v>7.3</v>
      </c>
      <c r="I70">
        <v>24910</v>
      </c>
      <c r="J70">
        <v>23616</v>
      </c>
      <c r="K70">
        <v>23249</v>
      </c>
      <c r="L70">
        <v>-50.97</v>
      </c>
      <c r="M70">
        <v>-43.13</v>
      </c>
      <c r="N70">
        <v>-40.9</v>
      </c>
      <c r="O70">
        <v>8.69</v>
      </c>
      <c r="P70" t="b">
        <v>1</v>
      </c>
      <c r="Q70">
        <v>3</v>
      </c>
      <c r="R70">
        <v>2492</v>
      </c>
      <c r="S70">
        <v>3224</v>
      </c>
      <c r="T70">
        <v>29.4</v>
      </c>
      <c r="U70" t="s">
        <v>2159</v>
      </c>
      <c r="V70" t="s">
        <v>3023</v>
      </c>
      <c r="W70">
        <v>48.769438228064168</v>
      </c>
      <c r="X70">
        <v>13.6</v>
      </c>
      <c r="Y70" t="s">
        <v>3839</v>
      </c>
      <c r="Z70">
        <v>7.7184377553398464</v>
      </c>
      <c r="AA70">
        <v>880</v>
      </c>
      <c r="AB70">
        <v>44151</v>
      </c>
      <c r="AC70" t="s">
        <v>4678</v>
      </c>
      <c r="AD70">
        <v>51.23</v>
      </c>
      <c r="AE70" t="s">
        <v>5542</v>
      </c>
      <c r="AF70" t="s">
        <v>6375</v>
      </c>
      <c r="AG70">
        <v>2010</v>
      </c>
      <c r="AH70">
        <v>253</v>
      </c>
      <c r="AI70">
        <v>186177</v>
      </c>
      <c r="AJ70">
        <v>3.3</v>
      </c>
    </row>
    <row r="71" spans="1:36">
      <c r="A71" s="1" t="s">
        <v>80</v>
      </c>
      <c r="B71" t="s">
        <v>944</v>
      </c>
      <c r="C71" t="str">
        <f>HYPERLINK("https://finance.naver.com/item/coinfo.nhn?code=075970", "A075970")</f>
        <v>A075970</v>
      </c>
      <c r="D71" t="str">
        <f>HYPERLINK("http://comp.fnguide.com/SVO2/ASP/SVD_Consensus.asp?pGB=1&amp;gicode=A075970&amp;cID=&amp;MenuYn=Y&amp;ReportGB=&amp;NewMenuID=108&amp;stkGb=701", "동국알앤에스")</f>
        <v>동국알앤에스</v>
      </c>
      <c r="E71">
        <v>3</v>
      </c>
      <c r="F71">
        <v>3295</v>
      </c>
      <c r="G71">
        <v>0</v>
      </c>
      <c r="H71">
        <v>20.13</v>
      </c>
      <c r="I71">
        <v>1739</v>
      </c>
      <c r="J71">
        <v>3139</v>
      </c>
      <c r="K71">
        <v>3536</v>
      </c>
      <c r="L71">
        <v>47.22</v>
      </c>
      <c r="M71">
        <v>4.75</v>
      </c>
      <c r="N71">
        <v>-7.33</v>
      </c>
      <c r="O71">
        <v>3.4</v>
      </c>
      <c r="P71" t="b">
        <v>1</v>
      </c>
      <c r="Q71">
        <v>0</v>
      </c>
      <c r="R71">
        <v>121</v>
      </c>
      <c r="U71" t="s">
        <v>1808</v>
      </c>
      <c r="V71" t="s">
        <v>2672</v>
      </c>
      <c r="W71">
        <v>0</v>
      </c>
      <c r="X71">
        <v>13</v>
      </c>
      <c r="Y71" t="s">
        <v>3532</v>
      </c>
      <c r="Z71">
        <v>8.6009126506166886</v>
      </c>
      <c r="AA71">
        <v>606</v>
      </c>
      <c r="AB71">
        <v>327171</v>
      </c>
      <c r="AC71" t="s">
        <v>4327</v>
      </c>
      <c r="AD71">
        <v>54.18</v>
      </c>
      <c r="AE71" t="s">
        <v>5191</v>
      </c>
      <c r="AF71" t="s">
        <v>6054</v>
      </c>
      <c r="AG71">
        <v>1018</v>
      </c>
      <c r="AH71">
        <v>36</v>
      </c>
      <c r="AJ71">
        <v>3.29</v>
      </c>
    </row>
    <row r="72" spans="1:36">
      <c r="A72" s="1" t="s">
        <v>779</v>
      </c>
      <c r="B72" t="s">
        <v>1643</v>
      </c>
      <c r="C72" t="str">
        <f>HYPERLINK("https://finance.naver.com/item/coinfo.nhn?code=306200", "A306200")</f>
        <v>A306200</v>
      </c>
      <c r="D72" t="str">
        <f>HYPERLINK("http://comp.fnguide.com/SVO2/ASP/SVD_Consensus.asp?pGB=1&amp;gicode=A306200&amp;cID=&amp;MenuYn=Y&amp;ReportGB=&amp;NewMenuID=108&amp;stkGb=701", "세아제강")</f>
        <v>세아제강</v>
      </c>
      <c r="E72">
        <v>3</v>
      </c>
      <c r="F72">
        <v>89300</v>
      </c>
      <c r="G72">
        <v>0</v>
      </c>
      <c r="H72">
        <v>6.95</v>
      </c>
      <c r="I72">
        <v>56779</v>
      </c>
      <c r="J72">
        <v>145353</v>
      </c>
      <c r="K72">
        <v>170524</v>
      </c>
      <c r="L72">
        <v>36.42</v>
      </c>
      <c r="M72">
        <v>-62.77</v>
      </c>
      <c r="N72">
        <v>-90.96</v>
      </c>
      <c r="O72">
        <v>2.21</v>
      </c>
      <c r="P72" t="b">
        <v>1</v>
      </c>
      <c r="Q72">
        <v>0</v>
      </c>
      <c r="R72">
        <v>8762</v>
      </c>
      <c r="U72" t="s">
        <v>2507</v>
      </c>
      <c r="V72" t="s">
        <v>3371</v>
      </c>
      <c r="W72">
        <v>0</v>
      </c>
      <c r="X72">
        <v>8.4</v>
      </c>
      <c r="Y72" t="s">
        <v>4165</v>
      </c>
      <c r="Z72">
        <v>0</v>
      </c>
      <c r="AA72">
        <v>2533</v>
      </c>
      <c r="AB72">
        <v>9787</v>
      </c>
      <c r="AC72" t="s">
        <v>5026</v>
      </c>
      <c r="AD72">
        <v>59.56</v>
      </c>
      <c r="AE72" t="s">
        <v>5890</v>
      </c>
      <c r="AF72" t="s">
        <v>6699</v>
      </c>
      <c r="AG72">
        <v>12272</v>
      </c>
      <c r="AH72">
        <v>459</v>
      </c>
      <c r="AI72">
        <v>36200</v>
      </c>
      <c r="AJ72">
        <v>3.28</v>
      </c>
    </row>
    <row r="73" spans="1:36">
      <c r="A73" s="1" t="s">
        <v>617</v>
      </c>
      <c r="B73" t="s">
        <v>1481</v>
      </c>
      <c r="C73" t="str">
        <f>HYPERLINK("https://finance.naver.com/item/coinfo.nhn?code=123700", "A123700")</f>
        <v>A123700</v>
      </c>
      <c r="D73" t="str">
        <f>HYPERLINK("http://comp.fnguide.com/SVO2/ASP/SVD_Consensus.asp?pGB=1&amp;gicode=A123700&amp;cID=&amp;MenuYn=Y&amp;ReportGB=&amp;NewMenuID=108&amp;stkGb=701", "SJM")</f>
        <v>SJM</v>
      </c>
      <c r="E73">
        <v>3</v>
      </c>
      <c r="F73">
        <v>3030</v>
      </c>
      <c r="G73">
        <v>0</v>
      </c>
      <c r="H73">
        <v>8.77</v>
      </c>
      <c r="I73">
        <v>4788</v>
      </c>
      <c r="J73">
        <v>8296</v>
      </c>
      <c r="K73">
        <v>9293</v>
      </c>
      <c r="L73">
        <v>-58.01</v>
      </c>
      <c r="M73">
        <v>-173.79</v>
      </c>
      <c r="N73">
        <v>-206.7</v>
      </c>
      <c r="O73">
        <v>3.58</v>
      </c>
      <c r="P73" t="b">
        <v>1</v>
      </c>
      <c r="Q73">
        <v>0</v>
      </c>
      <c r="R73">
        <v>438</v>
      </c>
      <c r="U73" t="s">
        <v>2345</v>
      </c>
      <c r="V73" t="s">
        <v>3209</v>
      </c>
      <c r="W73">
        <v>0</v>
      </c>
      <c r="X73">
        <v>-46.5</v>
      </c>
      <c r="Y73" t="s">
        <v>4019</v>
      </c>
      <c r="Z73">
        <v>-30.08857054921614</v>
      </c>
      <c r="AA73">
        <v>473</v>
      </c>
      <c r="AB73">
        <v>36423</v>
      </c>
      <c r="AC73" t="s">
        <v>4864</v>
      </c>
      <c r="AD73">
        <v>53.03</v>
      </c>
      <c r="AE73" t="s">
        <v>5728</v>
      </c>
      <c r="AF73" t="s">
        <v>6557</v>
      </c>
      <c r="AG73">
        <v>1577</v>
      </c>
      <c r="AH73">
        <v>65</v>
      </c>
      <c r="AJ73">
        <v>3.26</v>
      </c>
    </row>
    <row r="74" spans="1:36">
      <c r="A74" s="1" t="s">
        <v>516</v>
      </c>
      <c r="B74" t="s">
        <v>1380</v>
      </c>
      <c r="C74" t="str">
        <f>HYPERLINK("https://finance.naver.com/item/coinfo.nhn?code=071840", "A071840")</f>
        <v>A071840</v>
      </c>
      <c r="D74" t="str">
        <f>HYPERLINK("http://comp.fnguide.com/SVO2/ASP/SVD_Consensus.asp?pGB=1&amp;gicode=A071840&amp;cID=&amp;MenuYn=Y&amp;ReportGB=&amp;NewMenuID=108&amp;stkGb=701", "롯데하이마트")</f>
        <v>롯데하이마트</v>
      </c>
      <c r="E74">
        <v>3</v>
      </c>
      <c r="F74">
        <v>31500</v>
      </c>
      <c r="G74">
        <v>0</v>
      </c>
      <c r="I74">
        <v>27222</v>
      </c>
      <c r="J74">
        <v>59825</v>
      </c>
      <c r="K74">
        <v>69091</v>
      </c>
      <c r="L74">
        <v>13.58</v>
      </c>
      <c r="M74">
        <v>-89.92</v>
      </c>
      <c r="N74">
        <v>-119.34</v>
      </c>
      <c r="O74">
        <v>2.65</v>
      </c>
      <c r="P74" t="b">
        <v>0</v>
      </c>
      <c r="Q74">
        <v>0</v>
      </c>
      <c r="R74">
        <v>-4232</v>
      </c>
      <c r="U74" t="s">
        <v>2244</v>
      </c>
      <c r="V74" t="s">
        <v>3108</v>
      </c>
      <c r="W74">
        <v>0</v>
      </c>
      <c r="X74">
        <v>38.299999999999997</v>
      </c>
      <c r="Y74" t="s">
        <v>3919</v>
      </c>
      <c r="Z74">
        <v>2.6147752743941539</v>
      </c>
      <c r="AA74">
        <v>7436</v>
      </c>
      <c r="AB74">
        <v>67928</v>
      </c>
      <c r="AC74" t="s">
        <v>4763</v>
      </c>
      <c r="AD74">
        <v>61.02</v>
      </c>
      <c r="AE74" t="s">
        <v>5627</v>
      </c>
      <c r="AF74" t="s">
        <v>6457</v>
      </c>
      <c r="AG74">
        <v>40265</v>
      </c>
      <c r="AH74">
        <v>1099</v>
      </c>
      <c r="AJ74">
        <v>3.24</v>
      </c>
    </row>
    <row r="75" spans="1:36">
      <c r="A75" s="1" t="s">
        <v>611</v>
      </c>
      <c r="B75" t="s">
        <v>1475</v>
      </c>
      <c r="C75" t="str">
        <f>HYPERLINK("https://finance.naver.com/item/coinfo.nhn?code=036530", "A036530")</f>
        <v>A036530</v>
      </c>
      <c r="D75" t="str">
        <f>HYPERLINK("http://comp.fnguide.com/SVO2/ASP/SVD_Consensus.asp?pGB=1&amp;gicode=A036530&amp;cID=&amp;MenuYn=Y&amp;ReportGB=&amp;NewMenuID=108&amp;stkGb=701", "S&amp;T홀딩스")</f>
        <v>S&amp;T홀딩스</v>
      </c>
      <c r="E75">
        <v>3</v>
      </c>
      <c r="F75">
        <v>15200</v>
      </c>
      <c r="G75">
        <v>0</v>
      </c>
      <c r="H75">
        <v>4.03</v>
      </c>
      <c r="I75">
        <v>39430</v>
      </c>
      <c r="J75">
        <v>46928</v>
      </c>
      <c r="K75">
        <v>49058</v>
      </c>
      <c r="L75">
        <v>-159.41</v>
      </c>
      <c r="M75">
        <v>-208.73</v>
      </c>
      <c r="N75">
        <v>-222.75</v>
      </c>
      <c r="O75">
        <v>6.03</v>
      </c>
      <c r="P75" t="b">
        <v>1</v>
      </c>
      <c r="Q75">
        <v>0</v>
      </c>
      <c r="R75">
        <v>3835</v>
      </c>
      <c r="U75" t="s">
        <v>2339</v>
      </c>
      <c r="V75" t="s">
        <v>3203</v>
      </c>
      <c r="W75">
        <v>0</v>
      </c>
      <c r="X75">
        <v>-29.3</v>
      </c>
      <c r="Y75" t="s">
        <v>4013</v>
      </c>
      <c r="Z75">
        <v>6.1706736313803301</v>
      </c>
      <c r="AA75">
        <v>2478</v>
      </c>
      <c r="AB75">
        <v>10658</v>
      </c>
      <c r="AC75" t="s">
        <v>4858</v>
      </c>
      <c r="AD75">
        <v>63.17</v>
      </c>
      <c r="AE75" t="s">
        <v>5722</v>
      </c>
      <c r="AF75" t="s">
        <v>6551</v>
      </c>
      <c r="AG75">
        <v>15121</v>
      </c>
      <c r="AH75">
        <v>1263</v>
      </c>
      <c r="AI75">
        <v>1538384</v>
      </c>
      <c r="AJ75">
        <v>3.24</v>
      </c>
    </row>
    <row r="76" spans="1:36">
      <c r="A76" s="1" t="s">
        <v>656</v>
      </c>
      <c r="B76" t="s">
        <v>1520</v>
      </c>
      <c r="C76" t="str">
        <f>HYPERLINK("https://finance.naver.com/item/coinfo.nhn?code=023810", "A023810")</f>
        <v>A023810</v>
      </c>
      <c r="D76" t="str">
        <f>HYPERLINK("http://comp.fnguide.com/SVO2/ASP/SVD_Consensus.asp?pGB=1&amp;gicode=A023810&amp;cID=&amp;MenuYn=Y&amp;ReportGB=&amp;NewMenuID=108&amp;stkGb=701", "인팩")</f>
        <v>인팩</v>
      </c>
      <c r="E76">
        <v>3</v>
      </c>
      <c r="F76">
        <v>5990</v>
      </c>
      <c r="G76">
        <v>0</v>
      </c>
      <c r="I76">
        <v>642</v>
      </c>
      <c r="J76">
        <v>5899</v>
      </c>
      <c r="K76">
        <v>7393</v>
      </c>
      <c r="L76">
        <v>89.28</v>
      </c>
      <c r="M76">
        <v>1.51</v>
      </c>
      <c r="N76">
        <v>-23.43</v>
      </c>
      <c r="O76">
        <v>0.54</v>
      </c>
      <c r="P76" t="b">
        <v>0</v>
      </c>
      <c r="Q76">
        <v>0</v>
      </c>
      <c r="R76">
        <v>-617</v>
      </c>
      <c r="U76" t="s">
        <v>2384</v>
      </c>
      <c r="V76" t="s">
        <v>3248</v>
      </c>
      <c r="W76">
        <v>0</v>
      </c>
      <c r="X76">
        <v>0</v>
      </c>
      <c r="Y76" t="s">
        <v>4054</v>
      </c>
      <c r="Z76">
        <v>-11.7</v>
      </c>
      <c r="AA76">
        <v>599</v>
      </c>
      <c r="AB76">
        <v>17862</v>
      </c>
      <c r="AC76" t="s">
        <v>4903</v>
      </c>
      <c r="AD76">
        <v>51.68</v>
      </c>
      <c r="AE76" t="s">
        <v>5767</v>
      </c>
      <c r="AF76" t="s">
        <v>6592</v>
      </c>
      <c r="AG76">
        <v>3608</v>
      </c>
      <c r="AH76">
        <v>-4</v>
      </c>
      <c r="AJ76">
        <v>3.23</v>
      </c>
    </row>
    <row r="77" spans="1:36">
      <c r="A77" s="1" t="s">
        <v>486</v>
      </c>
      <c r="B77" t="s">
        <v>1350</v>
      </c>
      <c r="C77" t="str">
        <f>HYPERLINK("https://finance.naver.com/item/coinfo.nhn?code=100220", "A100220")</f>
        <v>A100220</v>
      </c>
      <c r="D77" t="str">
        <f>HYPERLINK("http://comp.fnguide.com/SVO2/ASP/SVD_Consensus.asp?pGB=1&amp;gicode=A100220&amp;cID=&amp;MenuYn=Y&amp;ReportGB=&amp;NewMenuID=108&amp;stkGb=701", "비상교육")</f>
        <v>비상교육</v>
      </c>
      <c r="E77">
        <v>3</v>
      </c>
      <c r="F77">
        <v>6630</v>
      </c>
      <c r="G77">
        <v>0</v>
      </c>
      <c r="H77">
        <v>8.9499999999999993</v>
      </c>
      <c r="I77">
        <v>10054</v>
      </c>
      <c r="J77">
        <v>14534</v>
      </c>
      <c r="K77">
        <v>15807</v>
      </c>
      <c r="L77">
        <v>-51.64</v>
      </c>
      <c r="M77">
        <v>-119.22</v>
      </c>
      <c r="N77">
        <v>-138.41999999999999</v>
      </c>
      <c r="O77">
        <v>4.5599999999999996</v>
      </c>
      <c r="P77" t="b">
        <v>1</v>
      </c>
      <c r="Q77">
        <v>0</v>
      </c>
      <c r="R77">
        <v>868</v>
      </c>
      <c r="U77" t="s">
        <v>2214</v>
      </c>
      <c r="V77" t="s">
        <v>3078</v>
      </c>
      <c r="W77">
        <v>0</v>
      </c>
      <c r="X77">
        <v>0</v>
      </c>
      <c r="Y77" t="s">
        <v>3891</v>
      </c>
      <c r="Z77">
        <v>-9.5207953333153572</v>
      </c>
      <c r="AA77">
        <v>862</v>
      </c>
      <c r="AB77">
        <v>11994</v>
      </c>
      <c r="AC77" t="s">
        <v>4733</v>
      </c>
      <c r="AD77">
        <v>54.53</v>
      </c>
      <c r="AE77" t="s">
        <v>5597</v>
      </c>
      <c r="AF77" t="s">
        <v>6428</v>
      </c>
      <c r="AG77">
        <v>1994</v>
      </c>
      <c r="AH77">
        <v>219</v>
      </c>
      <c r="AI77">
        <v>745226</v>
      </c>
      <c r="AJ77">
        <v>3.22</v>
      </c>
    </row>
    <row r="78" spans="1:36">
      <c r="A78" s="1" t="s">
        <v>577</v>
      </c>
      <c r="B78" t="s">
        <v>1441</v>
      </c>
      <c r="C78" t="str">
        <f>HYPERLINK("https://finance.naver.com/item/coinfo.nhn?code=039570", "A039570")</f>
        <v>A039570</v>
      </c>
      <c r="D78" t="str">
        <f>HYPERLINK("http://comp.fnguide.com/SVO2/ASP/SVD_Consensus.asp?pGB=1&amp;gicode=A039570&amp;cID=&amp;MenuYn=Y&amp;ReportGB=&amp;NewMenuID=108&amp;stkGb=701", "HDC아이콘트롤스")</f>
        <v>HDC아이콘트롤스</v>
      </c>
      <c r="E78">
        <v>3</v>
      </c>
      <c r="F78">
        <v>10200</v>
      </c>
      <c r="G78">
        <v>0</v>
      </c>
      <c r="I78">
        <v>8617</v>
      </c>
      <c r="J78">
        <v>10157</v>
      </c>
      <c r="K78">
        <v>10595</v>
      </c>
      <c r="L78">
        <v>15.52</v>
      </c>
      <c r="M78">
        <v>0.42</v>
      </c>
      <c r="N78">
        <v>-3.87</v>
      </c>
      <c r="O78">
        <v>6.12</v>
      </c>
      <c r="P78" t="b">
        <v>0</v>
      </c>
      <c r="Q78">
        <v>0</v>
      </c>
      <c r="R78">
        <v>-358</v>
      </c>
      <c r="U78" t="s">
        <v>2305</v>
      </c>
      <c r="V78" t="s">
        <v>3169</v>
      </c>
      <c r="W78">
        <v>0</v>
      </c>
      <c r="X78">
        <v>5.6</v>
      </c>
      <c r="Y78" t="s">
        <v>3979</v>
      </c>
      <c r="Z78">
        <v>8.7610333193598233</v>
      </c>
      <c r="AA78">
        <v>1679</v>
      </c>
      <c r="AB78">
        <v>60329</v>
      </c>
      <c r="AC78" t="s">
        <v>4824</v>
      </c>
      <c r="AD78">
        <v>57.84</v>
      </c>
      <c r="AE78" t="s">
        <v>5688</v>
      </c>
      <c r="AF78" t="s">
        <v>6517</v>
      </c>
      <c r="AG78">
        <v>2524</v>
      </c>
      <c r="AH78">
        <v>130</v>
      </c>
      <c r="AI78">
        <v>1375412</v>
      </c>
      <c r="AJ78">
        <v>3.21</v>
      </c>
    </row>
    <row r="79" spans="1:36">
      <c r="A79" s="1" t="s">
        <v>781</v>
      </c>
      <c r="B79" t="s">
        <v>1645</v>
      </c>
      <c r="C79" t="str">
        <f>HYPERLINK("https://finance.naver.com/item/coinfo.nhn?code=003030", "A003030")</f>
        <v>A003030</v>
      </c>
      <c r="D79" t="str">
        <f>HYPERLINK("http://comp.fnguide.com/SVO2/ASP/SVD_Consensus.asp?pGB=1&amp;gicode=A003030&amp;cID=&amp;MenuYn=Y&amp;ReportGB=&amp;NewMenuID=108&amp;stkGb=701", "세아제강지주")</f>
        <v>세아제강지주</v>
      </c>
      <c r="E79">
        <v>3</v>
      </c>
      <c r="F79">
        <v>45200</v>
      </c>
      <c r="G79">
        <v>0</v>
      </c>
      <c r="I79">
        <v>301469</v>
      </c>
      <c r="J79">
        <v>263769</v>
      </c>
      <c r="K79">
        <v>253055</v>
      </c>
      <c r="L79">
        <v>-566.97</v>
      </c>
      <c r="M79">
        <v>-483.56</v>
      </c>
      <c r="N79">
        <v>-459.86</v>
      </c>
      <c r="O79">
        <v>10.02</v>
      </c>
      <c r="P79" t="b">
        <v>0</v>
      </c>
      <c r="Q79">
        <v>0</v>
      </c>
      <c r="R79">
        <v>-742</v>
      </c>
      <c r="U79" t="s">
        <v>2509</v>
      </c>
      <c r="V79" t="s">
        <v>3373</v>
      </c>
      <c r="W79">
        <v>0</v>
      </c>
      <c r="X79">
        <v>-17.2</v>
      </c>
      <c r="Y79" t="s">
        <v>4167</v>
      </c>
      <c r="Z79">
        <v>61.308560420072837</v>
      </c>
      <c r="AA79">
        <v>1872</v>
      </c>
      <c r="AB79">
        <v>11598</v>
      </c>
      <c r="AC79" t="s">
        <v>5028</v>
      </c>
      <c r="AD79">
        <v>64.319999999999993</v>
      </c>
      <c r="AE79" t="s">
        <v>5892</v>
      </c>
      <c r="AF79" t="s">
        <v>6701</v>
      </c>
      <c r="AG79">
        <v>26439</v>
      </c>
      <c r="AH79">
        <v>631</v>
      </c>
      <c r="AI79">
        <v>101196</v>
      </c>
      <c r="AJ79">
        <v>3.16</v>
      </c>
    </row>
    <row r="80" spans="1:36">
      <c r="A80" s="1" t="s">
        <v>348</v>
      </c>
      <c r="B80" t="s">
        <v>1212</v>
      </c>
      <c r="C80" t="str">
        <f>HYPERLINK("https://finance.naver.com/item/coinfo.nhn?code=003800", "A003800")</f>
        <v>A003800</v>
      </c>
      <c r="D80" t="str">
        <f>HYPERLINK("http://comp.fnguide.com/SVO2/ASP/SVD_Consensus.asp?pGB=1&amp;gicode=A003800&amp;cID=&amp;MenuYn=Y&amp;ReportGB=&amp;NewMenuID=108&amp;stkGb=701", "에이스침대")</f>
        <v>에이스침대</v>
      </c>
      <c r="E80">
        <v>3</v>
      </c>
      <c r="F80">
        <v>39150</v>
      </c>
      <c r="G80">
        <v>0.48</v>
      </c>
      <c r="H80">
        <v>8.77</v>
      </c>
      <c r="I80">
        <v>49037</v>
      </c>
      <c r="J80">
        <v>47028</v>
      </c>
      <c r="K80">
        <v>46458</v>
      </c>
      <c r="L80">
        <v>-25.25</v>
      </c>
      <c r="M80">
        <v>-20.12</v>
      </c>
      <c r="N80">
        <v>-18.670000000000002</v>
      </c>
      <c r="O80">
        <v>8.52</v>
      </c>
      <c r="P80" t="b">
        <v>1</v>
      </c>
      <c r="Q80">
        <v>0</v>
      </c>
      <c r="R80">
        <v>3987</v>
      </c>
      <c r="S80">
        <v>3968</v>
      </c>
      <c r="T80">
        <v>-0.5</v>
      </c>
      <c r="U80" t="s">
        <v>2076</v>
      </c>
      <c r="V80" t="s">
        <v>2940</v>
      </c>
      <c r="W80">
        <v>18.457151866545239</v>
      </c>
      <c r="X80">
        <v>-7.7</v>
      </c>
      <c r="Y80" t="s">
        <v>3767</v>
      </c>
      <c r="Z80">
        <v>6.0210398186735903</v>
      </c>
      <c r="AA80">
        <v>4342</v>
      </c>
      <c r="AB80">
        <v>5416</v>
      </c>
      <c r="AC80" t="s">
        <v>4595</v>
      </c>
      <c r="AD80">
        <v>79.56</v>
      </c>
      <c r="AE80" t="s">
        <v>5459</v>
      </c>
      <c r="AF80" t="s">
        <v>6302</v>
      </c>
      <c r="AG80">
        <v>2774</v>
      </c>
      <c r="AH80">
        <v>499</v>
      </c>
      <c r="AI80">
        <v>838055</v>
      </c>
      <c r="AJ80">
        <v>3.15</v>
      </c>
    </row>
    <row r="81" spans="1:36">
      <c r="A81" s="1" t="s">
        <v>720</v>
      </c>
      <c r="B81" t="s">
        <v>1584</v>
      </c>
      <c r="C81" t="str">
        <f>HYPERLINK("https://finance.naver.com/item/coinfo.nhn?code=003080", "A003080")</f>
        <v>A003080</v>
      </c>
      <c r="D81" t="str">
        <f>HYPERLINK("http://comp.fnguide.com/SVO2/ASP/SVD_Consensus.asp?pGB=1&amp;gicode=A003080&amp;cID=&amp;MenuYn=Y&amp;ReportGB=&amp;NewMenuID=108&amp;stkGb=701", "성보화학")</f>
        <v>성보화학</v>
      </c>
      <c r="E81">
        <v>3</v>
      </c>
      <c r="F81">
        <v>4415</v>
      </c>
      <c r="G81">
        <v>0</v>
      </c>
      <c r="I81">
        <v>2141</v>
      </c>
      <c r="J81">
        <v>5386</v>
      </c>
      <c r="K81">
        <v>6308</v>
      </c>
      <c r="L81">
        <v>51.5</v>
      </c>
      <c r="M81">
        <v>-22</v>
      </c>
      <c r="N81">
        <v>-42.89</v>
      </c>
      <c r="O81">
        <v>2.2599999999999998</v>
      </c>
      <c r="P81" t="b">
        <v>0</v>
      </c>
      <c r="Q81">
        <v>0</v>
      </c>
      <c r="R81">
        <v>-143</v>
      </c>
      <c r="U81" t="s">
        <v>2448</v>
      </c>
      <c r="V81" t="s">
        <v>3312</v>
      </c>
      <c r="W81">
        <v>0</v>
      </c>
      <c r="X81">
        <v>74.900000000000006</v>
      </c>
      <c r="Y81" t="s">
        <v>4110</v>
      </c>
      <c r="Z81">
        <v>34.775081060126027</v>
      </c>
      <c r="AA81">
        <v>884</v>
      </c>
      <c r="AB81">
        <v>6781</v>
      </c>
      <c r="AC81" t="s">
        <v>4967</v>
      </c>
      <c r="AD81">
        <v>66.31</v>
      </c>
      <c r="AE81" t="s">
        <v>5831</v>
      </c>
      <c r="AF81" t="s">
        <v>6649</v>
      </c>
      <c r="AG81">
        <v>419</v>
      </c>
      <c r="AH81">
        <v>-44</v>
      </c>
      <c r="AI81">
        <v>562776</v>
      </c>
      <c r="AJ81">
        <v>3.03</v>
      </c>
    </row>
    <row r="82" spans="1:36">
      <c r="A82" s="1" t="s">
        <v>217</v>
      </c>
      <c r="B82" t="s">
        <v>1081</v>
      </c>
      <c r="C82" t="str">
        <f>HYPERLINK("https://finance.naver.com/item/coinfo.nhn?code=005010", "A005010")</f>
        <v>A005010</v>
      </c>
      <c r="D82" t="str">
        <f>HYPERLINK("http://comp.fnguide.com/SVO2/ASP/SVD_Consensus.asp?pGB=1&amp;gicode=A005010&amp;cID=&amp;MenuYn=Y&amp;ReportGB=&amp;NewMenuID=108&amp;stkGb=701", "휴스틸")</f>
        <v>휴스틸</v>
      </c>
      <c r="E82">
        <v>3</v>
      </c>
      <c r="F82">
        <v>7270</v>
      </c>
      <c r="G82">
        <v>0</v>
      </c>
      <c r="I82">
        <v>10650</v>
      </c>
      <c r="J82">
        <v>35551</v>
      </c>
      <c r="K82">
        <v>42627</v>
      </c>
      <c r="L82">
        <v>-46.49</v>
      </c>
      <c r="M82">
        <v>-389</v>
      </c>
      <c r="N82">
        <v>-486.34</v>
      </c>
      <c r="O82">
        <v>1.62</v>
      </c>
      <c r="P82" t="b">
        <v>0</v>
      </c>
      <c r="Q82">
        <v>0</v>
      </c>
      <c r="R82">
        <v>-1646</v>
      </c>
      <c r="U82" t="s">
        <v>1945</v>
      </c>
      <c r="V82" t="s">
        <v>2809</v>
      </c>
      <c r="W82">
        <v>0</v>
      </c>
      <c r="X82">
        <v>0</v>
      </c>
      <c r="Y82" t="s">
        <v>3658</v>
      </c>
      <c r="Z82">
        <v>328.2</v>
      </c>
      <c r="AA82">
        <v>554</v>
      </c>
      <c r="AB82">
        <v>12986</v>
      </c>
      <c r="AC82" t="s">
        <v>4464</v>
      </c>
      <c r="AD82">
        <v>50.15</v>
      </c>
      <c r="AE82" t="s">
        <v>5328</v>
      </c>
      <c r="AF82" t="s">
        <v>6185</v>
      </c>
      <c r="AG82">
        <v>5370</v>
      </c>
      <c r="AH82">
        <v>-129</v>
      </c>
      <c r="AJ82">
        <v>3.01</v>
      </c>
    </row>
    <row r="83" spans="1:36">
      <c r="A83" s="1" t="s">
        <v>514</v>
      </c>
      <c r="B83" t="s">
        <v>1378</v>
      </c>
      <c r="C83" t="str">
        <f>HYPERLINK("https://finance.naver.com/item/coinfo.nhn?code=011170", "A011170")</f>
        <v>A011170</v>
      </c>
      <c r="D83" t="str">
        <f>HYPERLINK("http://comp.fnguide.com/SVO2/ASP/SVD_Consensus.asp?pGB=1&amp;gicode=A011170&amp;cID=&amp;MenuYn=Y&amp;ReportGB=&amp;NewMenuID=108&amp;stkGb=701", "롯데케미칼")</f>
        <v>롯데케미칼</v>
      </c>
      <c r="E83">
        <v>3</v>
      </c>
      <c r="F83">
        <v>265000</v>
      </c>
      <c r="G83">
        <v>-0.21</v>
      </c>
      <c r="H83">
        <v>10.74</v>
      </c>
      <c r="I83">
        <v>518591</v>
      </c>
      <c r="J83">
        <v>438360</v>
      </c>
      <c r="K83">
        <v>415560</v>
      </c>
      <c r="L83">
        <v>-95.69</v>
      </c>
      <c r="M83">
        <v>-65.42</v>
      </c>
      <c r="N83">
        <v>-56.82</v>
      </c>
      <c r="O83">
        <v>10.69</v>
      </c>
      <c r="P83" t="b">
        <v>1</v>
      </c>
      <c r="Q83">
        <v>0</v>
      </c>
      <c r="R83">
        <v>20860</v>
      </c>
      <c r="S83">
        <v>7444</v>
      </c>
      <c r="T83">
        <v>-64.3</v>
      </c>
      <c r="U83" t="s">
        <v>2242</v>
      </c>
      <c r="V83" t="s">
        <v>3106</v>
      </c>
      <c r="W83">
        <v>-51.532975403341432</v>
      </c>
      <c r="X83">
        <v>-87.8</v>
      </c>
      <c r="Y83" t="s">
        <v>3917</v>
      </c>
      <c r="Z83">
        <v>-38.502887416924402</v>
      </c>
      <c r="AA83">
        <v>90830</v>
      </c>
      <c r="AB83">
        <v>293956</v>
      </c>
      <c r="AC83" t="s">
        <v>4761</v>
      </c>
      <c r="AD83">
        <v>54.92</v>
      </c>
      <c r="AE83" t="s">
        <v>5625</v>
      </c>
      <c r="AF83" t="s">
        <v>6455</v>
      </c>
      <c r="AG83">
        <v>151235</v>
      </c>
      <c r="AH83">
        <v>11073</v>
      </c>
      <c r="AJ83">
        <v>2.99</v>
      </c>
    </row>
    <row r="84" spans="1:36">
      <c r="A84" s="1" t="s">
        <v>708</v>
      </c>
      <c r="B84" t="s">
        <v>1572</v>
      </c>
      <c r="C84" t="str">
        <f>HYPERLINK("https://finance.naver.com/item/coinfo.nhn?code=010400", "A010400")</f>
        <v>A010400</v>
      </c>
      <c r="D84" t="str">
        <f>HYPERLINK("http://comp.fnguide.com/SVO2/ASP/SVD_Consensus.asp?pGB=1&amp;gicode=A010400&amp;cID=&amp;MenuYn=Y&amp;ReportGB=&amp;NewMenuID=108&amp;stkGb=701", "우진아이엔에스")</f>
        <v>우진아이엔에스</v>
      </c>
      <c r="E84">
        <v>3</v>
      </c>
      <c r="F84">
        <v>8120</v>
      </c>
      <c r="G84">
        <v>0</v>
      </c>
      <c r="H84">
        <v>30.13</v>
      </c>
      <c r="I84">
        <v>20572</v>
      </c>
      <c r="J84">
        <v>17772</v>
      </c>
      <c r="K84">
        <v>16976</v>
      </c>
      <c r="L84">
        <v>-153.35</v>
      </c>
      <c r="M84">
        <v>-118.87</v>
      </c>
      <c r="N84">
        <v>-109.06</v>
      </c>
      <c r="O84">
        <v>10.26</v>
      </c>
      <c r="P84" t="b">
        <v>0</v>
      </c>
      <c r="Q84">
        <v>0</v>
      </c>
      <c r="R84">
        <v>279</v>
      </c>
      <c r="U84" t="s">
        <v>2436</v>
      </c>
      <c r="V84" t="s">
        <v>3300</v>
      </c>
      <c r="W84">
        <v>0</v>
      </c>
      <c r="X84">
        <v>0</v>
      </c>
      <c r="Y84" t="s">
        <v>4099</v>
      </c>
      <c r="Z84">
        <v>-45.240757035431344</v>
      </c>
      <c r="AA84">
        <v>619</v>
      </c>
      <c r="AB84">
        <v>13000</v>
      </c>
      <c r="AC84" t="s">
        <v>4955</v>
      </c>
      <c r="AD84">
        <v>53.21</v>
      </c>
      <c r="AE84" t="s">
        <v>5819</v>
      </c>
      <c r="AF84" t="s">
        <v>6638</v>
      </c>
      <c r="AG84">
        <v>1073</v>
      </c>
      <c r="AH84">
        <v>9</v>
      </c>
      <c r="AI84">
        <v>899998</v>
      </c>
      <c r="AJ84">
        <v>2.98</v>
      </c>
    </row>
    <row r="85" spans="1:36">
      <c r="A85" s="1" t="s">
        <v>460</v>
      </c>
      <c r="B85" t="s">
        <v>1324</v>
      </c>
      <c r="C85" t="str">
        <f>HYPERLINK("https://finance.naver.com/item/coinfo.nhn?code=084690", "A084690")</f>
        <v>A084690</v>
      </c>
      <c r="D85" t="str">
        <f>HYPERLINK("http://comp.fnguide.com/SVO2/ASP/SVD_Consensus.asp?pGB=1&amp;gicode=A084690&amp;cID=&amp;MenuYn=Y&amp;ReportGB=&amp;NewMenuID=108&amp;stkGb=701", "대상홀딩스")</f>
        <v>대상홀딩스</v>
      </c>
      <c r="E85">
        <v>3</v>
      </c>
      <c r="F85">
        <v>10250</v>
      </c>
      <c r="G85">
        <v>0</v>
      </c>
      <c r="H85">
        <v>3.46</v>
      </c>
      <c r="I85">
        <v>18070</v>
      </c>
      <c r="J85">
        <v>16884</v>
      </c>
      <c r="K85">
        <v>16547</v>
      </c>
      <c r="L85">
        <v>-76.290000000000006</v>
      </c>
      <c r="M85">
        <v>-64.72</v>
      </c>
      <c r="N85">
        <v>-61.44</v>
      </c>
      <c r="O85">
        <v>8.91</v>
      </c>
      <c r="P85" t="b">
        <v>1</v>
      </c>
      <c r="Q85">
        <v>0</v>
      </c>
      <c r="R85">
        <v>1946</v>
      </c>
      <c r="U85" t="s">
        <v>2188</v>
      </c>
      <c r="V85" t="s">
        <v>3052</v>
      </c>
      <c r="W85">
        <v>0</v>
      </c>
      <c r="X85">
        <v>125.2</v>
      </c>
      <c r="Y85" t="s">
        <v>3867</v>
      </c>
      <c r="Z85">
        <v>46.141195946977263</v>
      </c>
      <c r="AA85">
        <v>3712</v>
      </c>
      <c r="AB85">
        <v>189253</v>
      </c>
      <c r="AC85" t="s">
        <v>4707</v>
      </c>
      <c r="AD85">
        <v>67.3</v>
      </c>
      <c r="AE85" t="s">
        <v>5571</v>
      </c>
      <c r="AF85" t="s">
        <v>6403</v>
      </c>
      <c r="AG85">
        <v>35525</v>
      </c>
      <c r="AH85">
        <v>1555</v>
      </c>
      <c r="AJ85">
        <v>2.97</v>
      </c>
    </row>
    <row r="86" spans="1:36">
      <c r="A86" s="1" t="s">
        <v>738</v>
      </c>
      <c r="B86" t="s">
        <v>1602</v>
      </c>
      <c r="C86" t="str">
        <f>HYPERLINK("https://finance.naver.com/item/coinfo.nhn?code=004450", "A004450")</f>
        <v>A004450</v>
      </c>
      <c r="D86" t="str">
        <f>HYPERLINK("http://comp.fnguide.com/SVO2/ASP/SVD_Consensus.asp?pGB=1&amp;gicode=A004450&amp;cID=&amp;MenuYn=Y&amp;ReportGB=&amp;NewMenuID=108&amp;stkGb=701", "삼화왕관")</f>
        <v>삼화왕관</v>
      </c>
      <c r="E86">
        <v>3</v>
      </c>
      <c r="F86">
        <v>39100</v>
      </c>
      <c r="G86">
        <v>0</v>
      </c>
      <c r="H86">
        <v>11.75</v>
      </c>
      <c r="I86">
        <v>64195</v>
      </c>
      <c r="J86">
        <v>73452</v>
      </c>
      <c r="K86">
        <v>76083</v>
      </c>
      <c r="L86">
        <v>-64.180000000000007</v>
      </c>
      <c r="M86">
        <v>-87.86</v>
      </c>
      <c r="N86">
        <v>-94.58</v>
      </c>
      <c r="O86">
        <v>6.41</v>
      </c>
      <c r="P86" t="b">
        <v>1</v>
      </c>
      <c r="Q86">
        <v>0</v>
      </c>
      <c r="R86">
        <v>3876</v>
      </c>
      <c r="U86" t="s">
        <v>2466</v>
      </c>
      <c r="V86" t="s">
        <v>3330</v>
      </c>
      <c r="W86">
        <v>0</v>
      </c>
      <c r="X86">
        <v>0</v>
      </c>
      <c r="Y86" t="s">
        <v>4126</v>
      </c>
      <c r="Z86">
        <v>-3.7026004253226552</v>
      </c>
      <c r="AA86">
        <v>842</v>
      </c>
      <c r="AB86">
        <v>1510</v>
      </c>
      <c r="AC86" t="s">
        <v>4985</v>
      </c>
      <c r="AD86">
        <v>51.34</v>
      </c>
      <c r="AE86" t="s">
        <v>5849</v>
      </c>
      <c r="AF86" t="s">
        <v>6665</v>
      </c>
      <c r="AG86">
        <v>1160</v>
      </c>
      <c r="AH86">
        <v>91</v>
      </c>
      <c r="AI86">
        <v>331062</v>
      </c>
      <c r="AJ86">
        <v>2.96</v>
      </c>
    </row>
    <row r="87" spans="1:36">
      <c r="A87" s="1" t="s">
        <v>714</v>
      </c>
      <c r="B87" t="s">
        <v>1578</v>
      </c>
      <c r="C87" t="str">
        <f>HYPERLINK("https://finance.naver.com/item/coinfo.nhn?code=264900", "A264900")</f>
        <v>A264900</v>
      </c>
      <c r="D87" t="str">
        <f>HYPERLINK("http://comp.fnguide.com/SVO2/ASP/SVD_Consensus.asp?pGB=1&amp;gicode=A264900&amp;cID=&amp;MenuYn=Y&amp;ReportGB=&amp;NewMenuID=108&amp;stkGb=701", "크라운제과")</f>
        <v>크라운제과</v>
      </c>
      <c r="E87">
        <v>3</v>
      </c>
      <c r="F87">
        <v>8880</v>
      </c>
      <c r="G87">
        <v>0</v>
      </c>
      <c r="H87">
        <v>6.1</v>
      </c>
      <c r="I87">
        <v>15886</v>
      </c>
      <c r="J87">
        <v>13438</v>
      </c>
      <c r="K87">
        <v>12742</v>
      </c>
      <c r="L87">
        <v>-78.89</v>
      </c>
      <c r="M87">
        <v>-51.33</v>
      </c>
      <c r="N87">
        <v>-43.49</v>
      </c>
      <c r="O87">
        <v>10.67</v>
      </c>
      <c r="P87" t="b">
        <v>1</v>
      </c>
      <c r="Q87">
        <v>0</v>
      </c>
      <c r="R87">
        <v>1424</v>
      </c>
      <c r="U87" t="s">
        <v>2442</v>
      </c>
      <c r="V87" t="s">
        <v>3306</v>
      </c>
      <c r="W87">
        <v>0</v>
      </c>
      <c r="X87">
        <v>12.5</v>
      </c>
      <c r="Y87" t="s">
        <v>4104</v>
      </c>
      <c r="Z87">
        <v>0</v>
      </c>
      <c r="AA87">
        <v>1112</v>
      </c>
      <c r="AB87">
        <v>13549</v>
      </c>
      <c r="AC87" t="s">
        <v>4961</v>
      </c>
      <c r="AD87">
        <v>61.68</v>
      </c>
      <c r="AE87" t="s">
        <v>5825</v>
      </c>
      <c r="AF87" t="s">
        <v>6644</v>
      </c>
      <c r="AG87">
        <v>3866</v>
      </c>
      <c r="AH87">
        <v>265</v>
      </c>
      <c r="AI87">
        <v>507681</v>
      </c>
      <c r="AJ87">
        <v>2.88</v>
      </c>
    </row>
    <row r="88" spans="1:36">
      <c r="A88" s="1" t="s">
        <v>645</v>
      </c>
      <c r="B88" t="s">
        <v>1509</v>
      </c>
      <c r="C88" t="str">
        <f>HYPERLINK("https://finance.naver.com/item/coinfo.nhn?code=014440", "A014440")</f>
        <v>A014440</v>
      </c>
      <c r="D88" t="str">
        <f>HYPERLINK("http://comp.fnguide.com/SVO2/ASP/SVD_Consensus.asp?pGB=1&amp;gicode=A014440&amp;cID=&amp;MenuYn=Y&amp;ReportGB=&amp;NewMenuID=108&amp;stkGb=701", "영보화학")</f>
        <v>영보화학</v>
      </c>
      <c r="E88">
        <v>3</v>
      </c>
      <c r="F88">
        <v>3640</v>
      </c>
      <c r="G88">
        <v>0</v>
      </c>
      <c r="H88">
        <v>13.61</v>
      </c>
      <c r="I88">
        <v>6575</v>
      </c>
      <c r="J88">
        <v>7108</v>
      </c>
      <c r="K88">
        <v>7260</v>
      </c>
      <c r="L88">
        <v>-80.63</v>
      </c>
      <c r="M88">
        <v>-95.29</v>
      </c>
      <c r="N88">
        <v>-99.45</v>
      </c>
      <c r="O88">
        <v>7</v>
      </c>
      <c r="P88" t="b">
        <v>1</v>
      </c>
      <c r="Q88">
        <v>0</v>
      </c>
      <c r="R88">
        <v>256</v>
      </c>
      <c r="U88" t="s">
        <v>2373</v>
      </c>
      <c r="V88" t="s">
        <v>3237</v>
      </c>
      <c r="W88">
        <v>0</v>
      </c>
      <c r="X88">
        <v>-76.5</v>
      </c>
      <c r="Y88" t="s">
        <v>4043</v>
      </c>
      <c r="Z88">
        <v>-33.304348751832421</v>
      </c>
      <c r="AA88">
        <v>728</v>
      </c>
      <c r="AB88">
        <v>47810</v>
      </c>
      <c r="AC88" t="s">
        <v>4892</v>
      </c>
      <c r="AD88">
        <v>51</v>
      </c>
      <c r="AE88" t="s">
        <v>5756</v>
      </c>
      <c r="AF88" t="s">
        <v>6581</v>
      </c>
      <c r="AG88">
        <v>1312</v>
      </c>
      <c r="AH88">
        <v>84</v>
      </c>
      <c r="AI88">
        <v>500000</v>
      </c>
      <c r="AJ88">
        <v>2.87</v>
      </c>
    </row>
    <row r="89" spans="1:36">
      <c r="A89" s="1" t="s">
        <v>776</v>
      </c>
      <c r="B89" t="s">
        <v>1640</v>
      </c>
      <c r="C89" t="str">
        <f>HYPERLINK("https://finance.naver.com/item/coinfo.nhn?code=058650", "A058650")</f>
        <v>A058650</v>
      </c>
      <c r="D89" t="str">
        <f>HYPERLINK("http://comp.fnguide.com/SVO2/ASP/SVD_Consensus.asp?pGB=1&amp;gicode=A058650&amp;cID=&amp;MenuYn=Y&amp;ReportGB=&amp;NewMenuID=108&amp;stkGb=701", "세아홀딩스")</f>
        <v>세아홀딩스</v>
      </c>
      <c r="E89">
        <v>3</v>
      </c>
      <c r="F89">
        <v>77400</v>
      </c>
      <c r="G89">
        <v>0</v>
      </c>
      <c r="H89">
        <v>10.199999999999999</v>
      </c>
      <c r="I89">
        <v>162580</v>
      </c>
      <c r="J89">
        <v>361963</v>
      </c>
      <c r="K89">
        <v>418623</v>
      </c>
      <c r="L89">
        <v>-110.05</v>
      </c>
      <c r="M89">
        <v>-367.65</v>
      </c>
      <c r="N89">
        <v>-440.86</v>
      </c>
      <c r="O89">
        <v>2.61</v>
      </c>
      <c r="P89" t="b">
        <v>1</v>
      </c>
      <c r="Q89">
        <v>0</v>
      </c>
      <c r="R89">
        <v>7705</v>
      </c>
      <c r="U89" t="s">
        <v>2504</v>
      </c>
      <c r="V89" t="s">
        <v>3368</v>
      </c>
      <c r="W89">
        <v>0</v>
      </c>
      <c r="X89">
        <v>-71.2</v>
      </c>
      <c r="Y89" t="s">
        <v>4162</v>
      </c>
      <c r="Z89">
        <v>-40.162897865897918</v>
      </c>
      <c r="AA89">
        <v>3096</v>
      </c>
      <c r="AB89">
        <v>530</v>
      </c>
      <c r="AC89" t="s">
        <v>5023</v>
      </c>
      <c r="AD89">
        <v>89.98</v>
      </c>
      <c r="AE89" t="s">
        <v>5887</v>
      </c>
      <c r="AF89" t="s">
        <v>6697</v>
      </c>
      <c r="AG89">
        <v>49307</v>
      </c>
      <c r="AH89">
        <v>895</v>
      </c>
      <c r="AI89">
        <v>20737</v>
      </c>
      <c r="AJ89">
        <v>2.86</v>
      </c>
    </row>
    <row r="90" spans="1:36">
      <c r="A90" s="1" t="s">
        <v>674</v>
      </c>
      <c r="B90" t="s">
        <v>1538</v>
      </c>
      <c r="C90" t="str">
        <f>HYPERLINK("https://finance.naver.com/item/coinfo.nhn?code=192400", "A192400")</f>
        <v>A192400</v>
      </c>
      <c r="D90" t="str">
        <f>HYPERLINK("http://comp.fnguide.com/SVO2/ASP/SVD_Consensus.asp?pGB=1&amp;gicode=A192400&amp;cID=&amp;MenuYn=Y&amp;ReportGB=&amp;NewMenuID=108&amp;stkGb=701", "쿠쿠홀딩스")</f>
        <v>쿠쿠홀딩스</v>
      </c>
      <c r="E90">
        <v>3</v>
      </c>
      <c r="F90">
        <v>101000</v>
      </c>
      <c r="G90">
        <v>0</v>
      </c>
      <c r="H90">
        <v>9.4</v>
      </c>
      <c r="I90">
        <v>384679</v>
      </c>
      <c r="J90">
        <v>218442</v>
      </c>
      <c r="K90">
        <v>171201</v>
      </c>
      <c r="L90">
        <v>-280.87</v>
      </c>
      <c r="M90">
        <v>-116.28</v>
      </c>
      <c r="N90">
        <v>-69.510000000000005</v>
      </c>
      <c r="O90">
        <v>28.18</v>
      </c>
      <c r="P90" t="b">
        <v>0</v>
      </c>
      <c r="Q90">
        <v>0</v>
      </c>
      <c r="R90">
        <v>11168</v>
      </c>
      <c r="U90" t="s">
        <v>2402</v>
      </c>
      <c r="V90" t="s">
        <v>3266</v>
      </c>
      <c r="W90">
        <v>0</v>
      </c>
      <c r="X90">
        <v>38</v>
      </c>
      <c r="Y90" t="s">
        <v>4069</v>
      </c>
      <c r="Z90">
        <v>15.132555890982569</v>
      </c>
      <c r="AA90">
        <v>7184</v>
      </c>
      <c r="AB90">
        <v>5342</v>
      </c>
      <c r="AC90" t="s">
        <v>4921</v>
      </c>
      <c r="AD90">
        <v>69.069999999999993</v>
      </c>
      <c r="AE90" t="s">
        <v>5785</v>
      </c>
      <c r="AF90" t="s">
        <v>6608</v>
      </c>
      <c r="AG90">
        <v>5283</v>
      </c>
      <c r="AH90">
        <v>745</v>
      </c>
      <c r="AI90">
        <v>896760</v>
      </c>
      <c r="AJ90">
        <v>2.86</v>
      </c>
    </row>
    <row r="91" spans="1:36">
      <c r="A91" s="1" t="s">
        <v>666</v>
      </c>
      <c r="B91" t="s">
        <v>1530</v>
      </c>
      <c r="C91" t="str">
        <f>HYPERLINK("https://finance.naver.com/item/coinfo.nhn?code=002020", "A002020")</f>
        <v>A002020</v>
      </c>
      <c r="D91" t="str">
        <f>HYPERLINK("http://comp.fnguide.com/SVO2/ASP/SVD_Consensus.asp?pGB=1&amp;gicode=A002020&amp;cID=&amp;MenuYn=Y&amp;ReportGB=&amp;NewMenuID=108&amp;stkGb=701", "코오롱")</f>
        <v>코오롱</v>
      </c>
      <c r="E91">
        <v>3</v>
      </c>
      <c r="F91">
        <v>21800</v>
      </c>
      <c r="G91">
        <v>0</v>
      </c>
      <c r="I91">
        <v>12713</v>
      </c>
      <c r="J91">
        <v>33688</v>
      </c>
      <c r="K91">
        <v>39649</v>
      </c>
      <c r="L91">
        <v>41.69</v>
      </c>
      <c r="M91">
        <v>-54.53</v>
      </c>
      <c r="N91">
        <v>-81.88</v>
      </c>
      <c r="O91">
        <v>2.12</v>
      </c>
      <c r="P91" t="b">
        <v>0</v>
      </c>
      <c r="Q91">
        <v>0</v>
      </c>
      <c r="R91">
        <v>-1244</v>
      </c>
      <c r="U91" t="s">
        <v>2394</v>
      </c>
      <c r="V91" t="s">
        <v>3258</v>
      </c>
      <c r="W91">
        <v>0</v>
      </c>
      <c r="X91">
        <v>3715.7</v>
      </c>
      <c r="Y91" t="s">
        <v>4062</v>
      </c>
      <c r="Z91">
        <v>1168.0441553826111</v>
      </c>
      <c r="AA91">
        <v>2753</v>
      </c>
      <c r="AB91">
        <v>58770</v>
      </c>
      <c r="AC91" t="s">
        <v>4913</v>
      </c>
      <c r="AD91">
        <v>52.63</v>
      </c>
      <c r="AE91" t="s">
        <v>5777</v>
      </c>
      <c r="AF91" t="s">
        <v>6601</v>
      </c>
      <c r="AG91">
        <v>44060</v>
      </c>
      <c r="AH91">
        <v>1245</v>
      </c>
      <c r="AJ91">
        <v>2.85</v>
      </c>
    </row>
    <row r="92" spans="1:36">
      <c r="A92" s="1" t="s">
        <v>701</v>
      </c>
      <c r="B92" t="s">
        <v>1565</v>
      </c>
      <c r="C92" t="str">
        <f>HYPERLINK("https://finance.naver.com/item/coinfo.nhn?code=001560", "A001560")</f>
        <v>A001560</v>
      </c>
      <c r="D92" t="str">
        <f>HYPERLINK("http://comp.fnguide.com/SVO2/ASP/SVD_Consensus.asp?pGB=1&amp;gicode=A001560&amp;cID=&amp;MenuYn=Y&amp;ReportGB=&amp;NewMenuID=108&amp;stkGb=701", "제일연마")</f>
        <v>제일연마</v>
      </c>
      <c r="E92">
        <v>3</v>
      </c>
      <c r="F92">
        <v>7340</v>
      </c>
      <c r="G92">
        <v>0</v>
      </c>
      <c r="H92">
        <v>12.16</v>
      </c>
      <c r="I92">
        <v>10076</v>
      </c>
      <c r="J92">
        <v>10752</v>
      </c>
      <c r="K92">
        <v>10945</v>
      </c>
      <c r="L92">
        <v>-37.28</v>
      </c>
      <c r="M92">
        <v>-46.49</v>
      </c>
      <c r="N92">
        <v>-49.11</v>
      </c>
      <c r="O92">
        <v>7.14</v>
      </c>
      <c r="P92" t="b">
        <v>1</v>
      </c>
      <c r="Q92">
        <v>0</v>
      </c>
      <c r="R92">
        <v>640</v>
      </c>
      <c r="U92" t="s">
        <v>2429</v>
      </c>
      <c r="V92" t="s">
        <v>3293</v>
      </c>
      <c r="W92">
        <v>0</v>
      </c>
      <c r="X92">
        <v>-43.5</v>
      </c>
      <c r="Y92" t="s">
        <v>4094</v>
      </c>
      <c r="Z92">
        <v>6.4905025567626673</v>
      </c>
      <c r="AA92">
        <v>734</v>
      </c>
      <c r="AB92">
        <v>10120</v>
      </c>
      <c r="AC92" t="s">
        <v>4948</v>
      </c>
      <c r="AD92">
        <v>50.92</v>
      </c>
      <c r="AE92" t="s">
        <v>5812</v>
      </c>
      <c r="AF92" t="s">
        <v>6633</v>
      </c>
      <c r="AG92">
        <v>811</v>
      </c>
      <c r="AH92">
        <v>69</v>
      </c>
      <c r="AI92">
        <v>2500000</v>
      </c>
      <c r="AJ92">
        <v>2.83</v>
      </c>
    </row>
    <row r="93" spans="1:36">
      <c r="A93" s="1" t="s">
        <v>201</v>
      </c>
      <c r="B93" t="s">
        <v>1065</v>
      </c>
      <c r="C93" t="str">
        <f>HYPERLINK("https://finance.naver.com/item/coinfo.nhn?code=053260", "A053260")</f>
        <v>A053260</v>
      </c>
      <c r="D93" t="str">
        <f>HYPERLINK("http://comp.fnguide.com/SVO2/ASP/SVD_Consensus.asp?pGB=1&amp;gicode=A053260&amp;cID=&amp;MenuYn=Y&amp;ReportGB=&amp;NewMenuID=108&amp;stkGb=701", "금강철강")</f>
        <v>금강철강</v>
      </c>
      <c r="E93">
        <v>3</v>
      </c>
      <c r="F93">
        <v>3475</v>
      </c>
      <c r="G93">
        <v>0</v>
      </c>
      <c r="H93">
        <v>15.12</v>
      </c>
      <c r="I93">
        <v>3509</v>
      </c>
      <c r="J93">
        <v>5501</v>
      </c>
      <c r="K93">
        <v>6067</v>
      </c>
      <c r="L93">
        <v>-0.97</v>
      </c>
      <c r="M93">
        <v>-58.3</v>
      </c>
      <c r="N93">
        <v>-74.59</v>
      </c>
      <c r="O93">
        <v>4.08</v>
      </c>
      <c r="P93" t="b">
        <v>1</v>
      </c>
      <c r="Q93">
        <v>0</v>
      </c>
      <c r="R93">
        <v>235</v>
      </c>
      <c r="U93" t="s">
        <v>1929</v>
      </c>
      <c r="V93" t="s">
        <v>2793</v>
      </c>
      <c r="W93">
        <v>0</v>
      </c>
      <c r="X93">
        <v>-9.9</v>
      </c>
      <c r="Y93" t="s">
        <v>3643</v>
      </c>
      <c r="Z93">
        <v>-10.35500862053461</v>
      </c>
      <c r="AA93">
        <v>651</v>
      </c>
      <c r="AB93">
        <v>11340</v>
      </c>
      <c r="AC93" t="s">
        <v>4448</v>
      </c>
      <c r="AD93">
        <v>53.31</v>
      </c>
      <c r="AE93" t="s">
        <v>5312</v>
      </c>
      <c r="AF93" t="s">
        <v>6169</v>
      </c>
      <c r="AG93">
        <v>1713</v>
      </c>
      <c r="AH93">
        <v>22</v>
      </c>
      <c r="AI93">
        <v>2517004</v>
      </c>
      <c r="AJ93">
        <v>2.81</v>
      </c>
    </row>
    <row r="94" spans="1:36">
      <c r="A94" s="1" t="s">
        <v>810</v>
      </c>
      <c r="B94" t="s">
        <v>1674</v>
      </c>
      <c r="C94" t="str">
        <f>HYPERLINK("https://finance.naver.com/item/coinfo.nhn?code=290120", "A290120")</f>
        <v>A290120</v>
      </c>
      <c r="D94" t="str">
        <f>HYPERLINK("http://comp.fnguide.com/SVO2/ASP/SVD_Consensus.asp?pGB=1&amp;gicode=A290120&amp;cID=&amp;MenuYn=Y&amp;ReportGB=&amp;NewMenuID=108&amp;stkGb=701", "대유에이피")</f>
        <v>대유에이피</v>
      </c>
      <c r="E94">
        <v>2</v>
      </c>
      <c r="F94">
        <v>7210</v>
      </c>
      <c r="G94">
        <v>0</v>
      </c>
      <c r="H94">
        <v>9.73</v>
      </c>
      <c r="I94">
        <v>12089</v>
      </c>
      <c r="J94">
        <v>7397</v>
      </c>
      <c r="K94">
        <v>6064</v>
      </c>
      <c r="L94">
        <v>-67.67</v>
      </c>
      <c r="M94">
        <v>-2.59</v>
      </c>
      <c r="N94">
        <v>15.9</v>
      </c>
      <c r="O94">
        <v>22.37</v>
      </c>
      <c r="P94" t="b">
        <v>1</v>
      </c>
      <c r="Q94">
        <v>0</v>
      </c>
      <c r="R94">
        <v>733</v>
      </c>
      <c r="U94" t="s">
        <v>2538</v>
      </c>
      <c r="V94" t="s">
        <v>3402</v>
      </c>
      <c r="W94">
        <v>0</v>
      </c>
      <c r="X94">
        <v>196.1</v>
      </c>
      <c r="Y94" t="s">
        <v>4196</v>
      </c>
      <c r="Z94">
        <v>0</v>
      </c>
      <c r="AA94">
        <v>785</v>
      </c>
      <c r="AB94">
        <v>58393</v>
      </c>
      <c r="AC94" t="s">
        <v>5057</v>
      </c>
      <c r="AD94">
        <v>73.5</v>
      </c>
      <c r="AE94" t="s">
        <v>5921</v>
      </c>
      <c r="AF94" t="s">
        <v>6729</v>
      </c>
      <c r="AG94">
        <v>1575</v>
      </c>
      <c r="AH94">
        <v>101</v>
      </c>
      <c r="AJ94">
        <v>2.81</v>
      </c>
    </row>
    <row r="95" spans="1:36">
      <c r="A95" s="1" t="s">
        <v>485</v>
      </c>
      <c r="B95" t="s">
        <v>1349</v>
      </c>
      <c r="C95" t="str">
        <f>HYPERLINK("https://finance.naver.com/item/coinfo.nhn?code=015350", "A015350")</f>
        <v>A015350</v>
      </c>
      <c r="D95" t="str">
        <f>HYPERLINK("http://comp.fnguide.com/SVO2/ASP/SVD_Consensus.asp?pGB=1&amp;gicode=A015350&amp;cID=&amp;MenuYn=Y&amp;ReportGB=&amp;NewMenuID=108&amp;stkGb=701", "부산가스")</f>
        <v>부산가스</v>
      </c>
      <c r="E95">
        <v>3</v>
      </c>
      <c r="F95">
        <v>51000</v>
      </c>
      <c r="G95">
        <v>0</v>
      </c>
      <c r="H95">
        <v>8.0299999999999994</v>
      </c>
      <c r="I95">
        <v>66134</v>
      </c>
      <c r="J95">
        <v>66633</v>
      </c>
      <c r="K95">
        <v>66775</v>
      </c>
      <c r="L95">
        <v>-29.67</v>
      </c>
      <c r="M95">
        <v>-30.65</v>
      </c>
      <c r="N95">
        <v>-30.93</v>
      </c>
      <c r="O95">
        <v>7.84</v>
      </c>
      <c r="P95" t="b">
        <v>0</v>
      </c>
      <c r="Q95">
        <v>0</v>
      </c>
      <c r="R95">
        <v>4448</v>
      </c>
      <c r="U95" t="s">
        <v>2213</v>
      </c>
      <c r="V95" t="s">
        <v>3077</v>
      </c>
      <c r="W95">
        <v>0</v>
      </c>
      <c r="X95">
        <v>388.3</v>
      </c>
      <c r="Y95" t="s">
        <v>3890</v>
      </c>
      <c r="Z95">
        <v>41.902472159444983</v>
      </c>
      <c r="AA95">
        <v>5610</v>
      </c>
      <c r="AB95">
        <v>19746</v>
      </c>
      <c r="AC95" t="s">
        <v>4732</v>
      </c>
      <c r="AD95">
        <v>67.319999999999993</v>
      </c>
      <c r="AE95" t="s">
        <v>5596</v>
      </c>
      <c r="AF95" t="s">
        <v>6427</v>
      </c>
      <c r="AG95">
        <v>9728</v>
      </c>
      <c r="AH95">
        <v>435</v>
      </c>
      <c r="AI95">
        <v>999000</v>
      </c>
      <c r="AJ95">
        <v>2.8</v>
      </c>
    </row>
    <row r="96" spans="1:36">
      <c r="A96" s="1" t="s">
        <v>509</v>
      </c>
      <c r="B96" t="s">
        <v>1373</v>
      </c>
      <c r="C96" t="str">
        <f>HYPERLINK("https://finance.naver.com/item/coinfo.nhn?code=023530", "A023530")</f>
        <v>A023530</v>
      </c>
      <c r="D96" t="str">
        <f>HYPERLINK("http://comp.fnguide.com/SVO2/ASP/SVD_Consensus.asp?pGB=1&amp;gicode=A023530&amp;cID=&amp;MenuYn=Y&amp;ReportGB=&amp;NewMenuID=108&amp;stkGb=701", "롯데쇼핑")</f>
        <v>롯데쇼핑</v>
      </c>
      <c r="E96">
        <v>3</v>
      </c>
      <c r="F96">
        <v>100000</v>
      </c>
      <c r="I96">
        <v>0</v>
      </c>
      <c r="J96">
        <v>225885</v>
      </c>
      <c r="K96">
        <v>290077</v>
      </c>
      <c r="L96">
        <v>100</v>
      </c>
      <c r="M96">
        <v>-125.88</v>
      </c>
      <c r="N96">
        <v>-190.08</v>
      </c>
      <c r="O96">
        <v>0</v>
      </c>
      <c r="P96" t="b">
        <v>0</v>
      </c>
      <c r="Q96">
        <v>1</v>
      </c>
      <c r="R96">
        <v>-31685</v>
      </c>
      <c r="S96">
        <v>-9536</v>
      </c>
      <c r="T96">
        <v>-69.900000000000006</v>
      </c>
      <c r="U96" t="s">
        <v>2237</v>
      </c>
      <c r="V96" t="s">
        <v>3101</v>
      </c>
      <c r="W96">
        <v>29.045968113810218</v>
      </c>
      <c r="X96">
        <v>0</v>
      </c>
      <c r="Y96" t="s">
        <v>3499</v>
      </c>
      <c r="Z96">
        <v>0</v>
      </c>
      <c r="AA96">
        <v>28289</v>
      </c>
      <c r="AB96">
        <v>95734</v>
      </c>
      <c r="AC96" t="s">
        <v>4756</v>
      </c>
      <c r="AD96">
        <v>61.89</v>
      </c>
      <c r="AE96" t="s">
        <v>5620</v>
      </c>
      <c r="AF96" t="s">
        <v>6021</v>
      </c>
      <c r="AG96">
        <v>176220</v>
      </c>
      <c r="AH96">
        <v>4279</v>
      </c>
      <c r="AI96">
        <v>18115</v>
      </c>
      <c r="AJ96">
        <v>2.8</v>
      </c>
    </row>
    <row r="97" spans="1:36">
      <c r="A97" s="1" t="s">
        <v>557</v>
      </c>
      <c r="B97" t="s">
        <v>1421</v>
      </c>
      <c r="C97" t="str">
        <f>HYPERLINK("https://finance.naver.com/item/coinfo.nhn?code=019680", "A019680")</f>
        <v>A019680</v>
      </c>
      <c r="D97" t="str">
        <f>HYPERLINK("http://comp.fnguide.com/SVO2/ASP/SVD_Consensus.asp?pGB=1&amp;gicode=A019680&amp;cID=&amp;MenuYn=Y&amp;ReportGB=&amp;NewMenuID=108&amp;stkGb=701", "대교")</f>
        <v>대교</v>
      </c>
      <c r="E97">
        <v>3</v>
      </c>
      <c r="F97">
        <v>3655</v>
      </c>
      <c r="G97">
        <v>0</v>
      </c>
      <c r="H97">
        <v>37.64</v>
      </c>
      <c r="I97">
        <v>3787</v>
      </c>
      <c r="J97">
        <v>6814</v>
      </c>
      <c r="K97">
        <v>7674</v>
      </c>
      <c r="L97">
        <v>-3.61</v>
      </c>
      <c r="M97">
        <v>-86.42</v>
      </c>
      <c r="N97">
        <v>-109.95</v>
      </c>
      <c r="O97">
        <v>3.41</v>
      </c>
      <c r="P97" t="b">
        <v>0</v>
      </c>
      <c r="Q97">
        <v>0</v>
      </c>
      <c r="R97">
        <v>162</v>
      </c>
      <c r="S97">
        <v>-163</v>
      </c>
      <c r="T97">
        <v>-200.6</v>
      </c>
      <c r="U97" t="s">
        <v>2285</v>
      </c>
      <c r="V97" t="s">
        <v>3149</v>
      </c>
      <c r="W97">
        <v>0</v>
      </c>
      <c r="X97">
        <v>0</v>
      </c>
      <c r="Y97" t="s">
        <v>3959</v>
      </c>
      <c r="Z97">
        <v>-21.641065728216951</v>
      </c>
      <c r="AA97">
        <v>3096</v>
      </c>
      <c r="AB97">
        <v>207161</v>
      </c>
      <c r="AC97" t="s">
        <v>4804</v>
      </c>
      <c r="AD97">
        <v>66.61</v>
      </c>
      <c r="AE97" t="s">
        <v>5668</v>
      </c>
      <c r="AF97" t="s">
        <v>6497</v>
      </c>
      <c r="AG97">
        <v>7619</v>
      </c>
      <c r="AH97">
        <v>294</v>
      </c>
      <c r="AI97">
        <v>15634584</v>
      </c>
      <c r="AJ97">
        <v>2.79</v>
      </c>
    </row>
    <row r="98" spans="1:36">
      <c r="A98" s="1" t="s">
        <v>743</v>
      </c>
      <c r="B98" t="s">
        <v>1607</v>
      </c>
      <c r="C98" t="str">
        <f>HYPERLINK("https://finance.naver.com/item/coinfo.nhn?code=075180", "A075180")</f>
        <v>A075180</v>
      </c>
      <c r="D98" t="str">
        <f>HYPERLINK("http://comp.fnguide.com/SVO2/ASP/SVD_Consensus.asp?pGB=1&amp;gicode=A075180&amp;cID=&amp;MenuYn=Y&amp;ReportGB=&amp;NewMenuID=108&amp;stkGb=701", "새론오토모티브")</f>
        <v>새론오토모티브</v>
      </c>
      <c r="E98">
        <v>3</v>
      </c>
      <c r="F98">
        <v>6170</v>
      </c>
      <c r="G98">
        <v>0</v>
      </c>
      <c r="I98">
        <v>2985</v>
      </c>
      <c r="J98">
        <v>7864</v>
      </c>
      <c r="K98">
        <v>9250</v>
      </c>
      <c r="L98">
        <v>51.62</v>
      </c>
      <c r="M98">
        <v>-27.45</v>
      </c>
      <c r="N98">
        <v>-49.92</v>
      </c>
      <c r="O98">
        <v>2.14</v>
      </c>
      <c r="P98" t="b">
        <v>0</v>
      </c>
      <c r="Q98">
        <v>0</v>
      </c>
      <c r="R98">
        <v>-433</v>
      </c>
      <c r="U98" t="s">
        <v>2471</v>
      </c>
      <c r="V98" t="s">
        <v>3335</v>
      </c>
      <c r="W98">
        <v>0</v>
      </c>
      <c r="X98">
        <v>0</v>
      </c>
      <c r="Y98" t="s">
        <v>4130</v>
      </c>
      <c r="Z98">
        <v>-33.20284413366619</v>
      </c>
      <c r="AA98">
        <v>1185</v>
      </c>
      <c r="AB98">
        <v>48504</v>
      </c>
      <c r="AC98" t="s">
        <v>4990</v>
      </c>
      <c r="AD98">
        <v>65.010000000000005</v>
      </c>
      <c r="AE98" t="s">
        <v>5854</v>
      </c>
      <c r="AF98" t="s">
        <v>6667</v>
      </c>
      <c r="AG98">
        <v>1527</v>
      </c>
      <c r="AH98">
        <v>-38</v>
      </c>
      <c r="AJ98">
        <v>2.77</v>
      </c>
    </row>
    <row r="99" spans="1:36">
      <c r="A99" s="1" t="s">
        <v>502</v>
      </c>
      <c r="B99" t="s">
        <v>1366</v>
      </c>
      <c r="C99" t="str">
        <f>HYPERLINK("https://finance.naver.com/item/coinfo.nhn?code=005680", "A005680")</f>
        <v>A005680</v>
      </c>
      <c r="D99" t="str">
        <f>HYPERLINK("http://comp.fnguide.com/SVO2/ASP/SVD_Consensus.asp?pGB=1&amp;gicode=A005680&amp;cID=&amp;MenuYn=Y&amp;ReportGB=&amp;NewMenuID=108&amp;stkGb=701", "삼영전자")</f>
        <v>삼영전자</v>
      </c>
      <c r="E99">
        <v>3</v>
      </c>
      <c r="F99">
        <v>9380</v>
      </c>
      <c r="G99">
        <v>6.83</v>
      </c>
      <c r="H99">
        <v>21.09</v>
      </c>
      <c r="I99">
        <v>7077</v>
      </c>
      <c r="J99">
        <v>17391</v>
      </c>
      <c r="K99">
        <v>20323</v>
      </c>
      <c r="L99">
        <v>24.55</v>
      </c>
      <c r="M99">
        <v>-85.41</v>
      </c>
      <c r="N99">
        <v>-116.66</v>
      </c>
      <c r="O99">
        <v>2.3199999999999998</v>
      </c>
      <c r="P99" t="b">
        <v>1</v>
      </c>
      <c r="Q99">
        <v>1</v>
      </c>
      <c r="R99">
        <v>428</v>
      </c>
      <c r="S99">
        <v>580</v>
      </c>
      <c r="T99">
        <v>35.5</v>
      </c>
      <c r="U99" t="s">
        <v>2230</v>
      </c>
      <c r="V99" t="s">
        <v>3094</v>
      </c>
      <c r="W99">
        <v>3.0882401212920301</v>
      </c>
      <c r="X99">
        <v>29.5</v>
      </c>
      <c r="Y99" t="s">
        <v>3906</v>
      </c>
      <c r="Z99">
        <v>-4.3559344836249121</v>
      </c>
      <c r="AA99">
        <v>1876</v>
      </c>
      <c r="AB99">
        <v>110331</v>
      </c>
      <c r="AC99" t="s">
        <v>4749</v>
      </c>
      <c r="AD99">
        <v>53.59</v>
      </c>
      <c r="AE99" t="s">
        <v>5613</v>
      </c>
      <c r="AF99" t="s">
        <v>6444</v>
      </c>
      <c r="AG99">
        <v>2010</v>
      </c>
      <c r="AH99">
        <v>46</v>
      </c>
      <c r="AJ99">
        <v>2.77</v>
      </c>
    </row>
    <row r="100" spans="1:36">
      <c r="A100" s="1" t="s">
        <v>638</v>
      </c>
      <c r="B100" t="s">
        <v>1502</v>
      </c>
      <c r="C100" t="str">
        <f>HYPERLINK("https://finance.naver.com/item/coinfo.nhn?code=005850", "A005850")</f>
        <v>A005850</v>
      </c>
      <c r="D100" t="str">
        <f>HYPERLINK("http://comp.fnguide.com/SVO2/ASP/SVD_Consensus.asp?pGB=1&amp;gicode=A005850&amp;cID=&amp;MenuYn=Y&amp;ReportGB=&amp;NewMenuID=108&amp;stkGb=701", "에스엘")</f>
        <v>에스엘</v>
      </c>
      <c r="E100">
        <v>3</v>
      </c>
      <c r="F100">
        <v>16300</v>
      </c>
      <c r="G100">
        <v>-0.34</v>
      </c>
      <c r="H100">
        <v>7.53</v>
      </c>
      <c r="I100">
        <v>22769</v>
      </c>
      <c r="J100">
        <v>26843</v>
      </c>
      <c r="K100">
        <v>28001</v>
      </c>
      <c r="L100">
        <v>-39.69</v>
      </c>
      <c r="M100">
        <v>-64.680000000000007</v>
      </c>
      <c r="N100">
        <v>-71.790000000000006</v>
      </c>
      <c r="O100">
        <v>6.12</v>
      </c>
      <c r="P100" t="b">
        <v>1</v>
      </c>
      <c r="Q100">
        <v>0</v>
      </c>
      <c r="R100">
        <v>1921</v>
      </c>
      <c r="S100">
        <v>1343</v>
      </c>
      <c r="T100">
        <v>-30.1</v>
      </c>
      <c r="U100" t="s">
        <v>2366</v>
      </c>
      <c r="V100" t="s">
        <v>3230</v>
      </c>
      <c r="W100">
        <v>-22.361137754328311</v>
      </c>
      <c r="X100">
        <v>-61.8</v>
      </c>
      <c r="Y100" t="s">
        <v>4038</v>
      </c>
      <c r="Z100">
        <v>-18.808065868303188</v>
      </c>
      <c r="AA100">
        <v>7857</v>
      </c>
      <c r="AB100">
        <v>76396</v>
      </c>
      <c r="AC100" t="s">
        <v>4885</v>
      </c>
      <c r="AD100">
        <v>63.48</v>
      </c>
      <c r="AE100" t="s">
        <v>5749</v>
      </c>
      <c r="AF100" t="s">
        <v>6576</v>
      </c>
      <c r="AG100">
        <v>22622</v>
      </c>
      <c r="AH100">
        <v>436</v>
      </c>
      <c r="AI100">
        <v>2147815</v>
      </c>
      <c r="AJ100">
        <v>2.76</v>
      </c>
    </row>
    <row r="101" spans="1:36">
      <c r="A101" s="1" t="s">
        <v>324</v>
      </c>
      <c r="B101" t="s">
        <v>1188</v>
      </c>
      <c r="C101" t="str">
        <f>HYPERLINK("https://finance.naver.com/item/coinfo.nhn?code=004590", "A004590")</f>
        <v>A004590</v>
      </c>
      <c r="D101" t="str">
        <f>HYPERLINK("http://comp.fnguide.com/SVO2/ASP/SVD_Consensus.asp?pGB=1&amp;gicode=A004590&amp;cID=&amp;MenuYn=Y&amp;ReportGB=&amp;NewMenuID=108&amp;stkGb=701", "한국가구")</f>
        <v>한국가구</v>
      </c>
      <c r="E101">
        <v>3</v>
      </c>
      <c r="F101">
        <v>4495</v>
      </c>
      <c r="G101">
        <v>0</v>
      </c>
      <c r="H101">
        <v>10.33</v>
      </c>
      <c r="I101">
        <v>5746</v>
      </c>
      <c r="J101">
        <v>6452</v>
      </c>
      <c r="K101">
        <v>6653</v>
      </c>
      <c r="L101">
        <v>-27.84</v>
      </c>
      <c r="M101">
        <v>-43.55</v>
      </c>
      <c r="N101">
        <v>-48.01</v>
      </c>
      <c r="O101">
        <v>6.59</v>
      </c>
      <c r="P101" t="b">
        <v>1</v>
      </c>
      <c r="Q101">
        <v>0</v>
      </c>
      <c r="R101">
        <v>405</v>
      </c>
      <c r="U101" t="s">
        <v>2052</v>
      </c>
      <c r="V101" t="s">
        <v>2916</v>
      </c>
      <c r="W101">
        <v>0</v>
      </c>
      <c r="X101">
        <v>16</v>
      </c>
      <c r="Y101" t="s">
        <v>3749</v>
      </c>
      <c r="Z101">
        <v>3.188540844111198</v>
      </c>
      <c r="AA101">
        <v>674</v>
      </c>
      <c r="AB101">
        <v>49670</v>
      </c>
      <c r="AC101" t="s">
        <v>4571</v>
      </c>
      <c r="AD101">
        <v>66.680000000000007</v>
      </c>
      <c r="AE101" t="s">
        <v>5435</v>
      </c>
      <c r="AF101" t="s">
        <v>6283</v>
      </c>
      <c r="AG101">
        <v>657</v>
      </c>
      <c r="AH101">
        <v>87</v>
      </c>
      <c r="AJ101">
        <v>2.75</v>
      </c>
    </row>
    <row r="102" spans="1:36">
      <c r="A102" s="1" t="s">
        <v>320</v>
      </c>
      <c r="B102" t="s">
        <v>1184</v>
      </c>
      <c r="C102" t="str">
        <f>HYPERLINK("https://finance.naver.com/item/coinfo.nhn?code=006140", "A006140")</f>
        <v>A006140</v>
      </c>
      <c r="D102" t="str">
        <f>HYPERLINK("http://comp.fnguide.com/SVO2/ASP/SVD_Consensus.asp?pGB=1&amp;gicode=A006140&amp;cID=&amp;MenuYn=Y&amp;ReportGB=&amp;NewMenuID=108&amp;stkGb=701", "피제이전자")</f>
        <v>피제이전자</v>
      </c>
      <c r="E102">
        <v>3</v>
      </c>
      <c r="F102">
        <v>6350</v>
      </c>
      <c r="G102">
        <v>0</v>
      </c>
      <c r="H102">
        <v>15.81</v>
      </c>
      <c r="I102">
        <v>5049</v>
      </c>
      <c r="J102">
        <v>6318</v>
      </c>
      <c r="K102">
        <v>6678</v>
      </c>
      <c r="L102">
        <v>20.48</v>
      </c>
      <c r="M102">
        <v>0.51</v>
      </c>
      <c r="N102">
        <v>-5.17</v>
      </c>
      <c r="O102">
        <v>5.6</v>
      </c>
      <c r="P102" t="b">
        <v>1</v>
      </c>
      <c r="Q102">
        <v>0</v>
      </c>
      <c r="R102">
        <v>326</v>
      </c>
      <c r="U102" t="s">
        <v>2048</v>
      </c>
      <c r="V102" t="s">
        <v>2912</v>
      </c>
      <c r="W102">
        <v>0</v>
      </c>
      <c r="X102">
        <v>-16.7</v>
      </c>
      <c r="Y102" t="s">
        <v>3746</v>
      </c>
      <c r="Z102">
        <v>-8.4208356350198521</v>
      </c>
      <c r="AA102">
        <v>953</v>
      </c>
      <c r="AB102">
        <v>17238</v>
      </c>
      <c r="AC102" t="s">
        <v>4567</v>
      </c>
      <c r="AD102">
        <v>70.180000000000007</v>
      </c>
      <c r="AE102" t="s">
        <v>5431</v>
      </c>
      <c r="AF102" t="s">
        <v>6280</v>
      </c>
      <c r="AG102">
        <v>993</v>
      </c>
      <c r="AH102">
        <v>59</v>
      </c>
      <c r="AI102">
        <v>50000</v>
      </c>
      <c r="AJ102">
        <v>2.72</v>
      </c>
    </row>
    <row r="103" spans="1:36">
      <c r="A103" s="1" t="s">
        <v>652</v>
      </c>
      <c r="B103" t="s">
        <v>1516</v>
      </c>
      <c r="C103" t="str">
        <f>HYPERLINK("https://finance.naver.com/item/coinfo.nhn?code=088790", "A088790")</f>
        <v>A088790</v>
      </c>
      <c r="D103" t="str">
        <f>HYPERLINK("http://comp.fnguide.com/SVO2/ASP/SVD_Consensus.asp?pGB=1&amp;gicode=A088790&amp;cID=&amp;MenuYn=Y&amp;ReportGB=&amp;NewMenuID=108&amp;stkGb=701", "진도")</f>
        <v>진도</v>
      </c>
      <c r="E103">
        <v>3</v>
      </c>
      <c r="F103">
        <v>3980</v>
      </c>
      <c r="G103">
        <v>0</v>
      </c>
      <c r="I103">
        <v>3442</v>
      </c>
      <c r="J103">
        <v>6209</v>
      </c>
      <c r="K103">
        <v>6996</v>
      </c>
      <c r="L103">
        <v>13.52</v>
      </c>
      <c r="M103">
        <v>-56.01</v>
      </c>
      <c r="N103">
        <v>-75.78</v>
      </c>
      <c r="O103">
        <v>3.4</v>
      </c>
      <c r="P103" t="b">
        <v>0</v>
      </c>
      <c r="Q103">
        <v>0</v>
      </c>
      <c r="R103">
        <v>-219</v>
      </c>
      <c r="U103" t="s">
        <v>2380</v>
      </c>
      <c r="V103" t="s">
        <v>3244</v>
      </c>
      <c r="W103">
        <v>0</v>
      </c>
      <c r="X103">
        <v>0</v>
      </c>
      <c r="Y103" t="s">
        <v>4050</v>
      </c>
      <c r="Z103">
        <v>14.453017572242871</v>
      </c>
      <c r="AA103">
        <v>495</v>
      </c>
      <c r="AB103">
        <v>610338</v>
      </c>
      <c r="AC103" t="s">
        <v>4899</v>
      </c>
      <c r="AD103">
        <v>50.85</v>
      </c>
      <c r="AE103" t="s">
        <v>5763</v>
      </c>
      <c r="AF103" t="s">
        <v>6588</v>
      </c>
      <c r="AG103">
        <v>779</v>
      </c>
      <c r="AH103">
        <v>-29</v>
      </c>
      <c r="AJ103">
        <v>2.7</v>
      </c>
    </row>
    <row r="104" spans="1:36">
      <c r="A104" s="1" t="s">
        <v>93</v>
      </c>
      <c r="B104" t="s">
        <v>957</v>
      </c>
      <c r="C104" t="str">
        <f>HYPERLINK("https://finance.naver.com/item/coinfo.nhn?code=035890", "A035890")</f>
        <v>A035890</v>
      </c>
      <c r="D104" t="str">
        <f>HYPERLINK("http://comp.fnguide.com/SVO2/ASP/SVD_Consensus.asp?pGB=1&amp;gicode=A035890&amp;cID=&amp;MenuYn=Y&amp;ReportGB=&amp;NewMenuID=108&amp;stkGb=701", "서희건설")</f>
        <v>서희건설</v>
      </c>
      <c r="E104">
        <v>3</v>
      </c>
      <c r="F104">
        <v>1410</v>
      </c>
      <c r="G104">
        <v>0.09</v>
      </c>
      <c r="H104">
        <v>3.81</v>
      </c>
      <c r="I104">
        <v>3448</v>
      </c>
      <c r="J104">
        <v>2407</v>
      </c>
      <c r="K104">
        <v>2111</v>
      </c>
      <c r="L104">
        <v>-144.56</v>
      </c>
      <c r="M104">
        <v>-70.69</v>
      </c>
      <c r="N104">
        <v>-49.7</v>
      </c>
      <c r="O104">
        <v>15.94</v>
      </c>
      <c r="P104" t="b">
        <v>1</v>
      </c>
      <c r="Q104">
        <v>3</v>
      </c>
      <c r="R104">
        <v>294</v>
      </c>
      <c r="S104">
        <v>522</v>
      </c>
      <c r="T104">
        <v>77.599999999999994</v>
      </c>
      <c r="U104" t="s">
        <v>1821</v>
      </c>
      <c r="V104" t="s">
        <v>2685</v>
      </c>
      <c r="W104">
        <v>42.593458912989469</v>
      </c>
      <c r="X104">
        <v>188</v>
      </c>
      <c r="Y104" t="s">
        <v>3543</v>
      </c>
      <c r="Z104">
        <v>62.877112332979337</v>
      </c>
      <c r="AA104">
        <v>3240</v>
      </c>
      <c r="AB104">
        <v>2179105</v>
      </c>
      <c r="AC104" t="s">
        <v>4340</v>
      </c>
      <c r="AD104">
        <v>50.37</v>
      </c>
      <c r="AE104" t="s">
        <v>5204</v>
      </c>
      <c r="AF104" t="s">
        <v>6065</v>
      </c>
      <c r="AG104">
        <v>12430</v>
      </c>
      <c r="AH104">
        <v>1182</v>
      </c>
      <c r="AI104">
        <v>9575559</v>
      </c>
      <c r="AJ104">
        <v>2.68</v>
      </c>
    </row>
    <row r="105" spans="1:36">
      <c r="A105" s="1" t="s">
        <v>554</v>
      </c>
      <c r="B105" t="s">
        <v>1418</v>
      </c>
      <c r="C105" t="str">
        <f>HYPERLINK("https://finance.naver.com/item/coinfo.nhn?code=004250", "A004250")</f>
        <v>A004250</v>
      </c>
      <c r="D105" t="str">
        <f>HYPERLINK("http://comp.fnguide.com/SVO2/ASP/SVD_Consensus.asp?pGB=1&amp;gicode=A004250&amp;cID=&amp;MenuYn=Y&amp;ReportGB=&amp;NewMenuID=108&amp;stkGb=701", "NPC")</f>
        <v>NPC</v>
      </c>
      <c r="E105">
        <v>3</v>
      </c>
      <c r="F105">
        <v>3250</v>
      </c>
      <c r="G105">
        <v>0</v>
      </c>
      <c r="H105">
        <v>10.92</v>
      </c>
      <c r="I105">
        <v>4837</v>
      </c>
      <c r="J105">
        <v>6569</v>
      </c>
      <c r="K105">
        <v>7061</v>
      </c>
      <c r="L105">
        <v>-48.84</v>
      </c>
      <c r="M105">
        <v>-102.12</v>
      </c>
      <c r="N105">
        <v>-117.26</v>
      </c>
      <c r="O105">
        <v>4.9800000000000004</v>
      </c>
      <c r="P105" t="b">
        <v>1</v>
      </c>
      <c r="Q105">
        <v>0</v>
      </c>
      <c r="R105">
        <v>343</v>
      </c>
      <c r="U105" t="s">
        <v>2282</v>
      </c>
      <c r="V105" t="s">
        <v>3146</v>
      </c>
      <c r="W105">
        <v>0</v>
      </c>
      <c r="X105">
        <v>2.1</v>
      </c>
      <c r="Y105" t="s">
        <v>3956</v>
      </c>
      <c r="Z105">
        <v>-9.9446643814204876</v>
      </c>
      <c r="AA105">
        <v>1193</v>
      </c>
      <c r="AB105">
        <v>153283</v>
      </c>
      <c r="AC105" t="s">
        <v>4801</v>
      </c>
      <c r="AD105">
        <v>60.05</v>
      </c>
      <c r="AE105" t="s">
        <v>5665</v>
      </c>
      <c r="AF105" t="s">
        <v>6494</v>
      </c>
      <c r="AG105">
        <v>4545</v>
      </c>
      <c r="AH105">
        <v>198</v>
      </c>
      <c r="AJ105">
        <v>2.67</v>
      </c>
    </row>
    <row r="106" spans="1:36">
      <c r="A106" s="1" t="s">
        <v>388</v>
      </c>
      <c r="B106" t="s">
        <v>1252</v>
      </c>
      <c r="C106" t="str">
        <f>HYPERLINK("https://finance.naver.com/item/coinfo.nhn?code=039020", "A039020")</f>
        <v>A039020</v>
      </c>
      <c r="D106" t="str">
        <f>HYPERLINK("http://comp.fnguide.com/SVO2/ASP/SVD_Consensus.asp?pGB=1&amp;gicode=A039020&amp;cID=&amp;MenuYn=Y&amp;ReportGB=&amp;NewMenuID=108&amp;stkGb=701", "이건홀딩스")</f>
        <v>이건홀딩스</v>
      </c>
      <c r="E106">
        <v>3</v>
      </c>
      <c r="F106">
        <v>2870</v>
      </c>
      <c r="G106">
        <v>0</v>
      </c>
      <c r="H106">
        <v>14.74</v>
      </c>
      <c r="I106">
        <v>5276</v>
      </c>
      <c r="J106">
        <v>6263</v>
      </c>
      <c r="K106">
        <v>6543</v>
      </c>
      <c r="L106">
        <v>-83.82</v>
      </c>
      <c r="M106">
        <v>-118.21</v>
      </c>
      <c r="N106">
        <v>-127.99</v>
      </c>
      <c r="O106">
        <v>6.06</v>
      </c>
      <c r="P106" t="b">
        <v>1</v>
      </c>
      <c r="Q106">
        <v>0</v>
      </c>
      <c r="R106">
        <v>179</v>
      </c>
      <c r="U106" t="s">
        <v>2116</v>
      </c>
      <c r="V106" t="s">
        <v>2980</v>
      </c>
      <c r="W106">
        <v>0</v>
      </c>
      <c r="X106">
        <v>0</v>
      </c>
      <c r="Y106" t="s">
        <v>3799</v>
      </c>
      <c r="Z106">
        <v>-12.79730968797443</v>
      </c>
      <c r="AA106">
        <v>648</v>
      </c>
      <c r="AB106">
        <v>249386</v>
      </c>
      <c r="AC106" t="s">
        <v>4635</v>
      </c>
      <c r="AD106">
        <v>53.15</v>
      </c>
      <c r="AE106" t="s">
        <v>5499</v>
      </c>
      <c r="AF106" t="s">
        <v>6335</v>
      </c>
      <c r="AG106">
        <v>4703</v>
      </c>
      <c r="AH106">
        <v>166</v>
      </c>
      <c r="AI106">
        <v>925488</v>
      </c>
      <c r="AJ106">
        <v>2.66</v>
      </c>
    </row>
    <row r="107" spans="1:36">
      <c r="A107" s="1" t="s">
        <v>726</v>
      </c>
      <c r="B107" t="s">
        <v>1590</v>
      </c>
      <c r="C107" t="str">
        <f>HYPERLINK("https://finance.naver.com/item/coinfo.nhn?code=000140", "A000140")</f>
        <v>A000140</v>
      </c>
      <c r="D107" t="str">
        <f>HYPERLINK("http://comp.fnguide.com/SVO2/ASP/SVD_Consensus.asp?pGB=1&amp;gicode=A000140&amp;cID=&amp;MenuYn=Y&amp;ReportGB=&amp;NewMenuID=108&amp;stkGb=701", "하이트진로홀딩스")</f>
        <v>하이트진로홀딩스</v>
      </c>
      <c r="E107">
        <v>3</v>
      </c>
      <c r="F107">
        <v>15150</v>
      </c>
      <c r="G107">
        <v>0</v>
      </c>
      <c r="I107">
        <v>0</v>
      </c>
      <c r="J107">
        <v>12267</v>
      </c>
      <c r="K107">
        <v>15753</v>
      </c>
      <c r="L107">
        <v>100</v>
      </c>
      <c r="M107">
        <v>19.03</v>
      </c>
      <c r="N107">
        <v>-3.98</v>
      </c>
      <c r="O107">
        <v>0</v>
      </c>
      <c r="P107" t="b">
        <v>0</v>
      </c>
      <c r="Q107">
        <v>0</v>
      </c>
      <c r="R107">
        <v>-903</v>
      </c>
      <c r="U107" t="s">
        <v>2454</v>
      </c>
      <c r="V107" t="s">
        <v>3318</v>
      </c>
      <c r="W107">
        <v>0</v>
      </c>
      <c r="X107">
        <v>0</v>
      </c>
      <c r="Y107" t="s">
        <v>4115</v>
      </c>
      <c r="Z107">
        <v>52.099999999999987</v>
      </c>
      <c r="AA107">
        <v>3516</v>
      </c>
      <c r="AB107">
        <v>22301</v>
      </c>
      <c r="AC107" t="s">
        <v>4973</v>
      </c>
      <c r="AD107">
        <v>65.91</v>
      </c>
      <c r="AE107" t="s">
        <v>5837</v>
      </c>
      <c r="AF107" t="s">
        <v>6021</v>
      </c>
      <c r="AG107">
        <v>20263</v>
      </c>
      <c r="AH107">
        <v>1009</v>
      </c>
      <c r="AI107">
        <v>1842040</v>
      </c>
      <c r="AJ107">
        <v>2.65</v>
      </c>
    </row>
    <row r="108" spans="1:36">
      <c r="A108" s="1" t="s">
        <v>790</v>
      </c>
      <c r="B108" t="s">
        <v>1654</v>
      </c>
      <c r="C108" t="str">
        <f>HYPERLINK("https://finance.naver.com/item/coinfo.nhn?code=010640", "A010640")</f>
        <v>A010640</v>
      </c>
      <c r="D108" t="str">
        <f>HYPERLINK("http://comp.fnguide.com/SVO2/ASP/SVD_Consensus.asp?pGB=1&amp;gicode=A010640&amp;cID=&amp;MenuYn=Y&amp;ReportGB=&amp;NewMenuID=108&amp;stkGb=701", "진양폴리")</f>
        <v>진양폴리</v>
      </c>
      <c r="E108">
        <v>2</v>
      </c>
      <c r="F108">
        <v>3680</v>
      </c>
      <c r="G108">
        <v>0</v>
      </c>
      <c r="H108">
        <v>5.16</v>
      </c>
      <c r="I108">
        <v>6290</v>
      </c>
      <c r="J108">
        <v>4106</v>
      </c>
      <c r="K108">
        <v>3485</v>
      </c>
      <c r="L108">
        <v>-70.92</v>
      </c>
      <c r="M108">
        <v>-11.57</v>
      </c>
      <c r="N108">
        <v>5.29</v>
      </c>
      <c r="O108">
        <v>18.77</v>
      </c>
      <c r="P108" t="b">
        <v>1</v>
      </c>
      <c r="Q108">
        <v>0</v>
      </c>
      <c r="R108">
        <v>755</v>
      </c>
      <c r="U108" t="s">
        <v>2518</v>
      </c>
      <c r="V108" t="s">
        <v>3382</v>
      </c>
      <c r="W108">
        <v>0</v>
      </c>
      <c r="X108">
        <v>-78.2</v>
      </c>
      <c r="Y108" t="s">
        <v>4176</v>
      </c>
      <c r="Z108">
        <v>-30.48750885169499</v>
      </c>
      <c r="AA108">
        <v>368</v>
      </c>
      <c r="AB108">
        <v>101307</v>
      </c>
      <c r="AC108" t="s">
        <v>5037</v>
      </c>
      <c r="AD108">
        <v>50.5</v>
      </c>
      <c r="AE108" t="s">
        <v>5901</v>
      </c>
      <c r="AF108" t="s">
        <v>6710</v>
      </c>
      <c r="AG108">
        <v>351</v>
      </c>
      <c r="AH108">
        <v>31</v>
      </c>
      <c r="AJ108">
        <v>2.56</v>
      </c>
    </row>
    <row r="109" spans="1:36">
      <c r="A109" s="1" t="s">
        <v>604</v>
      </c>
      <c r="B109" t="s">
        <v>1468</v>
      </c>
      <c r="C109" t="str">
        <f>HYPERLINK("https://finance.naver.com/item/coinfo.nhn?code=072710", "A072710")</f>
        <v>A072710</v>
      </c>
      <c r="D109" t="str">
        <f>HYPERLINK("http://comp.fnguide.com/SVO2/ASP/SVD_Consensus.asp?pGB=1&amp;gicode=A072710&amp;cID=&amp;MenuYn=Y&amp;ReportGB=&amp;NewMenuID=108&amp;stkGb=701", "농심홀딩스")</f>
        <v>농심홀딩스</v>
      </c>
      <c r="E109">
        <v>3</v>
      </c>
      <c r="F109">
        <v>74800</v>
      </c>
      <c r="G109">
        <v>0</v>
      </c>
      <c r="H109">
        <v>9.9499999999999993</v>
      </c>
      <c r="I109">
        <v>114637</v>
      </c>
      <c r="J109">
        <v>165108</v>
      </c>
      <c r="K109">
        <v>179451</v>
      </c>
      <c r="L109">
        <v>-53.26</v>
      </c>
      <c r="M109">
        <v>-120.73</v>
      </c>
      <c r="N109">
        <v>-139.91</v>
      </c>
      <c r="O109">
        <v>4.58</v>
      </c>
      <c r="P109" t="b">
        <v>0</v>
      </c>
      <c r="Q109">
        <v>0</v>
      </c>
      <c r="R109">
        <v>7887</v>
      </c>
      <c r="U109" t="s">
        <v>2332</v>
      </c>
      <c r="V109" t="s">
        <v>3196</v>
      </c>
      <c r="W109">
        <v>0</v>
      </c>
      <c r="X109">
        <v>102.2</v>
      </c>
      <c r="Y109" t="s">
        <v>4006</v>
      </c>
      <c r="Z109">
        <v>9.2167535084029204</v>
      </c>
      <c r="AA109">
        <v>3469</v>
      </c>
      <c r="AB109">
        <v>9871</v>
      </c>
      <c r="AC109" t="s">
        <v>4851</v>
      </c>
      <c r="AD109">
        <v>66.599999999999994</v>
      </c>
      <c r="AE109" t="s">
        <v>5715</v>
      </c>
      <c r="AF109" t="s">
        <v>6544</v>
      </c>
      <c r="AG109">
        <v>5367</v>
      </c>
      <c r="AH109">
        <v>413</v>
      </c>
      <c r="AJ109">
        <v>2.5499999999999998</v>
      </c>
    </row>
    <row r="110" spans="1:36">
      <c r="A110" s="1" t="s">
        <v>741</v>
      </c>
      <c r="B110" t="s">
        <v>1605</v>
      </c>
      <c r="C110" t="str">
        <f>HYPERLINK("https://finance.naver.com/item/coinfo.nhn?code=023350", "A023350")</f>
        <v>A023350</v>
      </c>
      <c r="D110" t="str">
        <f>HYPERLINK("http://comp.fnguide.com/SVO2/ASP/SVD_Consensus.asp?pGB=1&amp;gicode=A023350&amp;cID=&amp;MenuYn=Y&amp;ReportGB=&amp;NewMenuID=108&amp;stkGb=701", "한국종합기술")</f>
        <v>한국종합기술</v>
      </c>
      <c r="E110">
        <v>3</v>
      </c>
      <c r="F110">
        <v>5060</v>
      </c>
      <c r="G110">
        <v>0</v>
      </c>
      <c r="I110">
        <v>0</v>
      </c>
      <c r="J110">
        <v>5523</v>
      </c>
      <c r="K110">
        <v>7092</v>
      </c>
      <c r="L110">
        <v>100</v>
      </c>
      <c r="M110">
        <v>-9.15</v>
      </c>
      <c r="N110">
        <v>-40.17</v>
      </c>
      <c r="O110">
        <v>0</v>
      </c>
      <c r="P110" t="b">
        <v>0</v>
      </c>
      <c r="Q110">
        <v>0</v>
      </c>
      <c r="R110">
        <v>-325</v>
      </c>
      <c r="U110" t="s">
        <v>2469</v>
      </c>
      <c r="V110" t="s">
        <v>3333</v>
      </c>
      <c r="W110">
        <v>0</v>
      </c>
      <c r="X110">
        <v>-53.2</v>
      </c>
      <c r="Y110" t="s">
        <v>4128</v>
      </c>
      <c r="Z110">
        <v>10.181305129318559</v>
      </c>
      <c r="AA110">
        <v>554</v>
      </c>
      <c r="AB110">
        <v>259359</v>
      </c>
      <c r="AC110" t="s">
        <v>4988</v>
      </c>
      <c r="AD110">
        <v>53.65</v>
      </c>
      <c r="AE110" t="s">
        <v>5852</v>
      </c>
      <c r="AF110" t="s">
        <v>6021</v>
      </c>
      <c r="AG110">
        <v>2189</v>
      </c>
      <c r="AH110">
        <v>-21</v>
      </c>
      <c r="AI110">
        <v>546085</v>
      </c>
      <c r="AJ110">
        <v>2.5499999999999998</v>
      </c>
    </row>
    <row r="111" spans="1:36">
      <c r="A111" s="1" t="s">
        <v>437</v>
      </c>
      <c r="B111" t="s">
        <v>1301</v>
      </c>
      <c r="C111" t="str">
        <f>HYPERLINK("https://finance.naver.com/item/coinfo.nhn?code=092780", "A092780")</f>
        <v>A092780</v>
      </c>
      <c r="D111" t="str">
        <f>HYPERLINK("http://comp.fnguide.com/SVO2/ASP/SVD_Consensus.asp?pGB=1&amp;gicode=A092780&amp;cID=&amp;MenuYn=Y&amp;ReportGB=&amp;NewMenuID=108&amp;stkGb=701", "동양피스톤")</f>
        <v>동양피스톤</v>
      </c>
      <c r="E111">
        <v>3</v>
      </c>
      <c r="F111">
        <v>5440</v>
      </c>
      <c r="G111">
        <v>0</v>
      </c>
      <c r="H111">
        <v>6.53</v>
      </c>
      <c r="I111">
        <v>12024</v>
      </c>
      <c r="J111">
        <v>9888</v>
      </c>
      <c r="K111">
        <v>9281</v>
      </c>
      <c r="L111">
        <v>-121.02</v>
      </c>
      <c r="M111">
        <v>-81.760000000000005</v>
      </c>
      <c r="N111">
        <v>-70.599999999999994</v>
      </c>
      <c r="O111">
        <v>11.27</v>
      </c>
      <c r="P111" t="b">
        <v>1</v>
      </c>
      <c r="Q111">
        <v>0</v>
      </c>
      <c r="R111">
        <v>738</v>
      </c>
      <c r="U111" t="s">
        <v>2165</v>
      </c>
      <c r="V111" t="s">
        <v>3029</v>
      </c>
      <c r="W111">
        <v>0</v>
      </c>
      <c r="X111">
        <v>0</v>
      </c>
      <c r="Y111" t="s">
        <v>3845</v>
      </c>
      <c r="Z111">
        <v>2.3073167311767229</v>
      </c>
      <c r="AA111">
        <v>716</v>
      </c>
      <c r="AB111">
        <v>69551</v>
      </c>
      <c r="AC111" t="s">
        <v>4684</v>
      </c>
      <c r="AD111">
        <v>55.79</v>
      </c>
      <c r="AE111" t="s">
        <v>5548</v>
      </c>
      <c r="AF111" t="s">
        <v>6381</v>
      </c>
      <c r="AG111">
        <v>3648</v>
      </c>
      <c r="AH111">
        <v>185</v>
      </c>
      <c r="AI111">
        <v>647132</v>
      </c>
      <c r="AJ111">
        <v>2.4900000000000002</v>
      </c>
    </row>
    <row r="112" spans="1:36">
      <c r="A112" s="1" t="s">
        <v>751</v>
      </c>
      <c r="B112" t="s">
        <v>1615</v>
      </c>
      <c r="C112" t="str">
        <f>HYPERLINK("https://finance.naver.com/item/coinfo.nhn?code=017390", "A017390")</f>
        <v>A017390</v>
      </c>
      <c r="D112" t="str">
        <f>HYPERLINK("http://comp.fnguide.com/SVO2/ASP/SVD_Consensus.asp?pGB=1&amp;gicode=A017390&amp;cID=&amp;MenuYn=Y&amp;ReportGB=&amp;NewMenuID=108&amp;stkGb=701", "서울가스")</f>
        <v>서울가스</v>
      </c>
      <c r="E112">
        <v>3</v>
      </c>
      <c r="F112">
        <v>94000</v>
      </c>
      <c r="G112">
        <v>0</v>
      </c>
      <c r="H112">
        <v>12.1</v>
      </c>
      <c r="I112">
        <v>115382</v>
      </c>
      <c r="J112">
        <v>195340</v>
      </c>
      <c r="K112">
        <v>218063</v>
      </c>
      <c r="L112">
        <v>-22.75</v>
      </c>
      <c r="M112">
        <v>-107.81</v>
      </c>
      <c r="N112">
        <v>-131.97999999999999</v>
      </c>
      <c r="O112">
        <v>3.69</v>
      </c>
      <c r="P112" t="b">
        <v>0</v>
      </c>
      <c r="Q112">
        <v>0</v>
      </c>
      <c r="R112">
        <v>5836</v>
      </c>
      <c r="U112" t="s">
        <v>2479</v>
      </c>
      <c r="V112" t="s">
        <v>3343</v>
      </c>
      <c r="W112">
        <v>0</v>
      </c>
      <c r="X112">
        <v>417.4</v>
      </c>
      <c r="Y112" t="s">
        <v>4138</v>
      </c>
      <c r="Z112">
        <v>27.6538005519904</v>
      </c>
      <c r="AA112">
        <v>4700</v>
      </c>
      <c r="AB112">
        <v>766</v>
      </c>
      <c r="AC112" t="s">
        <v>4998</v>
      </c>
      <c r="AD112">
        <v>63.61</v>
      </c>
      <c r="AE112" t="s">
        <v>5862</v>
      </c>
      <c r="AF112" t="s">
        <v>6674</v>
      </c>
      <c r="AG112">
        <v>13610</v>
      </c>
      <c r="AH112">
        <v>105</v>
      </c>
      <c r="AI112">
        <v>1117208</v>
      </c>
      <c r="AJ112">
        <v>2.48</v>
      </c>
    </row>
    <row r="113" spans="1:36">
      <c r="A113" s="1" t="s">
        <v>699</v>
      </c>
      <c r="B113" t="s">
        <v>1563</v>
      </c>
      <c r="C113" t="str">
        <f>HYPERLINK("https://finance.naver.com/item/coinfo.nhn?code=006220", "A006220")</f>
        <v>A006220</v>
      </c>
      <c r="D113" t="str">
        <f>HYPERLINK("http://comp.fnguide.com/SVO2/ASP/SVD_Consensus.asp?pGB=1&amp;gicode=A006220&amp;cID=&amp;MenuYn=Y&amp;ReportGB=&amp;NewMenuID=108&amp;stkGb=701", "제주은행")</f>
        <v>제주은행</v>
      </c>
      <c r="E113">
        <v>3</v>
      </c>
      <c r="F113">
        <v>3380</v>
      </c>
      <c r="G113">
        <v>0</v>
      </c>
      <c r="H113">
        <v>4.66</v>
      </c>
      <c r="I113">
        <v>11891</v>
      </c>
      <c r="J113">
        <v>14057</v>
      </c>
      <c r="K113">
        <v>14672</v>
      </c>
      <c r="L113">
        <v>-251.81</v>
      </c>
      <c r="M113">
        <v>-315.89</v>
      </c>
      <c r="N113">
        <v>-334.1</v>
      </c>
      <c r="O113">
        <v>6.09</v>
      </c>
      <c r="P113" t="b">
        <v>0</v>
      </c>
      <c r="Q113">
        <v>0</v>
      </c>
      <c r="R113">
        <v>869</v>
      </c>
      <c r="U113" t="s">
        <v>2427</v>
      </c>
      <c r="V113" t="s">
        <v>3291</v>
      </c>
      <c r="W113">
        <v>0</v>
      </c>
      <c r="X113">
        <v>2</v>
      </c>
      <c r="Y113" t="s">
        <v>4092</v>
      </c>
      <c r="Z113">
        <v>2.339831735155351</v>
      </c>
      <c r="AA113">
        <v>1086</v>
      </c>
      <c r="AB113">
        <v>22299</v>
      </c>
      <c r="AC113" t="s">
        <v>4946</v>
      </c>
      <c r="AD113">
        <v>75.31</v>
      </c>
      <c r="AE113" t="s">
        <v>5810</v>
      </c>
      <c r="AF113" t="s">
        <v>6631</v>
      </c>
      <c r="AG113">
        <v>2013</v>
      </c>
      <c r="AH113">
        <v>372</v>
      </c>
      <c r="AJ113">
        <v>2.4700000000000002</v>
      </c>
    </row>
    <row r="114" spans="1:36">
      <c r="A114" s="1" t="s">
        <v>630</v>
      </c>
      <c r="B114" t="s">
        <v>1494</v>
      </c>
      <c r="C114" t="str">
        <f>HYPERLINK("https://finance.naver.com/item/coinfo.nhn?code=000860", "A000860")</f>
        <v>A000860</v>
      </c>
      <c r="D114" t="str">
        <f>HYPERLINK("http://comp.fnguide.com/SVO2/ASP/SVD_Consensus.asp?pGB=1&amp;gicode=A000860&amp;cID=&amp;MenuYn=Y&amp;ReportGB=&amp;NewMenuID=108&amp;stkGb=701", "강남제비스코")</f>
        <v>강남제비스코</v>
      </c>
      <c r="E114">
        <v>3</v>
      </c>
      <c r="F114">
        <v>21000</v>
      </c>
      <c r="G114">
        <v>0</v>
      </c>
      <c r="H114">
        <v>9.0500000000000007</v>
      </c>
      <c r="I114">
        <v>48824</v>
      </c>
      <c r="J114">
        <v>68192</v>
      </c>
      <c r="K114">
        <v>73697</v>
      </c>
      <c r="L114">
        <v>-132.49</v>
      </c>
      <c r="M114">
        <v>-224.73</v>
      </c>
      <c r="N114">
        <v>-250.94</v>
      </c>
      <c r="O114">
        <v>4.78</v>
      </c>
      <c r="P114" t="b">
        <v>1</v>
      </c>
      <c r="Q114">
        <v>0</v>
      </c>
      <c r="R114">
        <v>2250</v>
      </c>
      <c r="U114" t="s">
        <v>2358</v>
      </c>
      <c r="V114" t="s">
        <v>3222</v>
      </c>
      <c r="W114">
        <v>0</v>
      </c>
      <c r="X114">
        <v>11.1</v>
      </c>
      <c r="Y114" t="s">
        <v>4031</v>
      </c>
      <c r="Z114">
        <v>-16.575904424753809</v>
      </c>
      <c r="AA114">
        <v>1365</v>
      </c>
      <c r="AB114">
        <v>16616</v>
      </c>
      <c r="AC114" t="s">
        <v>4877</v>
      </c>
      <c r="AD114">
        <v>50.74</v>
      </c>
      <c r="AE114" t="s">
        <v>5741</v>
      </c>
      <c r="AF114" t="s">
        <v>6569</v>
      </c>
      <c r="AG114">
        <v>3325</v>
      </c>
      <c r="AH114">
        <v>-20</v>
      </c>
      <c r="AJ114">
        <v>2.46</v>
      </c>
    </row>
    <row r="115" spans="1:36">
      <c r="A115" s="1" t="s">
        <v>216</v>
      </c>
      <c r="B115" t="s">
        <v>1080</v>
      </c>
      <c r="C115" t="str">
        <f>HYPERLINK("https://finance.naver.com/item/coinfo.nhn?code=079980", "A079980")</f>
        <v>A079980</v>
      </c>
      <c r="D115" t="str">
        <f>HYPERLINK("http://comp.fnguide.com/SVO2/ASP/SVD_Consensus.asp?pGB=1&amp;gicode=A079980&amp;cID=&amp;MenuYn=Y&amp;ReportGB=&amp;NewMenuID=108&amp;stkGb=701", "휴비스")</f>
        <v>휴비스</v>
      </c>
      <c r="E115">
        <v>3</v>
      </c>
      <c r="F115">
        <v>8380</v>
      </c>
      <c r="I115">
        <v>3715</v>
      </c>
      <c r="J115">
        <v>8674</v>
      </c>
      <c r="K115">
        <v>10083</v>
      </c>
      <c r="L115">
        <v>55.67</v>
      </c>
      <c r="M115">
        <v>-3.5</v>
      </c>
      <c r="N115">
        <v>-20.32</v>
      </c>
      <c r="O115">
        <v>2.4700000000000002</v>
      </c>
      <c r="P115" t="b">
        <v>0</v>
      </c>
      <c r="Q115">
        <v>1</v>
      </c>
      <c r="R115">
        <v>-8</v>
      </c>
      <c r="S115">
        <v>957</v>
      </c>
      <c r="T115">
        <v>-12062.5</v>
      </c>
      <c r="U115" t="s">
        <v>1944</v>
      </c>
      <c r="V115" t="s">
        <v>2808</v>
      </c>
      <c r="W115">
        <v>14.01563728246575</v>
      </c>
      <c r="X115">
        <v>2506.1</v>
      </c>
      <c r="Y115" t="s">
        <v>3657</v>
      </c>
      <c r="Z115">
        <v>119.0147855170427</v>
      </c>
      <c r="AA115">
        <v>2891</v>
      </c>
      <c r="AB115">
        <v>211428</v>
      </c>
      <c r="AC115" t="s">
        <v>4463</v>
      </c>
      <c r="AD115">
        <v>51</v>
      </c>
      <c r="AE115" t="s">
        <v>5327</v>
      </c>
      <c r="AF115" t="s">
        <v>6184</v>
      </c>
      <c r="AG115">
        <v>10293</v>
      </c>
      <c r="AH115">
        <v>49</v>
      </c>
      <c r="AI115">
        <v>1589680</v>
      </c>
      <c r="AJ115">
        <v>2.46</v>
      </c>
    </row>
    <row r="116" spans="1:36">
      <c r="A116" s="1" t="s">
        <v>817</v>
      </c>
      <c r="B116" t="s">
        <v>1681</v>
      </c>
      <c r="C116" t="str">
        <f>HYPERLINK("https://finance.naver.com/item/coinfo.nhn?code=086280", "A086280")</f>
        <v>A086280</v>
      </c>
      <c r="D116" t="str">
        <f>HYPERLINK("http://comp.fnguide.com/SVO2/ASP/SVD_Consensus.asp?pGB=1&amp;gicode=A086280&amp;cID=&amp;MenuYn=Y&amp;ReportGB=&amp;NewMenuID=108&amp;stkGb=701", "현대글로비스")</f>
        <v>현대글로비스</v>
      </c>
      <c r="E116">
        <v>1</v>
      </c>
      <c r="F116">
        <v>182000</v>
      </c>
      <c r="G116">
        <v>-1.87</v>
      </c>
      <c r="H116">
        <v>10.68</v>
      </c>
      <c r="I116">
        <v>191308</v>
      </c>
      <c r="J116">
        <v>151137</v>
      </c>
      <c r="K116">
        <v>139720</v>
      </c>
      <c r="L116">
        <v>-5.1100000000000003</v>
      </c>
      <c r="M116">
        <v>16.96</v>
      </c>
      <c r="N116">
        <v>23.23</v>
      </c>
      <c r="O116">
        <v>12.2</v>
      </c>
      <c r="P116" t="b">
        <v>0</v>
      </c>
      <c r="Q116">
        <v>2</v>
      </c>
      <c r="R116">
        <v>13395</v>
      </c>
      <c r="S116">
        <v>15205</v>
      </c>
      <c r="T116">
        <v>13.5</v>
      </c>
      <c r="U116" t="s">
        <v>2545</v>
      </c>
      <c r="V116" t="s">
        <v>3409</v>
      </c>
      <c r="W116">
        <v>-5.7005945878681459</v>
      </c>
      <c r="X116">
        <v>60.4</v>
      </c>
      <c r="Y116" t="s">
        <v>4203</v>
      </c>
      <c r="Z116">
        <v>16.423818867072409</v>
      </c>
      <c r="AA116">
        <v>68250</v>
      </c>
      <c r="AB116">
        <v>125458</v>
      </c>
      <c r="AC116" t="s">
        <v>5064</v>
      </c>
      <c r="AD116">
        <v>51.39</v>
      </c>
      <c r="AE116" t="s">
        <v>5928</v>
      </c>
      <c r="AF116" t="s">
        <v>6736</v>
      </c>
      <c r="AG116">
        <v>182701</v>
      </c>
      <c r="AH116">
        <v>8765</v>
      </c>
      <c r="AJ116">
        <v>2.4500000000000002</v>
      </c>
    </row>
    <row r="117" spans="1:36">
      <c r="A117" s="1" t="s">
        <v>235</v>
      </c>
      <c r="B117" t="s">
        <v>1099</v>
      </c>
      <c r="C117" t="str">
        <f>HYPERLINK("https://finance.naver.com/item/coinfo.nhn?code=015710", "A015710")</f>
        <v>A015710</v>
      </c>
      <c r="D117" t="str">
        <f>HYPERLINK("http://comp.fnguide.com/SVO2/ASP/SVD_Consensus.asp?pGB=1&amp;gicode=A015710&amp;cID=&amp;MenuYn=Y&amp;ReportGB=&amp;NewMenuID=108&amp;stkGb=701", "코콤")</f>
        <v>코콤</v>
      </c>
      <c r="E117">
        <v>3</v>
      </c>
      <c r="F117">
        <v>6750</v>
      </c>
      <c r="G117">
        <v>0</v>
      </c>
      <c r="H117">
        <v>13.97</v>
      </c>
      <c r="I117">
        <v>8654</v>
      </c>
      <c r="J117">
        <v>7721</v>
      </c>
      <c r="K117">
        <v>7456</v>
      </c>
      <c r="L117">
        <v>-28.21</v>
      </c>
      <c r="M117">
        <v>-14.38</v>
      </c>
      <c r="N117">
        <v>-10.46</v>
      </c>
      <c r="O117">
        <v>9.67</v>
      </c>
      <c r="P117" t="b">
        <v>1</v>
      </c>
      <c r="Q117">
        <v>0</v>
      </c>
      <c r="R117">
        <v>469</v>
      </c>
      <c r="U117" t="s">
        <v>1963</v>
      </c>
      <c r="V117" t="s">
        <v>2827</v>
      </c>
      <c r="W117">
        <v>0</v>
      </c>
      <c r="X117">
        <v>-22.1</v>
      </c>
      <c r="Y117" t="s">
        <v>3673</v>
      </c>
      <c r="Z117">
        <v>-2.5641653422647899</v>
      </c>
      <c r="AA117">
        <v>1183</v>
      </c>
      <c r="AB117">
        <v>101350</v>
      </c>
      <c r="AC117" t="s">
        <v>4482</v>
      </c>
      <c r="AD117">
        <v>59.2</v>
      </c>
      <c r="AE117" t="s">
        <v>5346</v>
      </c>
      <c r="AF117" t="s">
        <v>6202</v>
      </c>
      <c r="AG117">
        <v>1339</v>
      </c>
      <c r="AH117">
        <v>133</v>
      </c>
      <c r="AI117">
        <v>932563</v>
      </c>
      <c r="AJ117">
        <v>2.44</v>
      </c>
    </row>
    <row r="118" spans="1:36">
      <c r="A118" s="1" t="s">
        <v>425</v>
      </c>
      <c r="B118" t="s">
        <v>1289</v>
      </c>
      <c r="C118" t="str">
        <f>HYPERLINK("https://finance.naver.com/item/coinfo.nhn?code=000240", "A000240")</f>
        <v>A000240</v>
      </c>
      <c r="D118" t="str">
        <f>HYPERLINK("http://comp.fnguide.com/SVO2/ASP/SVD_Consensus.asp?pGB=1&amp;gicode=A000240&amp;cID=&amp;MenuYn=Y&amp;ReportGB=&amp;NewMenuID=108&amp;stkGb=701", "한국테크놀로지그룹")</f>
        <v>한국테크놀로지그룹</v>
      </c>
      <c r="E118">
        <v>3</v>
      </c>
      <c r="F118">
        <v>14350</v>
      </c>
      <c r="G118">
        <v>-0.45</v>
      </c>
      <c r="H118">
        <v>8.85</v>
      </c>
      <c r="I118">
        <v>26796</v>
      </c>
      <c r="J118">
        <v>32201</v>
      </c>
      <c r="K118">
        <v>33736</v>
      </c>
      <c r="L118">
        <v>-86.73</v>
      </c>
      <c r="M118">
        <v>-124.39</v>
      </c>
      <c r="N118">
        <v>-135.1</v>
      </c>
      <c r="O118">
        <v>5.95</v>
      </c>
      <c r="P118" t="b">
        <v>0</v>
      </c>
      <c r="Q118">
        <v>0</v>
      </c>
      <c r="R118">
        <v>1627</v>
      </c>
      <c r="S118">
        <v>1304</v>
      </c>
      <c r="T118">
        <v>-19.899999999999999</v>
      </c>
      <c r="U118" t="s">
        <v>2153</v>
      </c>
      <c r="V118" t="s">
        <v>3017</v>
      </c>
      <c r="W118">
        <v>-19.587983529179699</v>
      </c>
      <c r="X118">
        <v>-28.6</v>
      </c>
      <c r="Y118" t="s">
        <v>3834</v>
      </c>
      <c r="Z118">
        <v>-8.9654129010534369</v>
      </c>
      <c r="AA118">
        <v>13348</v>
      </c>
      <c r="AB118">
        <v>318005</v>
      </c>
      <c r="AC118" t="s">
        <v>4672</v>
      </c>
      <c r="AD118">
        <v>73.92</v>
      </c>
      <c r="AE118" t="s">
        <v>5536</v>
      </c>
      <c r="AF118" t="s">
        <v>6369</v>
      </c>
      <c r="AG118">
        <v>8476</v>
      </c>
      <c r="AH118">
        <v>1709</v>
      </c>
      <c r="AI118">
        <v>1325090</v>
      </c>
      <c r="AJ118">
        <v>2.4300000000000002</v>
      </c>
    </row>
    <row r="119" spans="1:36">
      <c r="A119" s="1" t="s">
        <v>66</v>
      </c>
      <c r="B119" t="s">
        <v>930</v>
      </c>
      <c r="C119" t="str">
        <f>HYPERLINK("https://finance.naver.com/item/coinfo.nhn?code=004780", "A004780")</f>
        <v>A004780</v>
      </c>
      <c r="D119" t="str">
        <f>HYPERLINK("http://comp.fnguide.com/SVO2/ASP/SVD_Consensus.asp?pGB=1&amp;gicode=A004780&amp;cID=&amp;MenuYn=Y&amp;ReportGB=&amp;NewMenuID=108&amp;stkGb=701", "대륙제관")</f>
        <v>대륙제관</v>
      </c>
      <c r="E119">
        <v>3</v>
      </c>
      <c r="F119">
        <v>4785</v>
      </c>
      <c r="G119">
        <v>0</v>
      </c>
      <c r="H119">
        <v>12.48</v>
      </c>
      <c r="I119">
        <v>4567</v>
      </c>
      <c r="J119">
        <v>5864</v>
      </c>
      <c r="K119">
        <v>6232</v>
      </c>
      <c r="L119">
        <v>4.55</v>
      </c>
      <c r="M119">
        <v>-22.54</v>
      </c>
      <c r="N119">
        <v>-30.24</v>
      </c>
      <c r="O119">
        <v>5.39</v>
      </c>
      <c r="P119" t="b">
        <v>1</v>
      </c>
      <c r="Q119">
        <v>0</v>
      </c>
      <c r="R119">
        <v>337</v>
      </c>
      <c r="U119" t="s">
        <v>1794</v>
      </c>
      <c r="V119" t="s">
        <v>2658</v>
      </c>
      <c r="W119">
        <v>0</v>
      </c>
      <c r="X119">
        <v>144.9</v>
      </c>
      <c r="Y119" t="s">
        <v>3520</v>
      </c>
      <c r="Z119">
        <v>0.38952579181963382</v>
      </c>
      <c r="AA119">
        <v>761</v>
      </c>
      <c r="AB119">
        <v>140361</v>
      </c>
      <c r="AC119" t="s">
        <v>4313</v>
      </c>
      <c r="AD119">
        <v>56.15</v>
      </c>
      <c r="AE119" t="s">
        <v>5177</v>
      </c>
      <c r="AF119" t="s">
        <v>6040</v>
      </c>
      <c r="AG119">
        <v>1973</v>
      </c>
      <c r="AH119">
        <v>84</v>
      </c>
      <c r="AJ119">
        <v>2.38</v>
      </c>
    </row>
    <row r="120" spans="1:36">
      <c r="A120" s="1" t="s">
        <v>777</v>
      </c>
      <c r="B120" t="s">
        <v>1641</v>
      </c>
      <c r="C120" t="str">
        <f>HYPERLINK("https://finance.naver.com/item/coinfo.nhn?code=058430", "A058430")</f>
        <v>A058430</v>
      </c>
      <c r="D120" t="str">
        <f>HYPERLINK("http://comp.fnguide.com/SVO2/ASP/SVD_Consensus.asp?pGB=1&amp;gicode=A058430&amp;cID=&amp;MenuYn=Y&amp;ReportGB=&amp;NewMenuID=108&amp;stkGb=701", "포스코강판")</f>
        <v>포스코강판</v>
      </c>
      <c r="E120">
        <v>3</v>
      </c>
      <c r="F120">
        <v>17350</v>
      </c>
      <c r="G120">
        <v>0</v>
      </c>
      <c r="H120">
        <v>38.299999999999997</v>
      </c>
      <c r="I120">
        <v>17326</v>
      </c>
      <c r="J120">
        <v>28712</v>
      </c>
      <c r="K120">
        <v>31948</v>
      </c>
      <c r="L120">
        <v>0.14000000000000001</v>
      </c>
      <c r="M120">
        <v>-65.489999999999995</v>
      </c>
      <c r="N120">
        <v>-84.14</v>
      </c>
      <c r="O120">
        <v>3.79</v>
      </c>
      <c r="P120" t="b">
        <v>0</v>
      </c>
      <c r="Q120">
        <v>0</v>
      </c>
      <c r="R120">
        <v>446</v>
      </c>
      <c r="U120" t="s">
        <v>2505</v>
      </c>
      <c r="V120" t="s">
        <v>3369</v>
      </c>
      <c r="W120">
        <v>0</v>
      </c>
      <c r="X120">
        <v>47.4</v>
      </c>
      <c r="Y120" t="s">
        <v>4163</v>
      </c>
      <c r="Z120">
        <v>-16.00164569791723</v>
      </c>
      <c r="AA120">
        <v>1041</v>
      </c>
      <c r="AB120">
        <v>57846</v>
      </c>
      <c r="AC120" t="s">
        <v>5024</v>
      </c>
      <c r="AD120">
        <v>56.87</v>
      </c>
      <c r="AE120" t="s">
        <v>5888</v>
      </c>
      <c r="AF120" t="s">
        <v>6698</v>
      </c>
      <c r="AG120">
        <v>9167</v>
      </c>
      <c r="AH120">
        <v>100</v>
      </c>
      <c r="AJ120">
        <v>2.34</v>
      </c>
    </row>
    <row r="121" spans="1:36">
      <c r="A121" s="1" t="s">
        <v>588</v>
      </c>
      <c r="B121" t="s">
        <v>1452</v>
      </c>
      <c r="C121" t="str">
        <f>HYPERLINK("https://finance.naver.com/item/coinfo.nhn?code=017900", "A017900")</f>
        <v>A017900</v>
      </c>
      <c r="D121" t="str">
        <f>HYPERLINK("http://comp.fnguide.com/SVO2/ASP/SVD_Consensus.asp?pGB=1&amp;gicode=A017900&amp;cID=&amp;MenuYn=Y&amp;ReportGB=&amp;NewMenuID=108&amp;stkGb=701", "광전자")</f>
        <v>광전자</v>
      </c>
      <c r="E121">
        <v>3</v>
      </c>
      <c r="F121">
        <v>2330</v>
      </c>
      <c r="G121">
        <v>0</v>
      </c>
      <c r="H121">
        <v>36.08</v>
      </c>
      <c r="I121">
        <v>1124</v>
      </c>
      <c r="J121">
        <v>3082</v>
      </c>
      <c r="K121">
        <v>3638</v>
      </c>
      <c r="L121">
        <v>51.76</v>
      </c>
      <c r="M121">
        <v>-32.270000000000003</v>
      </c>
      <c r="N121">
        <v>-56.15</v>
      </c>
      <c r="O121">
        <v>2.04</v>
      </c>
      <c r="P121" t="b">
        <v>0</v>
      </c>
      <c r="Q121">
        <v>0</v>
      </c>
      <c r="R121">
        <v>60</v>
      </c>
      <c r="U121" t="s">
        <v>2316</v>
      </c>
      <c r="V121" t="s">
        <v>3180</v>
      </c>
      <c r="W121">
        <v>0</v>
      </c>
      <c r="X121">
        <v>-97.7</v>
      </c>
      <c r="Y121" t="s">
        <v>3990</v>
      </c>
      <c r="Z121">
        <v>-55.269579532869493</v>
      </c>
      <c r="AA121">
        <v>1350</v>
      </c>
      <c r="AB121">
        <v>158750</v>
      </c>
      <c r="AC121" t="s">
        <v>4835</v>
      </c>
      <c r="AD121">
        <v>55.48</v>
      </c>
      <c r="AE121" t="s">
        <v>5699</v>
      </c>
      <c r="AF121" t="s">
        <v>6528</v>
      </c>
      <c r="AG121">
        <v>1662</v>
      </c>
      <c r="AH121">
        <v>-15</v>
      </c>
      <c r="AI121">
        <v>7580000</v>
      </c>
      <c r="AJ121">
        <v>2.3199999999999998</v>
      </c>
    </row>
    <row r="122" spans="1:36">
      <c r="A122" s="1" t="s">
        <v>227</v>
      </c>
      <c r="B122" t="s">
        <v>1091</v>
      </c>
      <c r="C122" t="str">
        <f>HYPERLINK("https://finance.naver.com/item/coinfo.nhn?code=021320", "A021320")</f>
        <v>A021320</v>
      </c>
      <c r="D122" t="str">
        <f>HYPERLINK("http://comp.fnguide.com/SVO2/ASP/SVD_Consensus.asp?pGB=1&amp;gicode=A021320&amp;cID=&amp;MenuYn=Y&amp;ReportGB=&amp;NewMenuID=108&amp;stkGb=701", "KCC건설")</f>
        <v>KCC건설</v>
      </c>
      <c r="E122">
        <v>3</v>
      </c>
      <c r="F122">
        <v>8350</v>
      </c>
      <c r="G122">
        <v>0</v>
      </c>
      <c r="H122">
        <v>4.93</v>
      </c>
      <c r="I122">
        <v>17307</v>
      </c>
      <c r="J122">
        <v>18161</v>
      </c>
      <c r="K122">
        <v>18403</v>
      </c>
      <c r="L122">
        <v>-107.27</v>
      </c>
      <c r="M122">
        <v>-117.49</v>
      </c>
      <c r="N122">
        <v>-120.4</v>
      </c>
      <c r="O122">
        <v>7.34</v>
      </c>
      <c r="P122" t="b">
        <v>1</v>
      </c>
      <c r="Q122">
        <v>0</v>
      </c>
      <c r="R122">
        <v>1319</v>
      </c>
      <c r="U122" t="s">
        <v>1955</v>
      </c>
      <c r="V122" t="s">
        <v>2819</v>
      </c>
      <c r="W122">
        <v>0</v>
      </c>
      <c r="X122">
        <v>12.8</v>
      </c>
      <c r="Y122" t="s">
        <v>3667</v>
      </c>
      <c r="Z122">
        <v>17.588652917662209</v>
      </c>
      <c r="AA122">
        <v>1787</v>
      </c>
      <c r="AB122">
        <v>64025</v>
      </c>
      <c r="AC122" t="s">
        <v>4474</v>
      </c>
      <c r="AD122">
        <v>66.260000000000005</v>
      </c>
      <c r="AE122" t="s">
        <v>5338</v>
      </c>
      <c r="AF122" t="s">
        <v>6195</v>
      </c>
      <c r="AG122">
        <v>16425</v>
      </c>
      <c r="AH122">
        <v>588</v>
      </c>
      <c r="AI122">
        <v>1240734</v>
      </c>
      <c r="AJ122">
        <v>2.31</v>
      </c>
    </row>
    <row r="123" spans="1:36">
      <c r="A123" s="1" t="s">
        <v>812</v>
      </c>
      <c r="B123" t="s">
        <v>1676</v>
      </c>
      <c r="C123" t="str">
        <f>HYPERLINK("https://finance.naver.com/item/coinfo.nhn?code=056190", "A056190")</f>
        <v>A056190</v>
      </c>
      <c r="D123" t="str">
        <f>HYPERLINK("http://comp.fnguide.com/SVO2/ASP/SVD_Consensus.asp?pGB=1&amp;gicode=A056190&amp;cID=&amp;MenuYn=Y&amp;ReportGB=&amp;NewMenuID=108&amp;stkGb=701", "에스에프에이")</f>
        <v>에스에프에이</v>
      </c>
      <c r="E123">
        <v>2</v>
      </c>
      <c r="F123">
        <v>37950</v>
      </c>
      <c r="G123">
        <v>-0.71</v>
      </c>
      <c r="H123">
        <v>12.58</v>
      </c>
      <c r="I123">
        <v>60076</v>
      </c>
      <c r="J123">
        <v>38598</v>
      </c>
      <c r="K123">
        <v>32494</v>
      </c>
      <c r="L123">
        <v>-58.3</v>
      </c>
      <c r="M123">
        <v>-1.71</v>
      </c>
      <c r="N123">
        <v>14.38</v>
      </c>
      <c r="O123">
        <v>19.57</v>
      </c>
      <c r="P123" t="b">
        <v>1</v>
      </c>
      <c r="Q123">
        <v>0</v>
      </c>
      <c r="R123">
        <v>3676</v>
      </c>
      <c r="S123">
        <v>3054</v>
      </c>
      <c r="T123">
        <v>-16.899999999999999</v>
      </c>
      <c r="U123" t="s">
        <v>2540</v>
      </c>
      <c r="V123" t="s">
        <v>3404</v>
      </c>
      <c r="W123">
        <v>-17.713759031837832</v>
      </c>
      <c r="X123">
        <v>-9</v>
      </c>
      <c r="Y123" t="s">
        <v>4198</v>
      </c>
      <c r="Z123">
        <v>31.257807057461999</v>
      </c>
      <c r="AA123">
        <v>13627</v>
      </c>
      <c r="AB123">
        <v>142459</v>
      </c>
      <c r="AC123" t="s">
        <v>5059</v>
      </c>
      <c r="AD123">
        <v>54.02</v>
      </c>
      <c r="AE123" t="s">
        <v>5923</v>
      </c>
      <c r="AF123" t="s">
        <v>6731</v>
      </c>
      <c r="AG123">
        <v>15777</v>
      </c>
      <c r="AH123">
        <v>2142</v>
      </c>
      <c r="AJ123">
        <v>2.2799999999999998</v>
      </c>
    </row>
    <row r="124" spans="1:36">
      <c r="A124" s="1" t="s">
        <v>594</v>
      </c>
      <c r="B124" t="s">
        <v>1458</v>
      </c>
      <c r="C124" t="str">
        <f>HYPERLINK("https://finance.naver.com/item/coinfo.nhn?code=008870", "A008870")</f>
        <v>A008870</v>
      </c>
      <c r="D124" t="str">
        <f>HYPERLINK("http://comp.fnguide.com/SVO2/ASP/SVD_Consensus.asp?pGB=1&amp;gicode=A008870&amp;cID=&amp;MenuYn=Y&amp;ReportGB=&amp;NewMenuID=108&amp;stkGb=701", "금비")</f>
        <v>금비</v>
      </c>
      <c r="E124">
        <v>3</v>
      </c>
      <c r="F124">
        <v>61300</v>
      </c>
      <c r="G124">
        <v>0</v>
      </c>
      <c r="I124">
        <v>51938</v>
      </c>
      <c r="J124">
        <v>94717</v>
      </c>
      <c r="K124">
        <v>106874</v>
      </c>
      <c r="L124">
        <v>15.27</v>
      </c>
      <c r="M124">
        <v>-54.51</v>
      </c>
      <c r="N124">
        <v>-74.349999999999994</v>
      </c>
      <c r="O124">
        <v>3.35</v>
      </c>
      <c r="P124" t="b">
        <v>0</v>
      </c>
      <c r="Q124">
        <v>0</v>
      </c>
      <c r="R124">
        <v>-3454</v>
      </c>
      <c r="U124" t="s">
        <v>2322</v>
      </c>
      <c r="V124" t="s">
        <v>3186</v>
      </c>
      <c r="W124">
        <v>0</v>
      </c>
      <c r="X124">
        <v>0</v>
      </c>
      <c r="Y124" t="s">
        <v>3996</v>
      </c>
      <c r="Z124">
        <v>7.4963378911810041</v>
      </c>
      <c r="AA124">
        <v>613</v>
      </c>
      <c r="AB124">
        <v>46739</v>
      </c>
      <c r="AC124" t="s">
        <v>4841</v>
      </c>
      <c r="AD124">
        <v>56.48</v>
      </c>
      <c r="AE124" t="s">
        <v>5705</v>
      </c>
      <c r="AF124" t="s">
        <v>6534</v>
      </c>
      <c r="AG124">
        <v>2193</v>
      </c>
      <c r="AH124">
        <v>66</v>
      </c>
      <c r="AI124">
        <v>190500</v>
      </c>
      <c r="AJ124">
        <v>2.27</v>
      </c>
    </row>
    <row r="125" spans="1:36">
      <c r="A125" s="1" t="s">
        <v>48</v>
      </c>
      <c r="B125" t="s">
        <v>912</v>
      </c>
      <c r="C125" t="str">
        <f>HYPERLINK("https://finance.naver.com/item/coinfo.nhn?code=228850", "A228850")</f>
        <v>A228850</v>
      </c>
      <c r="D125" t="str">
        <f>HYPERLINK("http://comp.fnguide.com/SVO2/ASP/SVD_Consensus.asp?pGB=1&amp;gicode=A228850&amp;cID=&amp;MenuYn=Y&amp;ReportGB=&amp;NewMenuID=108&amp;stkGb=701", "레이언스")</f>
        <v>레이언스</v>
      </c>
      <c r="E125">
        <v>3</v>
      </c>
      <c r="F125">
        <v>10950</v>
      </c>
      <c r="G125">
        <v>-0.83</v>
      </c>
      <c r="H125">
        <v>14.97</v>
      </c>
      <c r="I125">
        <v>12834</v>
      </c>
      <c r="J125">
        <v>12541</v>
      </c>
      <c r="K125">
        <v>12458</v>
      </c>
      <c r="L125">
        <v>-17.21</v>
      </c>
      <c r="M125">
        <v>-14.53</v>
      </c>
      <c r="N125">
        <v>-13.77</v>
      </c>
      <c r="O125">
        <v>8.25</v>
      </c>
      <c r="P125" t="b">
        <v>1</v>
      </c>
      <c r="Q125">
        <v>0</v>
      </c>
      <c r="R125">
        <v>885</v>
      </c>
      <c r="S125">
        <v>485</v>
      </c>
      <c r="T125">
        <v>-45.2</v>
      </c>
      <c r="U125" t="s">
        <v>1776</v>
      </c>
      <c r="V125" t="s">
        <v>2640</v>
      </c>
      <c r="W125">
        <v>-18.031579084334499</v>
      </c>
      <c r="X125">
        <v>-68.400000000000006</v>
      </c>
      <c r="Y125" t="s">
        <v>3503</v>
      </c>
      <c r="Z125">
        <v>-24.620842676916961</v>
      </c>
      <c r="AA125">
        <v>1817</v>
      </c>
      <c r="AB125">
        <v>35651</v>
      </c>
      <c r="AC125" t="s">
        <v>4295</v>
      </c>
      <c r="AD125">
        <v>64.86</v>
      </c>
      <c r="AE125" t="s">
        <v>5159</v>
      </c>
      <c r="AF125" t="s">
        <v>6023</v>
      </c>
      <c r="AG125">
        <v>1262</v>
      </c>
      <c r="AH125">
        <v>228</v>
      </c>
      <c r="AI125">
        <v>854574</v>
      </c>
      <c r="AJ125">
        <v>2.2599999999999998</v>
      </c>
    </row>
    <row r="126" spans="1:36">
      <c r="A126" s="1" t="s">
        <v>553</v>
      </c>
      <c r="B126" t="s">
        <v>1417</v>
      </c>
      <c r="C126" t="str">
        <f>HYPERLINK("https://finance.naver.com/item/coinfo.nhn?code=008260", "A008260")</f>
        <v>A008260</v>
      </c>
      <c r="D126" t="str">
        <f>HYPERLINK("http://comp.fnguide.com/SVO2/ASP/SVD_Consensus.asp?pGB=1&amp;gicode=A008260&amp;cID=&amp;MenuYn=Y&amp;ReportGB=&amp;NewMenuID=108&amp;stkGb=701", "NI스틸")</f>
        <v>NI스틸</v>
      </c>
      <c r="E126">
        <v>3</v>
      </c>
      <c r="F126">
        <v>2550</v>
      </c>
      <c r="G126">
        <v>0</v>
      </c>
      <c r="H126">
        <v>9.85</v>
      </c>
      <c r="I126">
        <v>4034</v>
      </c>
      <c r="J126">
        <v>3940</v>
      </c>
      <c r="K126">
        <v>3913</v>
      </c>
      <c r="L126">
        <v>-58.19</v>
      </c>
      <c r="M126">
        <v>-54.5</v>
      </c>
      <c r="N126">
        <v>-53.46</v>
      </c>
      <c r="O126">
        <v>8.26</v>
      </c>
      <c r="P126" t="b">
        <v>1</v>
      </c>
      <c r="Q126">
        <v>0</v>
      </c>
      <c r="R126">
        <v>224</v>
      </c>
      <c r="U126" t="s">
        <v>2281</v>
      </c>
      <c r="V126" t="s">
        <v>3145</v>
      </c>
      <c r="W126">
        <v>0</v>
      </c>
      <c r="X126">
        <v>19.2</v>
      </c>
      <c r="Y126" t="s">
        <v>3955</v>
      </c>
      <c r="Z126">
        <v>1.389534495520905</v>
      </c>
      <c r="AA126">
        <v>729</v>
      </c>
      <c r="AB126">
        <v>131695</v>
      </c>
      <c r="AC126" t="s">
        <v>4800</v>
      </c>
      <c r="AD126">
        <v>59.16</v>
      </c>
      <c r="AE126" t="s">
        <v>5664</v>
      </c>
      <c r="AF126" t="s">
        <v>6493</v>
      </c>
      <c r="AG126">
        <v>1482</v>
      </c>
      <c r="AH126">
        <v>121</v>
      </c>
      <c r="AJ126">
        <v>2.2599999999999998</v>
      </c>
    </row>
    <row r="127" spans="1:36">
      <c r="A127" s="1" t="s">
        <v>38</v>
      </c>
      <c r="B127" t="s">
        <v>902</v>
      </c>
      <c r="C127" t="str">
        <f>HYPERLINK("https://finance.naver.com/item/coinfo.nhn?code=109860", "A109860")</f>
        <v>A109860</v>
      </c>
      <c r="D127" t="str">
        <f>HYPERLINK("http://comp.fnguide.com/SVO2/ASP/SVD_Consensus.asp?pGB=1&amp;gicode=A109860&amp;cID=&amp;MenuYn=Y&amp;ReportGB=&amp;NewMenuID=108&amp;stkGb=701", "동일금속")</f>
        <v>동일금속</v>
      </c>
      <c r="E127">
        <v>3</v>
      </c>
      <c r="F127">
        <v>11450</v>
      </c>
      <c r="G127">
        <v>0</v>
      </c>
      <c r="H127">
        <v>5.62</v>
      </c>
      <c r="I127">
        <v>24904</v>
      </c>
      <c r="J127">
        <v>21529</v>
      </c>
      <c r="K127">
        <v>20570</v>
      </c>
      <c r="L127">
        <v>-117.5</v>
      </c>
      <c r="M127">
        <v>-88.03</v>
      </c>
      <c r="N127">
        <v>-79.650000000000006</v>
      </c>
      <c r="O127">
        <v>10.25</v>
      </c>
      <c r="P127" t="b">
        <v>1</v>
      </c>
      <c r="Q127">
        <v>0</v>
      </c>
      <c r="R127">
        <v>2226</v>
      </c>
      <c r="U127" t="s">
        <v>1766</v>
      </c>
      <c r="V127" t="s">
        <v>2630</v>
      </c>
      <c r="W127">
        <v>0</v>
      </c>
      <c r="X127">
        <v>-57.9</v>
      </c>
      <c r="Y127" t="s">
        <v>3494</v>
      </c>
      <c r="Z127">
        <v>-3.5734247301938971</v>
      </c>
      <c r="AA127">
        <v>802</v>
      </c>
      <c r="AB127">
        <v>3546</v>
      </c>
      <c r="AC127" t="s">
        <v>4285</v>
      </c>
      <c r="AD127">
        <v>57.72</v>
      </c>
      <c r="AE127" t="s">
        <v>5149</v>
      </c>
      <c r="AF127" t="s">
        <v>6013</v>
      </c>
      <c r="AG127">
        <v>866</v>
      </c>
      <c r="AH127">
        <v>126</v>
      </c>
      <c r="AI127">
        <v>563000</v>
      </c>
      <c r="AJ127">
        <v>2.2400000000000002</v>
      </c>
    </row>
    <row r="128" spans="1:36">
      <c r="A128" s="1" t="s">
        <v>841</v>
      </c>
      <c r="B128" t="s">
        <v>1705</v>
      </c>
      <c r="C128" t="str">
        <f>HYPERLINK("https://finance.naver.com/item/coinfo.nhn?code=134380", "A134380")</f>
        <v>A134380</v>
      </c>
      <c r="D128" t="str">
        <f>HYPERLINK("http://comp.fnguide.com/SVO2/ASP/SVD_Consensus.asp?pGB=1&amp;gicode=A134380&amp;cID=&amp;MenuYn=Y&amp;ReportGB=&amp;NewMenuID=108&amp;stkGb=701", "미원화학")</f>
        <v>미원화학</v>
      </c>
      <c r="E128">
        <v>1</v>
      </c>
      <c r="F128">
        <v>61900</v>
      </c>
      <c r="G128">
        <v>0</v>
      </c>
      <c r="H128">
        <v>7.23</v>
      </c>
      <c r="I128">
        <v>78949</v>
      </c>
      <c r="J128">
        <v>61601</v>
      </c>
      <c r="K128">
        <v>56670</v>
      </c>
      <c r="L128">
        <v>-27.54</v>
      </c>
      <c r="M128">
        <v>0.48</v>
      </c>
      <c r="N128">
        <v>8.4499999999999993</v>
      </c>
      <c r="O128">
        <v>12.51</v>
      </c>
      <c r="P128" t="b">
        <v>1</v>
      </c>
      <c r="Q128">
        <v>0</v>
      </c>
      <c r="R128">
        <v>6167</v>
      </c>
      <c r="U128" t="s">
        <v>2569</v>
      </c>
      <c r="V128" t="s">
        <v>3433</v>
      </c>
      <c r="W128">
        <v>0</v>
      </c>
      <c r="X128">
        <v>14.7</v>
      </c>
      <c r="Y128" t="s">
        <v>4227</v>
      </c>
      <c r="Z128">
        <v>7.1363522709521288</v>
      </c>
      <c r="AA128">
        <v>1361</v>
      </c>
      <c r="AB128">
        <v>612</v>
      </c>
      <c r="AC128" t="s">
        <v>5088</v>
      </c>
      <c r="AD128">
        <v>54.92</v>
      </c>
      <c r="AE128" t="s">
        <v>5952</v>
      </c>
      <c r="AF128" t="s">
        <v>6760</v>
      </c>
      <c r="AG128">
        <v>1547</v>
      </c>
      <c r="AH128">
        <v>155</v>
      </c>
      <c r="AI128">
        <v>161958</v>
      </c>
      <c r="AJ128">
        <v>2.2400000000000002</v>
      </c>
    </row>
    <row r="129" spans="1:36">
      <c r="A129" s="1" t="s">
        <v>62</v>
      </c>
      <c r="B129" t="s">
        <v>926</v>
      </c>
      <c r="C129" t="str">
        <f>HYPERLINK("https://finance.naver.com/item/coinfo.nhn?code=007680", "A007680")</f>
        <v>A007680</v>
      </c>
      <c r="D129" t="str">
        <f>HYPERLINK("http://comp.fnguide.com/SVO2/ASP/SVD_Consensus.asp?pGB=1&amp;gicode=A007680&amp;cID=&amp;MenuYn=Y&amp;ReportGB=&amp;NewMenuID=108&amp;stkGb=701", "대원")</f>
        <v>대원</v>
      </c>
      <c r="E129">
        <v>3</v>
      </c>
      <c r="F129">
        <v>9480</v>
      </c>
      <c r="G129">
        <v>-0.24</v>
      </c>
      <c r="H129">
        <v>13.3</v>
      </c>
      <c r="I129">
        <v>21664</v>
      </c>
      <c r="J129">
        <v>22902</v>
      </c>
      <c r="K129">
        <v>23253</v>
      </c>
      <c r="L129">
        <v>-128.53</v>
      </c>
      <c r="M129">
        <v>-141.58000000000001</v>
      </c>
      <c r="N129">
        <v>-145.29</v>
      </c>
      <c r="O129">
        <v>7.25</v>
      </c>
      <c r="P129" t="b">
        <v>0</v>
      </c>
      <c r="Q129">
        <v>0</v>
      </c>
      <c r="R129">
        <v>842</v>
      </c>
      <c r="S129">
        <v>209</v>
      </c>
      <c r="T129">
        <v>-75.2</v>
      </c>
      <c r="U129" t="s">
        <v>1790</v>
      </c>
      <c r="V129" t="s">
        <v>2654</v>
      </c>
      <c r="W129">
        <v>-54.725732297202427</v>
      </c>
      <c r="X129">
        <v>-68.5</v>
      </c>
      <c r="Y129" t="s">
        <v>3516</v>
      </c>
      <c r="Z129">
        <v>-28.911323690576911</v>
      </c>
      <c r="AA129">
        <v>1120</v>
      </c>
      <c r="AB129">
        <v>22535</v>
      </c>
      <c r="AC129" t="s">
        <v>4309</v>
      </c>
      <c r="AD129">
        <v>77.989999999999995</v>
      </c>
      <c r="AE129" t="s">
        <v>5173</v>
      </c>
      <c r="AF129" t="s">
        <v>6036</v>
      </c>
      <c r="AG129">
        <v>2486</v>
      </c>
      <c r="AH129">
        <v>125</v>
      </c>
      <c r="AI129">
        <v>160000</v>
      </c>
      <c r="AJ129">
        <v>2.23</v>
      </c>
    </row>
    <row r="130" spans="1:36">
      <c r="A130" s="1" t="s">
        <v>282</v>
      </c>
      <c r="B130" t="s">
        <v>1146</v>
      </c>
      <c r="C130" t="str">
        <f>HYPERLINK("https://finance.naver.com/item/coinfo.nhn?code=027710", "A027710")</f>
        <v>A027710</v>
      </c>
      <c r="D130" t="str">
        <f>HYPERLINK("http://comp.fnguide.com/SVO2/ASP/SVD_Consensus.asp?pGB=1&amp;gicode=A027710&amp;cID=&amp;MenuYn=Y&amp;ReportGB=&amp;NewMenuID=108&amp;stkGb=701", "팜스토리")</f>
        <v>팜스토리</v>
      </c>
      <c r="E130">
        <v>3</v>
      </c>
      <c r="F130">
        <v>1135</v>
      </c>
      <c r="G130">
        <v>0</v>
      </c>
      <c r="I130">
        <v>291</v>
      </c>
      <c r="J130">
        <v>997</v>
      </c>
      <c r="K130">
        <v>1198</v>
      </c>
      <c r="L130">
        <v>74.37</v>
      </c>
      <c r="M130">
        <v>12.15</v>
      </c>
      <c r="N130">
        <v>-5.54</v>
      </c>
      <c r="O130">
        <v>1.58</v>
      </c>
      <c r="P130" t="b">
        <v>0</v>
      </c>
      <c r="Q130">
        <v>0</v>
      </c>
      <c r="R130">
        <v>-57</v>
      </c>
      <c r="U130" t="s">
        <v>2010</v>
      </c>
      <c r="V130" t="s">
        <v>2874</v>
      </c>
      <c r="W130">
        <v>0</v>
      </c>
      <c r="X130">
        <v>0.2</v>
      </c>
      <c r="Y130" t="s">
        <v>3715</v>
      </c>
      <c r="Z130">
        <v>63.239769179219493</v>
      </c>
      <c r="AA130">
        <v>1265</v>
      </c>
      <c r="AB130">
        <v>375820</v>
      </c>
      <c r="AC130" t="s">
        <v>4529</v>
      </c>
      <c r="AD130">
        <v>70.63</v>
      </c>
      <c r="AE130" t="s">
        <v>5393</v>
      </c>
      <c r="AF130" t="s">
        <v>6245</v>
      </c>
      <c r="AG130">
        <v>9708</v>
      </c>
      <c r="AH130">
        <v>148</v>
      </c>
      <c r="AI130">
        <v>814339</v>
      </c>
      <c r="AJ130">
        <v>2.2200000000000002</v>
      </c>
    </row>
    <row r="131" spans="1:36">
      <c r="A131" s="1" t="s">
        <v>722</v>
      </c>
      <c r="B131" t="s">
        <v>1586</v>
      </c>
      <c r="C131" t="str">
        <f>HYPERLINK("https://finance.naver.com/item/coinfo.nhn?code=005430", "A005430")</f>
        <v>A005430</v>
      </c>
      <c r="D131" t="str">
        <f>HYPERLINK("http://comp.fnguide.com/SVO2/ASP/SVD_Consensus.asp?pGB=1&amp;gicode=A005430&amp;cID=&amp;MenuYn=Y&amp;ReportGB=&amp;NewMenuID=108&amp;stkGb=701", "한국공항")</f>
        <v>한국공항</v>
      </c>
      <c r="E131">
        <v>3</v>
      </c>
      <c r="F131">
        <v>37450</v>
      </c>
      <c r="G131">
        <v>0</v>
      </c>
      <c r="H131">
        <v>8.8000000000000007</v>
      </c>
      <c r="I131">
        <v>76618</v>
      </c>
      <c r="J131">
        <v>94065</v>
      </c>
      <c r="K131">
        <v>99023</v>
      </c>
      <c r="L131">
        <v>-104.59</v>
      </c>
      <c r="M131">
        <v>-151.18</v>
      </c>
      <c r="N131">
        <v>-164.42</v>
      </c>
      <c r="O131">
        <v>5.76</v>
      </c>
      <c r="P131" t="b">
        <v>0</v>
      </c>
      <c r="Q131">
        <v>0</v>
      </c>
      <c r="R131">
        <v>5136</v>
      </c>
      <c r="U131" t="s">
        <v>2450</v>
      </c>
      <c r="V131" t="s">
        <v>3314</v>
      </c>
      <c r="W131">
        <v>0</v>
      </c>
      <c r="X131">
        <v>0</v>
      </c>
      <c r="Y131" t="s">
        <v>4112</v>
      </c>
      <c r="Z131">
        <v>16.487456050827749</v>
      </c>
      <c r="AA131">
        <v>1186</v>
      </c>
      <c r="AB131">
        <v>11024</v>
      </c>
      <c r="AC131" t="s">
        <v>4969</v>
      </c>
      <c r="AD131">
        <v>59.54</v>
      </c>
      <c r="AE131" t="s">
        <v>5833</v>
      </c>
      <c r="AF131" t="s">
        <v>6651</v>
      </c>
      <c r="AG131">
        <v>5290</v>
      </c>
      <c r="AH131">
        <v>220</v>
      </c>
      <c r="AI131">
        <v>108105</v>
      </c>
      <c r="AJ131">
        <v>2.21</v>
      </c>
    </row>
    <row r="132" spans="1:36">
      <c r="A132" s="1" t="s">
        <v>132</v>
      </c>
      <c r="B132" t="s">
        <v>996</v>
      </c>
      <c r="C132" t="str">
        <f>HYPERLINK("https://finance.naver.com/item/coinfo.nhn?code=032190", "A032190")</f>
        <v>A032190</v>
      </c>
      <c r="D132" t="str">
        <f>HYPERLINK("http://comp.fnguide.com/SVO2/ASP/SVD_Consensus.asp?pGB=1&amp;gicode=A032190&amp;cID=&amp;MenuYn=Y&amp;ReportGB=&amp;NewMenuID=108&amp;stkGb=701", "다우데이타")</f>
        <v>다우데이타</v>
      </c>
      <c r="E132">
        <v>3</v>
      </c>
      <c r="F132">
        <v>13000</v>
      </c>
      <c r="G132">
        <v>0</v>
      </c>
      <c r="H132">
        <v>4.66</v>
      </c>
      <c r="I132">
        <v>20573</v>
      </c>
      <c r="J132">
        <v>17753</v>
      </c>
      <c r="K132">
        <v>16951</v>
      </c>
      <c r="L132">
        <v>-58.26</v>
      </c>
      <c r="M132">
        <v>-36.56</v>
      </c>
      <c r="N132">
        <v>-30.39</v>
      </c>
      <c r="O132">
        <v>10.28</v>
      </c>
      <c r="P132" t="b">
        <v>1</v>
      </c>
      <c r="Q132">
        <v>0</v>
      </c>
      <c r="R132">
        <v>1782</v>
      </c>
      <c r="U132" t="s">
        <v>1860</v>
      </c>
      <c r="V132" t="s">
        <v>2724</v>
      </c>
      <c r="W132">
        <v>0</v>
      </c>
      <c r="X132">
        <v>79.2</v>
      </c>
      <c r="Y132" t="s">
        <v>3577</v>
      </c>
      <c r="Z132">
        <v>5.6008265667423229</v>
      </c>
      <c r="AA132">
        <v>4979</v>
      </c>
      <c r="AB132">
        <v>416966</v>
      </c>
      <c r="AC132" t="s">
        <v>4379</v>
      </c>
      <c r="AD132">
        <v>67.349999999999994</v>
      </c>
      <c r="AE132" t="s">
        <v>5243</v>
      </c>
      <c r="AF132" t="s">
        <v>6100</v>
      </c>
      <c r="AG132">
        <v>36056</v>
      </c>
      <c r="AH132">
        <v>5590</v>
      </c>
      <c r="AJ132">
        <v>2.17</v>
      </c>
    </row>
    <row r="133" spans="1:36">
      <c r="A133" s="1" t="s">
        <v>149</v>
      </c>
      <c r="B133" t="s">
        <v>1013</v>
      </c>
      <c r="C133" t="str">
        <f>HYPERLINK("https://finance.naver.com/item/coinfo.nhn?code=006840", "A006840")</f>
        <v>A006840</v>
      </c>
      <c r="D133" t="str">
        <f>HYPERLINK("http://comp.fnguide.com/SVO2/ASP/SVD_Consensus.asp?pGB=1&amp;gicode=A006840&amp;cID=&amp;MenuYn=Y&amp;ReportGB=&amp;NewMenuID=108&amp;stkGb=701", "AK홀딩스")</f>
        <v>AK홀딩스</v>
      </c>
      <c r="E133">
        <v>3</v>
      </c>
      <c r="F133">
        <v>25200</v>
      </c>
      <c r="G133">
        <v>0</v>
      </c>
      <c r="H133">
        <v>16.21</v>
      </c>
      <c r="I133">
        <v>70365</v>
      </c>
      <c r="J133">
        <v>66184</v>
      </c>
      <c r="K133">
        <v>64996</v>
      </c>
      <c r="L133">
        <v>-179.23</v>
      </c>
      <c r="M133">
        <v>-162.63999999999999</v>
      </c>
      <c r="N133">
        <v>-157.91999999999999</v>
      </c>
      <c r="O133">
        <v>8.81</v>
      </c>
      <c r="P133" t="b">
        <v>0</v>
      </c>
      <c r="Q133">
        <v>0</v>
      </c>
      <c r="R133">
        <v>2135</v>
      </c>
      <c r="U133" t="s">
        <v>1877</v>
      </c>
      <c r="V133" t="s">
        <v>2741</v>
      </c>
      <c r="W133">
        <v>0</v>
      </c>
      <c r="X133">
        <v>0</v>
      </c>
      <c r="Y133" t="s">
        <v>3593</v>
      </c>
      <c r="Z133">
        <v>-26.810870854985499</v>
      </c>
      <c r="AA133">
        <v>3338</v>
      </c>
      <c r="AB133">
        <v>112401</v>
      </c>
      <c r="AC133" t="s">
        <v>4396</v>
      </c>
      <c r="AD133">
        <v>64.930000000000007</v>
      </c>
      <c r="AE133" t="s">
        <v>5260</v>
      </c>
      <c r="AF133" t="s">
        <v>6117</v>
      </c>
      <c r="AG133">
        <v>37595</v>
      </c>
      <c r="AH133">
        <v>1313</v>
      </c>
      <c r="AI133">
        <v>202066</v>
      </c>
      <c r="AJ133">
        <v>2.17</v>
      </c>
    </row>
    <row r="134" spans="1:36">
      <c r="A134" s="1" t="s">
        <v>589</v>
      </c>
      <c r="B134" t="s">
        <v>1453</v>
      </c>
      <c r="C134" t="str">
        <f>HYPERLINK("https://finance.naver.com/item/coinfo.nhn?code=037710", "A037710")</f>
        <v>A037710</v>
      </c>
      <c r="D134" t="str">
        <f>HYPERLINK("http://comp.fnguide.com/SVO2/ASP/SVD_Consensus.asp?pGB=1&amp;gicode=A037710&amp;cID=&amp;MenuYn=Y&amp;ReportGB=&amp;NewMenuID=108&amp;stkGb=701", "광주신세계")</f>
        <v>광주신세계</v>
      </c>
      <c r="E134">
        <v>3</v>
      </c>
      <c r="F134">
        <v>154000</v>
      </c>
      <c r="G134">
        <v>0</v>
      </c>
      <c r="H134">
        <v>5.5</v>
      </c>
      <c r="I134">
        <v>400735</v>
      </c>
      <c r="J134">
        <v>409602</v>
      </c>
      <c r="K134">
        <v>412123</v>
      </c>
      <c r="L134">
        <v>-160.22</v>
      </c>
      <c r="M134">
        <v>-165.98</v>
      </c>
      <c r="N134">
        <v>-167.61</v>
      </c>
      <c r="O134">
        <v>7.66</v>
      </c>
      <c r="P134" t="b">
        <v>1</v>
      </c>
      <c r="Q134">
        <v>0</v>
      </c>
      <c r="R134">
        <v>29793</v>
      </c>
      <c r="U134" t="s">
        <v>2317</v>
      </c>
      <c r="V134" t="s">
        <v>3181</v>
      </c>
      <c r="W134">
        <v>0</v>
      </c>
      <c r="X134">
        <v>-14.9</v>
      </c>
      <c r="Y134" t="s">
        <v>3991</v>
      </c>
      <c r="Z134">
        <v>-2.467067042194881</v>
      </c>
      <c r="AA134">
        <v>2464</v>
      </c>
      <c r="AB134">
        <v>1075</v>
      </c>
      <c r="AC134" t="s">
        <v>4836</v>
      </c>
      <c r="AD134">
        <v>62.5</v>
      </c>
      <c r="AE134" t="s">
        <v>5700</v>
      </c>
      <c r="AF134" t="s">
        <v>6529</v>
      </c>
      <c r="AG134">
        <v>1549</v>
      </c>
      <c r="AH134">
        <v>551</v>
      </c>
      <c r="AI134">
        <v>8562</v>
      </c>
      <c r="AJ134">
        <v>2.13</v>
      </c>
    </row>
    <row r="135" spans="1:36">
      <c r="A135" s="1" t="s">
        <v>884</v>
      </c>
      <c r="B135" t="s">
        <v>1748</v>
      </c>
      <c r="C135" t="str">
        <f>HYPERLINK("https://finance.naver.com/item/coinfo.nhn?code=010780", "A010780")</f>
        <v>A010780</v>
      </c>
      <c r="D135" t="str">
        <f>HYPERLINK("http://comp.fnguide.com/SVO2/ASP/SVD_Consensus.asp?pGB=1&amp;gicode=A010780&amp;cID=&amp;MenuYn=Y&amp;ReportGB=&amp;NewMenuID=108&amp;stkGb=701", "아이에스동서")</f>
        <v>아이에스동서</v>
      </c>
      <c r="E135">
        <v>1</v>
      </c>
      <c r="F135">
        <v>50100</v>
      </c>
      <c r="G135">
        <v>-1.1599999999999999</v>
      </c>
      <c r="H135">
        <v>15.41</v>
      </c>
      <c r="I135">
        <v>63753</v>
      </c>
      <c r="J135">
        <v>47100</v>
      </c>
      <c r="K135">
        <v>42368</v>
      </c>
      <c r="L135">
        <v>-27.25</v>
      </c>
      <c r="M135">
        <v>5.99</v>
      </c>
      <c r="N135">
        <v>15.43</v>
      </c>
      <c r="O135">
        <v>14.03</v>
      </c>
      <c r="P135" t="b">
        <v>1</v>
      </c>
      <c r="Q135">
        <v>1</v>
      </c>
      <c r="R135">
        <v>2138</v>
      </c>
      <c r="S135">
        <v>4136</v>
      </c>
      <c r="T135">
        <v>93.5</v>
      </c>
      <c r="U135" t="s">
        <v>2612</v>
      </c>
      <c r="V135" t="s">
        <v>3476</v>
      </c>
      <c r="W135">
        <v>-13.232118948626519</v>
      </c>
      <c r="X135">
        <v>126.3</v>
      </c>
      <c r="Y135" t="s">
        <v>4268</v>
      </c>
      <c r="Z135">
        <v>5.3230441831680464</v>
      </c>
      <c r="AA135">
        <v>15477</v>
      </c>
      <c r="AB135">
        <v>164437</v>
      </c>
      <c r="AC135" t="s">
        <v>5131</v>
      </c>
      <c r="AD135">
        <v>54.69</v>
      </c>
      <c r="AE135" t="s">
        <v>5995</v>
      </c>
      <c r="AF135" t="s">
        <v>6801</v>
      </c>
      <c r="AG135">
        <v>9641</v>
      </c>
      <c r="AH135">
        <v>662</v>
      </c>
      <c r="AI135">
        <v>447941</v>
      </c>
      <c r="AJ135">
        <v>2.12</v>
      </c>
    </row>
    <row r="136" spans="1:36">
      <c r="A136" s="1" t="s">
        <v>94</v>
      </c>
      <c r="B136" t="s">
        <v>958</v>
      </c>
      <c r="C136" t="str">
        <f>HYPERLINK("https://finance.naver.com/item/coinfo.nhn?code=003100", "A003100")</f>
        <v>A003100</v>
      </c>
      <c r="D136" t="str">
        <f>HYPERLINK("http://comp.fnguide.com/SVO2/ASP/SVD_Consensus.asp?pGB=1&amp;gicode=A003100&amp;cID=&amp;MenuYn=Y&amp;ReportGB=&amp;NewMenuID=108&amp;stkGb=701", "선광")</f>
        <v>선광</v>
      </c>
      <c r="E136">
        <v>3</v>
      </c>
      <c r="F136">
        <v>26500</v>
      </c>
      <c r="G136">
        <v>0</v>
      </c>
      <c r="H136">
        <v>21.9</v>
      </c>
      <c r="I136">
        <v>15267</v>
      </c>
      <c r="J136">
        <v>37884</v>
      </c>
      <c r="K136">
        <v>44311</v>
      </c>
      <c r="L136">
        <v>42.39</v>
      </c>
      <c r="M136">
        <v>-42.96</v>
      </c>
      <c r="N136">
        <v>-67.209999999999994</v>
      </c>
      <c r="O136">
        <v>2.29</v>
      </c>
      <c r="P136" t="b">
        <v>0</v>
      </c>
      <c r="Q136">
        <v>0</v>
      </c>
      <c r="R136">
        <v>758</v>
      </c>
      <c r="U136" t="s">
        <v>1822</v>
      </c>
      <c r="V136" t="s">
        <v>2686</v>
      </c>
      <c r="W136">
        <v>0</v>
      </c>
      <c r="X136">
        <v>88.6</v>
      </c>
      <c r="Y136" t="s">
        <v>3544</v>
      </c>
      <c r="Z136">
        <v>11.691466453195501</v>
      </c>
      <c r="AA136">
        <v>1749</v>
      </c>
      <c r="AB136">
        <v>17450</v>
      </c>
      <c r="AC136" t="s">
        <v>4341</v>
      </c>
      <c r="AD136">
        <v>52.5</v>
      </c>
      <c r="AE136" t="s">
        <v>5205</v>
      </c>
      <c r="AF136" t="s">
        <v>6066</v>
      </c>
      <c r="AG136">
        <v>1450</v>
      </c>
      <c r="AH136">
        <v>243</v>
      </c>
      <c r="AI136">
        <v>825910</v>
      </c>
      <c r="AJ136">
        <v>2.11</v>
      </c>
    </row>
    <row r="137" spans="1:36">
      <c r="A137" s="1" t="s">
        <v>72</v>
      </c>
      <c r="B137" t="s">
        <v>936</v>
      </c>
      <c r="C137" t="str">
        <f>HYPERLINK("https://finance.naver.com/item/coinfo.nhn?code=005710", "A005710")</f>
        <v>A005710</v>
      </c>
      <c r="D137" t="str">
        <f>HYPERLINK("http://comp.fnguide.com/SVO2/ASP/SVD_Consensus.asp?pGB=1&amp;gicode=A005710&amp;cID=&amp;MenuYn=Y&amp;ReportGB=&amp;NewMenuID=108&amp;stkGb=701", "대원산업")</f>
        <v>대원산업</v>
      </c>
      <c r="E137">
        <v>3</v>
      </c>
      <c r="F137">
        <v>5510</v>
      </c>
      <c r="G137">
        <v>0</v>
      </c>
      <c r="H137">
        <v>3.04</v>
      </c>
      <c r="I137">
        <v>24665</v>
      </c>
      <c r="J137">
        <v>19175</v>
      </c>
      <c r="K137">
        <v>17615</v>
      </c>
      <c r="L137">
        <v>-347.64</v>
      </c>
      <c r="M137">
        <v>-248.01</v>
      </c>
      <c r="N137">
        <v>-219.69</v>
      </c>
      <c r="O137">
        <v>12.6</v>
      </c>
      <c r="P137" t="b">
        <v>1</v>
      </c>
      <c r="Q137">
        <v>0</v>
      </c>
      <c r="R137">
        <v>1950</v>
      </c>
      <c r="U137" t="s">
        <v>1800</v>
      </c>
      <c r="V137" t="s">
        <v>2664</v>
      </c>
      <c r="W137">
        <v>0</v>
      </c>
      <c r="X137">
        <v>0</v>
      </c>
      <c r="Y137" t="s">
        <v>3525</v>
      </c>
      <c r="Z137">
        <v>57.312396337918848</v>
      </c>
      <c r="AA137">
        <v>1104</v>
      </c>
      <c r="AB137">
        <v>18739</v>
      </c>
      <c r="AC137" t="s">
        <v>4319</v>
      </c>
      <c r="AD137">
        <v>61.55</v>
      </c>
      <c r="AE137" t="s">
        <v>5183</v>
      </c>
      <c r="AF137" t="s">
        <v>6046</v>
      </c>
      <c r="AG137">
        <v>6610</v>
      </c>
      <c r="AH137">
        <v>263</v>
      </c>
      <c r="AJ137">
        <v>2.11</v>
      </c>
    </row>
    <row r="138" spans="1:36">
      <c r="A138" s="1" t="s">
        <v>310</v>
      </c>
      <c r="B138" t="s">
        <v>1174</v>
      </c>
      <c r="C138" t="str">
        <f>HYPERLINK("https://finance.naver.com/item/coinfo.nhn?code=043370", "A043370")</f>
        <v>A043370</v>
      </c>
      <c r="D138" t="str">
        <f>HYPERLINK("http://comp.fnguide.com/SVO2/ASP/SVD_Consensus.asp?pGB=1&amp;gicode=A043370&amp;cID=&amp;MenuYn=Y&amp;ReportGB=&amp;NewMenuID=108&amp;stkGb=701", "평화정공")</f>
        <v>평화정공</v>
      </c>
      <c r="E138">
        <v>3</v>
      </c>
      <c r="F138">
        <v>8590</v>
      </c>
      <c r="G138">
        <v>-0.12</v>
      </c>
      <c r="H138">
        <v>5.73</v>
      </c>
      <c r="I138">
        <v>28926</v>
      </c>
      <c r="J138">
        <v>28412</v>
      </c>
      <c r="K138">
        <v>28266</v>
      </c>
      <c r="L138">
        <v>-236.74</v>
      </c>
      <c r="M138">
        <v>-230.76</v>
      </c>
      <c r="N138">
        <v>-229.06</v>
      </c>
      <c r="O138">
        <v>8.18</v>
      </c>
      <c r="P138" t="b">
        <v>1</v>
      </c>
      <c r="Q138">
        <v>0</v>
      </c>
      <c r="R138">
        <v>1506</v>
      </c>
      <c r="S138">
        <v>486</v>
      </c>
      <c r="T138">
        <v>-67.7</v>
      </c>
      <c r="U138" t="s">
        <v>2038</v>
      </c>
      <c r="V138" t="s">
        <v>2902</v>
      </c>
      <c r="W138">
        <v>-48.438044839549541</v>
      </c>
      <c r="X138">
        <v>-87.9</v>
      </c>
      <c r="Y138" t="s">
        <v>3738</v>
      </c>
      <c r="Z138">
        <v>-12.27419855721225</v>
      </c>
      <c r="AA138">
        <v>1804</v>
      </c>
      <c r="AB138">
        <v>530852</v>
      </c>
      <c r="AC138" t="s">
        <v>4557</v>
      </c>
      <c r="AD138">
        <v>54.63</v>
      </c>
      <c r="AE138" t="s">
        <v>5421</v>
      </c>
      <c r="AF138" t="s">
        <v>6271</v>
      </c>
      <c r="AG138">
        <v>10884</v>
      </c>
      <c r="AH138">
        <v>156</v>
      </c>
      <c r="AI138">
        <v>463438</v>
      </c>
      <c r="AJ138">
        <v>2.09</v>
      </c>
    </row>
    <row r="139" spans="1:36">
      <c r="A139" s="1" t="s">
        <v>686</v>
      </c>
      <c r="B139" t="s">
        <v>1550</v>
      </c>
      <c r="C139" t="str">
        <f>HYPERLINK("https://finance.naver.com/item/coinfo.nhn?code=003200", "A003200")</f>
        <v>A003200</v>
      </c>
      <c r="D139" t="str">
        <f>HYPERLINK("http://comp.fnguide.com/SVO2/ASP/SVD_Consensus.asp?pGB=1&amp;gicode=A003200&amp;cID=&amp;MenuYn=Y&amp;ReportGB=&amp;NewMenuID=108&amp;stkGb=701", "일신방직")</f>
        <v>일신방직</v>
      </c>
      <c r="E139">
        <v>3</v>
      </c>
      <c r="F139">
        <v>81700</v>
      </c>
      <c r="G139">
        <v>0</v>
      </c>
      <c r="H139">
        <v>24.35</v>
      </c>
      <c r="I139">
        <v>74767</v>
      </c>
      <c r="J139">
        <v>216788</v>
      </c>
      <c r="K139">
        <v>257147</v>
      </c>
      <c r="L139">
        <v>8.49</v>
      </c>
      <c r="M139">
        <v>-165.35</v>
      </c>
      <c r="N139">
        <v>-214.75</v>
      </c>
      <c r="O139">
        <v>1.91</v>
      </c>
      <c r="P139" t="b">
        <v>1</v>
      </c>
      <c r="Q139">
        <v>0</v>
      </c>
      <c r="R139">
        <v>2940</v>
      </c>
      <c r="U139" t="s">
        <v>2414</v>
      </c>
      <c r="V139" t="s">
        <v>3278</v>
      </c>
      <c r="W139">
        <v>0</v>
      </c>
      <c r="X139">
        <v>-70.7</v>
      </c>
      <c r="Y139" t="s">
        <v>4080</v>
      </c>
      <c r="Z139">
        <v>-35.992832803095297</v>
      </c>
      <c r="AA139">
        <v>1961</v>
      </c>
      <c r="AB139">
        <v>7506</v>
      </c>
      <c r="AC139" t="s">
        <v>4933</v>
      </c>
      <c r="AD139">
        <v>50.73</v>
      </c>
      <c r="AE139" t="s">
        <v>5797</v>
      </c>
      <c r="AF139" t="s">
        <v>6619</v>
      </c>
      <c r="AG139">
        <v>4962</v>
      </c>
      <c r="AH139">
        <v>136</v>
      </c>
      <c r="AI139">
        <v>135919</v>
      </c>
      <c r="AJ139">
        <v>2.09</v>
      </c>
    </row>
    <row r="140" spans="1:36">
      <c r="A140" s="1" t="s">
        <v>868</v>
      </c>
      <c r="B140" t="s">
        <v>1732</v>
      </c>
      <c r="C140" t="str">
        <f>HYPERLINK("https://finance.naver.com/item/coinfo.nhn?code=307930", "A307930")</f>
        <v>A307930</v>
      </c>
      <c r="D140" t="str">
        <f>HYPERLINK("http://comp.fnguide.com/SVO2/ASP/SVD_Consensus.asp?pGB=1&amp;gicode=A307930&amp;cID=&amp;MenuYn=Y&amp;ReportGB=&amp;NewMenuID=108&amp;stkGb=701", "컴퍼니케이")</f>
        <v>컴퍼니케이</v>
      </c>
      <c r="E140">
        <v>1</v>
      </c>
      <c r="F140">
        <v>6620</v>
      </c>
      <c r="G140">
        <v>0</v>
      </c>
      <c r="H140">
        <v>12.85</v>
      </c>
      <c r="I140">
        <v>8241</v>
      </c>
      <c r="J140">
        <v>5256</v>
      </c>
      <c r="K140">
        <v>4408</v>
      </c>
      <c r="L140">
        <v>-24.49</v>
      </c>
      <c r="M140">
        <v>20.6</v>
      </c>
      <c r="N140">
        <v>33.42</v>
      </c>
      <c r="O140">
        <v>19.95</v>
      </c>
      <c r="P140" t="b">
        <v>1</v>
      </c>
      <c r="Q140">
        <v>0</v>
      </c>
      <c r="R140">
        <v>605</v>
      </c>
      <c r="U140" t="s">
        <v>2596</v>
      </c>
      <c r="V140" t="s">
        <v>3460</v>
      </c>
      <c r="W140">
        <v>0</v>
      </c>
      <c r="Y140" t="s">
        <v>3605</v>
      </c>
      <c r="Z140">
        <v>-8.3430421202257072</v>
      </c>
      <c r="AA140">
        <v>1033</v>
      </c>
      <c r="AB140">
        <v>66788</v>
      </c>
      <c r="AC140" t="s">
        <v>5115</v>
      </c>
      <c r="AD140">
        <v>73.61</v>
      </c>
      <c r="AE140" t="s">
        <v>5979</v>
      </c>
      <c r="AF140" t="s">
        <v>6785</v>
      </c>
      <c r="AG140">
        <v>169</v>
      </c>
      <c r="AH140">
        <v>108</v>
      </c>
      <c r="AJ140">
        <v>2.06</v>
      </c>
    </row>
    <row r="141" spans="1:36">
      <c r="A141" s="1" t="s">
        <v>842</v>
      </c>
      <c r="B141" t="s">
        <v>1706</v>
      </c>
      <c r="C141" t="str">
        <f>HYPERLINK("https://finance.naver.com/item/coinfo.nhn?code=293480", "A293480")</f>
        <v>A293480</v>
      </c>
      <c r="D141" t="str">
        <f>HYPERLINK("http://comp.fnguide.com/SVO2/ASP/SVD_Consensus.asp?pGB=1&amp;gicode=A293480&amp;cID=&amp;MenuYn=Y&amp;ReportGB=&amp;NewMenuID=108&amp;stkGb=701", "하나제약")</f>
        <v>하나제약</v>
      </c>
      <c r="E141">
        <v>1</v>
      </c>
      <c r="F141">
        <v>25850</v>
      </c>
      <c r="G141">
        <v>0</v>
      </c>
      <c r="H141">
        <v>12.91</v>
      </c>
      <c r="I141">
        <v>32953</v>
      </c>
      <c r="J141">
        <v>21553</v>
      </c>
      <c r="K141">
        <v>18313</v>
      </c>
      <c r="L141">
        <v>-27.48</v>
      </c>
      <c r="M141">
        <v>16.62</v>
      </c>
      <c r="N141">
        <v>29.16</v>
      </c>
      <c r="O141">
        <v>18.68</v>
      </c>
      <c r="P141" t="b">
        <v>1</v>
      </c>
      <c r="Q141">
        <v>0</v>
      </c>
      <c r="R141">
        <v>1747</v>
      </c>
      <c r="U141" t="s">
        <v>2570</v>
      </c>
      <c r="V141" t="s">
        <v>3434</v>
      </c>
      <c r="W141">
        <v>0</v>
      </c>
      <c r="X141">
        <v>-11</v>
      </c>
      <c r="Y141" t="s">
        <v>4228</v>
      </c>
      <c r="Z141">
        <v>-8.8245790802260018</v>
      </c>
      <c r="AA141">
        <v>4188</v>
      </c>
      <c r="AB141">
        <v>98320</v>
      </c>
      <c r="AC141" t="s">
        <v>5089</v>
      </c>
      <c r="AD141">
        <v>58.69</v>
      </c>
      <c r="AE141" t="s">
        <v>5953</v>
      </c>
      <c r="AF141" t="s">
        <v>6761</v>
      </c>
      <c r="AG141">
        <v>1663</v>
      </c>
      <c r="AH141">
        <v>336</v>
      </c>
      <c r="AI141">
        <v>470540</v>
      </c>
      <c r="AJ141">
        <v>2.04</v>
      </c>
    </row>
    <row r="142" spans="1:36">
      <c r="A142" s="1" t="s">
        <v>616</v>
      </c>
      <c r="B142" t="s">
        <v>1480</v>
      </c>
      <c r="C142" t="str">
        <f>HYPERLINK("https://finance.naver.com/item/coinfo.nhn?code=009160", "A009160")</f>
        <v>A009160</v>
      </c>
      <c r="D142" t="str">
        <f>HYPERLINK("http://comp.fnguide.com/SVO2/ASP/SVD_Consensus.asp?pGB=1&amp;gicode=A009160&amp;cID=&amp;MenuYn=Y&amp;ReportGB=&amp;NewMenuID=108&amp;stkGb=701", "SIMPAC")</f>
        <v>SIMPAC</v>
      </c>
      <c r="E142">
        <v>3</v>
      </c>
      <c r="F142">
        <v>2430</v>
      </c>
      <c r="G142">
        <v>0</v>
      </c>
      <c r="H142">
        <v>20.309999999999999</v>
      </c>
      <c r="I142">
        <v>8511</v>
      </c>
      <c r="J142">
        <v>8008</v>
      </c>
      <c r="K142">
        <v>7865</v>
      </c>
      <c r="L142">
        <v>-250.25</v>
      </c>
      <c r="M142">
        <v>-229.54</v>
      </c>
      <c r="N142">
        <v>-223.66</v>
      </c>
      <c r="O142">
        <v>8.8000000000000007</v>
      </c>
      <c r="P142" t="b">
        <v>1</v>
      </c>
      <c r="Q142">
        <v>0</v>
      </c>
      <c r="R142">
        <v>145</v>
      </c>
      <c r="U142" t="s">
        <v>2344</v>
      </c>
      <c r="V142" t="s">
        <v>3208</v>
      </c>
      <c r="W142">
        <v>0</v>
      </c>
      <c r="X142">
        <v>-46.8</v>
      </c>
      <c r="Y142" t="s">
        <v>4018</v>
      </c>
      <c r="Z142">
        <v>-32.862565935182651</v>
      </c>
      <c r="AA142">
        <v>1590</v>
      </c>
      <c r="AB142">
        <v>75899</v>
      </c>
      <c r="AC142" t="s">
        <v>4863</v>
      </c>
      <c r="AD142">
        <v>60.01</v>
      </c>
      <c r="AE142" t="s">
        <v>5727</v>
      </c>
      <c r="AF142" t="s">
        <v>6556</v>
      </c>
      <c r="AG142">
        <v>4301</v>
      </c>
      <c r="AH142">
        <v>111</v>
      </c>
      <c r="AI142">
        <v>7943224</v>
      </c>
      <c r="AJ142">
        <v>2.04</v>
      </c>
    </row>
    <row r="143" spans="1:36">
      <c r="A143" s="1" t="s">
        <v>749</v>
      </c>
      <c r="B143" t="s">
        <v>1613</v>
      </c>
      <c r="C143" t="str">
        <f>HYPERLINK("https://finance.naver.com/item/coinfo.nhn?code=200880", "A200880")</f>
        <v>A200880</v>
      </c>
      <c r="D143" t="str">
        <f>HYPERLINK("http://comp.fnguide.com/SVO2/ASP/SVD_Consensus.asp?pGB=1&amp;gicode=A200880&amp;cID=&amp;MenuYn=Y&amp;ReportGB=&amp;NewMenuID=108&amp;stkGb=701", "서연이화")</f>
        <v>서연이화</v>
      </c>
      <c r="E143">
        <v>3</v>
      </c>
      <c r="F143">
        <v>7650</v>
      </c>
      <c r="G143">
        <v>0</v>
      </c>
      <c r="I143">
        <v>2430</v>
      </c>
      <c r="J143">
        <v>14574</v>
      </c>
      <c r="K143">
        <v>18026</v>
      </c>
      <c r="L143">
        <v>68.23</v>
      </c>
      <c r="M143">
        <v>-90.52</v>
      </c>
      <c r="N143">
        <v>-135.63</v>
      </c>
      <c r="O143">
        <v>0.85</v>
      </c>
      <c r="P143" t="b">
        <v>0</v>
      </c>
      <c r="Q143">
        <v>0</v>
      </c>
      <c r="R143">
        <v>-1721</v>
      </c>
      <c r="U143" t="s">
        <v>2477</v>
      </c>
      <c r="V143" t="s">
        <v>3341</v>
      </c>
      <c r="W143">
        <v>0</v>
      </c>
      <c r="X143">
        <v>0</v>
      </c>
      <c r="Y143" t="s">
        <v>4136</v>
      </c>
      <c r="Z143">
        <v>-34.475042922562707</v>
      </c>
      <c r="AA143">
        <v>2068</v>
      </c>
      <c r="AB143">
        <v>7807368</v>
      </c>
      <c r="AC143" t="s">
        <v>4996</v>
      </c>
      <c r="AD143">
        <v>57.06</v>
      </c>
      <c r="AE143" t="s">
        <v>5860</v>
      </c>
      <c r="AF143" t="s">
        <v>6672</v>
      </c>
      <c r="AG143">
        <v>19768</v>
      </c>
      <c r="AH143">
        <v>219</v>
      </c>
      <c r="AI143">
        <v>5686</v>
      </c>
      <c r="AJ143">
        <v>2.0299999999999998</v>
      </c>
    </row>
    <row r="144" spans="1:36">
      <c r="A144" s="1" t="s">
        <v>796</v>
      </c>
      <c r="B144" t="s">
        <v>1660</v>
      </c>
      <c r="C144" t="str">
        <f>HYPERLINK("https://finance.naver.com/item/coinfo.nhn?code=001880", "A001880")</f>
        <v>A001880</v>
      </c>
      <c r="D144" t="str">
        <f>HYPERLINK("http://comp.fnguide.com/SVO2/ASP/SVD_Consensus.asp?pGB=1&amp;gicode=A001880&amp;cID=&amp;MenuYn=Y&amp;ReportGB=&amp;NewMenuID=108&amp;stkGb=701", "대림건설")</f>
        <v>대림건설</v>
      </c>
      <c r="E144">
        <v>2</v>
      </c>
      <c r="F144">
        <v>29800</v>
      </c>
      <c r="G144">
        <v>0</v>
      </c>
      <c r="H144">
        <v>3.17</v>
      </c>
      <c r="I144">
        <v>56107</v>
      </c>
      <c r="J144">
        <v>34839</v>
      </c>
      <c r="K144">
        <v>28795</v>
      </c>
      <c r="L144">
        <v>-88.28</v>
      </c>
      <c r="M144">
        <v>-16.91</v>
      </c>
      <c r="N144">
        <v>3.37</v>
      </c>
      <c r="O144">
        <v>21.46</v>
      </c>
      <c r="P144" t="b">
        <v>1</v>
      </c>
      <c r="Q144">
        <v>0</v>
      </c>
      <c r="R144">
        <v>6265</v>
      </c>
      <c r="U144" t="s">
        <v>2524</v>
      </c>
      <c r="V144" t="s">
        <v>3388</v>
      </c>
      <c r="W144">
        <v>0</v>
      </c>
      <c r="X144">
        <v>22.6</v>
      </c>
      <c r="Y144" t="s">
        <v>4182</v>
      </c>
      <c r="Z144">
        <v>23.817052945245191</v>
      </c>
      <c r="AA144">
        <v>6572</v>
      </c>
      <c r="AB144">
        <v>132177</v>
      </c>
      <c r="AC144" t="s">
        <v>5043</v>
      </c>
      <c r="AD144">
        <v>66.36</v>
      </c>
      <c r="AE144" t="s">
        <v>5907</v>
      </c>
      <c r="AF144" t="s">
        <v>6716</v>
      </c>
      <c r="AG144">
        <v>12799</v>
      </c>
      <c r="AH144">
        <v>1430</v>
      </c>
      <c r="AI144">
        <v>371</v>
      </c>
      <c r="AJ144">
        <v>2.02</v>
      </c>
    </row>
    <row r="145" spans="1:36">
      <c r="A145" s="1" t="s">
        <v>523</v>
      </c>
      <c r="B145" t="s">
        <v>1387</v>
      </c>
      <c r="C145" t="str">
        <f>HYPERLINK("https://finance.naver.com/item/coinfo.nhn?code=009200", "A009200")</f>
        <v>A009200</v>
      </c>
      <c r="D145" t="str">
        <f>HYPERLINK("http://comp.fnguide.com/SVO2/ASP/SVD_Consensus.asp?pGB=1&amp;gicode=A009200&amp;cID=&amp;MenuYn=Y&amp;ReportGB=&amp;NewMenuID=108&amp;stkGb=701", "무림페이퍼")</f>
        <v>무림페이퍼</v>
      </c>
      <c r="E145">
        <v>3</v>
      </c>
      <c r="F145">
        <v>2680</v>
      </c>
      <c r="G145">
        <v>0</v>
      </c>
      <c r="I145">
        <v>5043</v>
      </c>
      <c r="J145">
        <v>8344</v>
      </c>
      <c r="K145">
        <v>9282</v>
      </c>
      <c r="L145">
        <v>-88.19</v>
      </c>
      <c r="M145">
        <v>-211.34</v>
      </c>
      <c r="N145">
        <v>-246.34</v>
      </c>
      <c r="O145">
        <v>3.8</v>
      </c>
      <c r="P145" t="b">
        <v>0</v>
      </c>
      <c r="Q145">
        <v>0</v>
      </c>
      <c r="R145">
        <v>-231</v>
      </c>
      <c r="U145" t="s">
        <v>2251</v>
      </c>
      <c r="V145" t="s">
        <v>3115</v>
      </c>
      <c r="W145">
        <v>0</v>
      </c>
      <c r="X145">
        <v>-80.8</v>
      </c>
      <c r="Y145" t="s">
        <v>3926</v>
      </c>
      <c r="Z145">
        <v>208.23334203658331</v>
      </c>
      <c r="AA145">
        <v>1115</v>
      </c>
      <c r="AB145">
        <v>632531</v>
      </c>
      <c r="AC145" t="s">
        <v>4770</v>
      </c>
      <c r="AD145">
        <v>54.07</v>
      </c>
      <c r="AE145" t="s">
        <v>5634</v>
      </c>
      <c r="AF145" t="s">
        <v>6464</v>
      </c>
      <c r="AG145">
        <v>11237</v>
      </c>
      <c r="AH145">
        <v>688</v>
      </c>
      <c r="AJ145">
        <v>2.0099999999999998</v>
      </c>
    </row>
    <row r="146" spans="1:36">
      <c r="A146" s="1" t="s">
        <v>291</v>
      </c>
      <c r="B146" t="s">
        <v>1155</v>
      </c>
      <c r="C146" t="str">
        <f>HYPERLINK("https://finance.naver.com/item/coinfo.nhn?code=079170", "A079170")</f>
        <v>A079170</v>
      </c>
      <c r="D146" t="str">
        <f>HYPERLINK("http://comp.fnguide.com/SVO2/ASP/SVD_Consensus.asp?pGB=1&amp;gicode=A079170&amp;cID=&amp;MenuYn=Y&amp;ReportGB=&amp;NewMenuID=108&amp;stkGb=701", "한창산업")</f>
        <v>한창산업</v>
      </c>
      <c r="E146">
        <v>3</v>
      </c>
      <c r="F146">
        <v>7470</v>
      </c>
      <c r="G146">
        <v>0</v>
      </c>
      <c r="H146">
        <v>24.19</v>
      </c>
      <c r="I146">
        <v>3089</v>
      </c>
      <c r="J146">
        <v>7340</v>
      </c>
      <c r="K146">
        <v>8549</v>
      </c>
      <c r="L146">
        <v>58.65</v>
      </c>
      <c r="M146">
        <v>1.74</v>
      </c>
      <c r="N146">
        <v>-14.44</v>
      </c>
      <c r="O146">
        <v>2.42</v>
      </c>
      <c r="P146" t="b">
        <v>1</v>
      </c>
      <c r="Q146">
        <v>0</v>
      </c>
      <c r="R146">
        <v>226</v>
      </c>
      <c r="U146" t="s">
        <v>2019</v>
      </c>
      <c r="V146" t="s">
        <v>2883</v>
      </c>
      <c r="W146">
        <v>0</v>
      </c>
      <c r="X146">
        <v>65.7</v>
      </c>
      <c r="Y146" t="s">
        <v>3723</v>
      </c>
      <c r="Z146">
        <v>-1.023505753116738</v>
      </c>
      <c r="AA146">
        <v>388</v>
      </c>
      <c r="AB146">
        <v>19050</v>
      </c>
      <c r="AC146" t="s">
        <v>4538</v>
      </c>
      <c r="AD146">
        <v>56.21</v>
      </c>
      <c r="AE146" t="s">
        <v>5402</v>
      </c>
      <c r="AF146" t="s">
        <v>6254</v>
      </c>
      <c r="AG146">
        <v>654</v>
      </c>
      <c r="AH146">
        <v>10</v>
      </c>
      <c r="AI146">
        <v>30153</v>
      </c>
      <c r="AJ146">
        <v>2.0099999999999998</v>
      </c>
    </row>
    <row r="147" spans="1:36">
      <c r="A147" s="1" t="s">
        <v>767</v>
      </c>
      <c r="B147" t="s">
        <v>1631</v>
      </c>
      <c r="C147" t="str">
        <f>HYPERLINK("https://finance.naver.com/item/coinfo.nhn?code=006880", "A006880")</f>
        <v>A006880</v>
      </c>
      <c r="D147" t="str">
        <f>HYPERLINK("http://comp.fnguide.com/SVO2/ASP/SVD_Consensus.asp?pGB=1&amp;gicode=A006880&amp;cID=&amp;MenuYn=Y&amp;ReportGB=&amp;NewMenuID=108&amp;stkGb=701", "신송홀딩스")</f>
        <v>신송홀딩스</v>
      </c>
      <c r="E147">
        <v>3</v>
      </c>
      <c r="F147">
        <v>4030</v>
      </c>
      <c r="G147">
        <v>0</v>
      </c>
      <c r="I147">
        <v>0</v>
      </c>
      <c r="J147">
        <v>4836</v>
      </c>
      <c r="K147">
        <v>6210</v>
      </c>
      <c r="L147">
        <v>100</v>
      </c>
      <c r="M147">
        <v>-20</v>
      </c>
      <c r="N147">
        <v>-54.1</v>
      </c>
      <c r="O147">
        <v>0</v>
      </c>
      <c r="P147" t="b">
        <v>0</v>
      </c>
      <c r="Q147">
        <v>0</v>
      </c>
      <c r="R147">
        <v>-2905</v>
      </c>
      <c r="U147" t="s">
        <v>2495</v>
      </c>
      <c r="V147" t="s">
        <v>3359</v>
      </c>
      <c r="W147">
        <v>0</v>
      </c>
      <c r="X147">
        <v>0</v>
      </c>
      <c r="Y147" t="s">
        <v>3499</v>
      </c>
      <c r="Z147">
        <v>0</v>
      </c>
      <c r="AA147">
        <v>477</v>
      </c>
      <c r="AB147">
        <v>29269</v>
      </c>
      <c r="AC147" t="s">
        <v>5014</v>
      </c>
      <c r="AD147">
        <v>58.95</v>
      </c>
      <c r="AE147" t="s">
        <v>5878</v>
      </c>
      <c r="AF147" t="s">
        <v>6021</v>
      </c>
      <c r="AG147">
        <v>2630</v>
      </c>
      <c r="AH147">
        <v>-3</v>
      </c>
      <c r="AI147">
        <v>631470</v>
      </c>
      <c r="AJ147">
        <v>2.0099999999999998</v>
      </c>
    </row>
    <row r="148" spans="1:36">
      <c r="A148" s="1" t="s">
        <v>663</v>
      </c>
      <c r="B148" t="s">
        <v>1527</v>
      </c>
      <c r="C148" t="str">
        <f>HYPERLINK("https://finance.naver.com/item/coinfo.nhn?code=002310", "A002310")</f>
        <v>A002310</v>
      </c>
      <c r="D148" t="str">
        <f>HYPERLINK("http://comp.fnguide.com/SVO2/ASP/SVD_Consensus.asp?pGB=1&amp;gicode=A002310&amp;cID=&amp;MenuYn=Y&amp;ReportGB=&amp;NewMenuID=108&amp;stkGb=701", "아세아제지")</f>
        <v>아세아제지</v>
      </c>
      <c r="E148">
        <v>3</v>
      </c>
      <c r="F148">
        <v>37050</v>
      </c>
      <c r="G148">
        <v>0</v>
      </c>
      <c r="H148">
        <v>4.37</v>
      </c>
      <c r="I148">
        <v>90088</v>
      </c>
      <c r="J148">
        <v>75177</v>
      </c>
      <c r="K148">
        <v>70939</v>
      </c>
      <c r="L148">
        <v>-143.15</v>
      </c>
      <c r="M148">
        <v>-102.91</v>
      </c>
      <c r="N148">
        <v>-91.47</v>
      </c>
      <c r="O148">
        <v>10.95</v>
      </c>
      <c r="P148" t="b">
        <v>1</v>
      </c>
      <c r="Q148">
        <v>0</v>
      </c>
      <c r="R148">
        <v>6860</v>
      </c>
      <c r="U148" t="s">
        <v>2391</v>
      </c>
      <c r="V148" t="s">
        <v>3255</v>
      </c>
      <c r="W148">
        <v>0</v>
      </c>
      <c r="X148">
        <v>-29.4</v>
      </c>
      <c r="Y148" t="s">
        <v>4059</v>
      </c>
      <c r="Z148">
        <v>20.244227355839168</v>
      </c>
      <c r="AA148">
        <v>3318</v>
      </c>
      <c r="AB148">
        <v>61721</v>
      </c>
      <c r="AC148" t="s">
        <v>4910</v>
      </c>
      <c r="AD148">
        <v>50.07</v>
      </c>
      <c r="AE148" t="s">
        <v>5774</v>
      </c>
      <c r="AF148" t="s">
        <v>6598</v>
      </c>
      <c r="AG148">
        <v>6977</v>
      </c>
      <c r="AH148">
        <v>711</v>
      </c>
      <c r="AJ148">
        <v>2</v>
      </c>
    </row>
    <row r="149" spans="1:36">
      <c r="A149" s="1" t="s">
        <v>867</v>
      </c>
      <c r="B149" t="s">
        <v>1731</v>
      </c>
      <c r="C149" t="str">
        <f>HYPERLINK("https://finance.naver.com/item/coinfo.nhn?code=089600", "A089600")</f>
        <v>A089600</v>
      </c>
      <c r="D149" t="str">
        <f>HYPERLINK("http://comp.fnguide.com/SVO2/ASP/SVD_Consensus.asp?pGB=1&amp;gicode=A089600&amp;cID=&amp;MenuYn=Y&amp;ReportGB=&amp;NewMenuID=108&amp;stkGb=701", "나스미디어")</f>
        <v>나스미디어</v>
      </c>
      <c r="E149">
        <v>1</v>
      </c>
      <c r="F149">
        <v>33300</v>
      </c>
      <c r="G149">
        <v>-2.46</v>
      </c>
      <c r="H149">
        <v>14.16</v>
      </c>
      <c r="I149">
        <v>34176</v>
      </c>
      <c r="J149">
        <v>23627</v>
      </c>
      <c r="K149">
        <v>20629</v>
      </c>
      <c r="L149">
        <v>-2.63</v>
      </c>
      <c r="M149">
        <v>29.05</v>
      </c>
      <c r="N149">
        <v>38.049999999999997</v>
      </c>
      <c r="O149">
        <v>16.3</v>
      </c>
      <c r="P149" t="b">
        <v>0</v>
      </c>
      <c r="Q149">
        <v>0</v>
      </c>
      <c r="R149">
        <v>2355</v>
      </c>
      <c r="S149">
        <v>2349</v>
      </c>
      <c r="T149">
        <v>-0.3</v>
      </c>
      <c r="U149" t="s">
        <v>2595</v>
      </c>
      <c r="V149" t="s">
        <v>3459</v>
      </c>
      <c r="W149">
        <v>-5.7667592365378217</v>
      </c>
      <c r="X149">
        <v>6.9</v>
      </c>
      <c r="Y149" t="s">
        <v>4252</v>
      </c>
      <c r="Z149">
        <v>15.914738876046711</v>
      </c>
      <c r="AA149">
        <v>2915</v>
      </c>
      <c r="AB149">
        <v>58002</v>
      </c>
      <c r="AC149" t="s">
        <v>5114</v>
      </c>
      <c r="AD149">
        <v>59.59</v>
      </c>
      <c r="AE149" t="s">
        <v>5978</v>
      </c>
      <c r="AF149" t="s">
        <v>6784</v>
      </c>
      <c r="AG149">
        <v>1170</v>
      </c>
      <c r="AH149">
        <v>306</v>
      </c>
      <c r="AI149">
        <v>252500</v>
      </c>
      <c r="AJ149">
        <v>1.98</v>
      </c>
    </row>
    <row r="150" spans="1:36">
      <c r="A150" s="1" t="s">
        <v>498</v>
      </c>
      <c r="B150" t="s">
        <v>1362</v>
      </c>
      <c r="C150" t="str">
        <f>HYPERLINK("https://finance.naver.com/item/coinfo.nhn?code=145990", "A145990")</f>
        <v>A145990</v>
      </c>
      <c r="D150" t="str">
        <f>HYPERLINK("http://comp.fnguide.com/SVO2/ASP/SVD_Consensus.asp?pGB=1&amp;gicode=A145990&amp;cID=&amp;MenuYn=Y&amp;ReportGB=&amp;NewMenuID=108&amp;stkGb=701", "삼양사")</f>
        <v>삼양사</v>
      </c>
      <c r="E150">
        <v>3</v>
      </c>
      <c r="F150">
        <v>61000</v>
      </c>
      <c r="G150">
        <v>0</v>
      </c>
      <c r="H150">
        <v>15.95</v>
      </c>
      <c r="I150">
        <v>49939</v>
      </c>
      <c r="J150">
        <v>88777</v>
      </c>
      <c r="K150">
        <v>99814</v>
      </c>
      <c r="L150">
        <v>18.13</v>
      </c>
      <c r="M150">
        <v>-45.54</v>
      </c>
      <c r="N150">
        <v>-63.63</v>
      </c>
      <c r="O150">
        <v>3.46</v>
      </c>
      <c r="P150" t="b">
        <v>1</v>
      </c>
      <c r="Q150">
        <v>0</v>
      </c>
      <c r="R150">
        <v>3173</v>
      </c>
      <c r="U150" t="s">
        <v>2226</v>
      </c>
      <c r="V150" t="s">
        <v>3090</v>
      </c>
      <c r="W150">
        <v>0</v>
      </c>
      <c r="X150">
        <v>75.599999999999994</v>
      </c>
      <c r="Y150" t="s">
        <v>3902</v>
      </c>
      <c r="Z150">
        <v>-5.8708449434169747</v>
      </c>
      <c r="AA150">
        <v>6291</v>
      </c>
      <c r="AB150">
        <v>76430</v>
      </c>
      <c r="AC150" t="s">
        <v>4745</v>
      </c>
      <c r="AD150">
        <v>64.14</v>
      </c>
      <c r="AE150" t="s">
        <v>5609</v>
      </c>
      <c r="AF150" t="s">
        <v>6440</v>
      </c>
      <c r="AG150">
        <v>20964</v>
      </c>
      <c r="AH150">
        <v>816</v>
      </c>
      <c r="AI150">
        <v>623479</v>
      </c>
      <c r="AJ150">
        <v>1.98</v>
      </c>
    </row>
    <row r="151" spans="1:36">
      <c r="A151" s="1" t="s">
        <v>773</v>
      </c>
      <c r="B151" t="s">
        <v>1637</v>
      </c>
      <c r="C151" t="str">
        <f>HYPERLINK("https://finance.naver.com/item/coinfo.nhn?code=001430", "A001430")</f>
        <v>A001430</v>
      </c>
      <c r="D151" t="str">
        <f>HYPERLINK("http://comp.fnguide.com/SVO2/ASP/SVD_Consensus.asp?pGB=1&amp;gicode=A001430&amp;cID=&amp;MenuYn=Y&amp;ReportGB=&amp;NewMenuID=108&amp;stkGb=701", "세아베스틸")</f>
        <v>세아베스틸</v>
      </c>
      <c r="E151">
        <v>3</v>
      </c>
      <c r="F151">
        <v>10500</v>
      </c>
      <c r="G151">
        <v>-0.54</v>
      </c>
      <c r="H151">
        <v>31.78</v>
      </c>
      <c r="I151">
        <v>13265</v>
      </c>
      <c r="J151">
        <v>36552</v>
      </c>
      <c r="K151">
        <v>43170</v>
      </c>
      <c r="L151">
        <v>-26.33</v>
      </c>
      <c r="M151">
        <v>-248.11</v>
      </c>
      <c r="N151">
        <v>-311.14</v>
      </c>
      <c r="O151">
        <v>2.0299999999999998</v>
      </c>
      <c r="P151" t="b">
        <v>0</v>
      </c>
      <c r="Q151">
        <v>0</v>
      </c>
      <c r="R151">
        <v>480</v>
      </c>
      <c r="S151">
        <v>249</v>
      </c>
      <c r="T151">
        <v>-48.1</v>
      </c>
      <c r="U151" t="s">
        <v>2501</v>
      </c>
      <c r="V151" t="s">
        <v>3365</v>
      </c>
      <c r="W151">
        <v>-58.643904042673213</v>
      </c>
      <c r="X151">
        <v>-86.4</v>
      </c>
      <c r="Y151" t="s">
        <v>4159</v>
      </c>
      <c r="Z151">
        <v>-56.511534803196973</v>
      </c>
      <c r="AA151">
        <v>3766</v>
      </c>
      <c r="AB151">
        <v>184111</v>
      </c>
      <c r="AC151" t="s">
        <v>5020</v>
      </c>
      <c r="AD151">
        <v>62.66</v>
      </c>
      <c r="AE151" t="s">
        <v>5884</v>
      </c>
      <c r="AF151" t="s">
        <v>6694</v>
      </c>
      <c r="AG151">
        <v>29607</v>
      </c>
      <c r="AH151">
        <v>440</v>
      </c>
      <c r="AI151">
        <v>315689</v>
      </c>
      <c r="AJ151">
        <v>1.97</v>
      </c>
    </row>
    <row r="152" spans="1:36">
      <c r="A152" s="1" t="s">
        <v>655</v>
      </c>
      <c r="B152" t="s">
        <v>1519</v>
      </c>
      <c r="C152" t="str">
        <f>HYPERLINK("https://finance.naver.com/item/coinfo.nhn?code=183190", "A183190")</f>
        <v>A183190</v>
      </c>
      <c r="D152" t="str">
        <f>HYPERLINK("http://comp.fnguide.com/SVO2/ASP/SVD_Consensus.asp?pGB=1&amp;gicode=A183190&amp;cID=&amp;MenuYn=Y&amp;ReportGB=&amp;NewMenuID=108&amp;stkGb=701", "아세아시멘트")</f>
        <v>아세아시멘트</v>
      </c>
      <c r="E152">
        <v>3</v>
      </c>
      <c r="F152">
        <v>71900</v>
      </c>
      <c r="G152">
        <v>0</v>
      </c>
      <c r="H152">
        <v>10.62</v>
      </c>
      <c r="I152">
        <v>98563</v>
      </c>
      <c r="J152">
        <v>162577</v>
      </c>
      <c r="K152">
        <v>180769</v>
      </c>
      <c r="L152">
        <v>-37.08</v>
      </c>
      <c r="M152">
        <v>-126.12</v>
      </c>
      <c r="N152">
        <v>-151.41999999999999</v>
      </c>
      <c r="O152">
        <v>3.82</v>
      </c>
      <c r="P152" t="b">
        <v>1</v>
      </c>
      <c r="Q152">
        <v>0</v>
      </c>
      <c r="R152">
        <v>7157</v>
      </c>
      <c r="U152" t="s">
        <v>2383</v>
      </c>
      <c r="V152" t="s">
        <v>3247</v>
      </c>
      <c r="W152">
        <v>0</v>
      </c>
      <c r="X152">
        <v>-53.8</v>
      </c>
      <c r="Y152" t="s">
        <v>4053</v>
      </c>
      <c r="Z152">
        <v>-24.286707903477581</v>
      </c>
      <c r="AA152">
        <v>2801</v>
      </c>
      <c r="AB152">
        <v>7919</v>
      </c>
      <c r="AC152" t="s">
        <v>4902</v>
      </c>
      <c r="AD152">
        <v>61.36</v>
      </c>
      <c r="AE152" t="s">
        <v>5766</v>
      </c>
      <c r="AF152" t="s">
        <v>6591</v>
      </c>
      <c r="AG152">
        <v>8368</v>
      </c>
      <c r="AH152">
        <v>808</v>
      </c>
      <c r="AI152">
        <v>1327</v>
      </c>
      <c r="AJ152">
        <v>1.97</v>
      </c>
    </row>
    <row r="153" spans="1:36">
      <c r="A153" s="1" t="s">
        <v>559</v>
      </c>
      <c r="B153" t="s">
        <v>1423</v>
      </c>
      <c r="C153" t="str">
        <f>HYPERLINK("https://finance.naver.com/item/coinfo.nhn?code=027410", "A027410")</f>
        <v>A027410</v>
      </c>
      <c r="D153" t="str">
        <f>HYPERLINK("http://comp.fnguide.com/SVO2/ASP/SVD_Consensus.asp?pGB=1&amp;gicode=A027410&amp;cID=&amp;MenuYn=Y&amp;ReportGB=&amp;NewMenuID=108&amp;stkGb=701", "BGF")</f>
        <v>BGF</v>
      </c>
      <c r="E153">
        <v>3</v>
      </c>
      <c r="F153">
        <v>5000</v>
      </c>
      <c r="G153">
        <v>-0.24</v>
      </c>
      <c r="H153">
        <v>19.91</v>
      </c>
      <c r="I153">
        <v>145885</v>
      </c>
      <c r="J153">
        <v>67556</v>
      </c>
      <c r="K153">
        <v>45297</v>
      </c>
      <c r="L153">
        <v>-2817.69</v>
      </c>
      <c r="M153">
        <v>-1251.1199999999999</v>
      </c>
      <c r="N153">
        <v>-805.93</v>
      </c>
      <c r="O153">
        <v>73.78</v>
      </c>
      <c r="P153" t="b">
        <v>0</v>
      </c>
      <c r="Q153">
        <v>0</v>
      </c>
      <c r="R153">
        <v>281</v>
      </c>
      <c r="S153">
        <v>272</v>
      </c>
      <c r="T153">
        <v>-3.2</v>
      </c>
      <c r="U153" t="s">
        <v>2287</v>
      </c>
      <c r="V153" t="s">
        <v>3151</v>
      </c>
      <c r="W153">
        <v>-84.423792569819639</v>
      </c>
      <c r="X153">
        <v>-5.5</v>
      </c>
      <c r="Y153" t="s">
        <v>3961</v>
      </c>
      <c r="Z153">
        <v>-38.212604821420832</v>
      </c>
      <c r="AA153">
        <v>4786</v>
      </c>
      <c r="AB153">
        <v>4477156</v>
      </c>
      <c r="AC153" t="s">
        <v>4806</v>
      </c>
      <c r="AD153">
        <v>69.7</v>
      </c>
      <c r="AE153" t="s">
        <v>5670</v>
      </c>
      <c r="AF153" t="s">
        <v>6499</v>
      </c>
      <c r="AG153">
        <v>2403</v>
      </c>
      <c r="AH153">
        <v>294</v>
      </c>
      <c r="AI153">
        <v>8024</v>
      </c>
      <c r="AJ153">
        <v>1.96</v>
      </c>
    </row>
    <row r="154" spans="1:36">
      <c r="A154" s="1" t="s">
        <v>513</v>
      </c>
      <c r="B154" t="s">
        <v>1377</v>
      </c>
      <c r="C154" t="str">
        <f>HYPERLINK("https://finance.naver.com/item/coinfo.nhn?code=005300", "A005300")</f>
        <v>A005300</v>
      </c>
      <c r="D154" t="str">
        <f>HYPERLINK("http://comp.fnguide.com/SVO2/ASP/SVD_Consensus.asp?pGB=1&amp;gicode=A005300&amp;cID=&amp;MenuYn=Y&amp;ReportGB=&amp;NewMenuID=108&amp;stkGb=701", "롯데칠성")</f>
        <v>롯데칠성</v>
      </c>
      <c r="E154">
        <v>3</v>
      </c>
      <c r="F154">
        <v>111500</v>
      </c>
      <c r="I154">
        <v>21889</v>
      </c>
      <c r="J154">
        <v>93966</v>
      </c>
      <c r="K154">
        <v>114449</v>
      </c>
      <c r="L154">
        <v>80.37</v>
      </c>
      <c r="M154">
        <v>15.73</v>
      </c>
      <c r="N154">
        <v>-2.64</v>
      </c>
      <c r="O154">
        <v>1.23</v>
      </c>
      <c r="P154" t="b">
        <v>0</v>
      </c>
      <c r="Q154">
        <v>1</v>
      </c>
      <c r="R154">
        <v>-16243</v>
      </c>
      <c r="S154">
        <v>3588</v>
      </c>
      <c r="T154">
        <v>-122.1</v>
      </c>
      <c r="U154" t="s">
        <v>2241</v>
      </c>
      <c r="V154" t="s">
        <v>3105</v>
      </c>
      <c r="W154">
        <v>-30.658044475065331</v>
      </c>
      <c r="X154">
        <v>0</v>
      </c>
      <c r="Y154" t="s">
        <v>3916</v>
      </c>
      <c r="Z154">
        <v>21.126710514237939</v>
      </c>
      <c r="AA154">
        <v>10007</v>
      </c>
      <c r="AB154">
        <v>28607</v>
      </c>
      <c r="AC154" t="s">
        <v>4760</v>
      </c>
      <c r="AD154">
        <v>62.8</v>
      </c>
      <c r="AE154" t="s">
        <v>5624</v>
      </c>
      <c r="AF154" t="s">
        <v>6454</v>
      </c>
      <c r="AG154">
        <v>24295</v>
      </c>
      <c r="AH154">
        <v>1077</v>
      </c>
      <c r="AI154">
        <v>420110</v>
      </c>
      <c r="AJ154">
        <v>1.93</v>
      </c>
    </row>
    <row r="155" spans="1:36">
      <c r="A155" s="1" t="s">
        <v>244</v>
      </c>
      <c r="B155" t="s">
        <v>1108</v>
      </c>
      <c r="C155" t="str">
        <f>HYPERLINK("https://finance.naver.com/item/coinfo.nhn?code=053620", "A053620")</f>
        <v>A053620</v>
      </c>
      <c r="D155" t="str">
        <f>HYPERLINK("http://comp.fnguide.com/SVO2/ASP/SVD_Consensus.asp?pGB=1&amp;gicode=A053620&amp;cID=&amp;MenuYn=Y&amp;ReportGB=&amp;NewMenuID=108&amp;stkGb=701", "태양")</f>
        <v>태양</v>
      </c>
      <c r="E155">
        <v>3</v>
      </c>
      <c r="F155">
        <v>8470</v>
      </c>
      <c r="G155">
        <v>0</v>
      </c>
      <c r="H155">
        <v>9.2200000000000006</v>
      </c>
      <c r="I155">
        <v>8935</v>
      </c>
      <c r="J155">
        <v>15538</v>
      </c>
      <c r="K155">
        <v>17415</v>
      </c>
      <c r="L155">
        <v>-5.49</v>
      </c>
      <c r="M155">
        <v>-83.45</v>
      </c>
      <c r="N155">
        <v>-105.6</v>
      </c>
      <c r="O155">
        <v>3.56</v>
      </c>
      <c r="P155" t="b">
        <v>1</v>
      </c>
      <c r="Q155">
        <v>0</v>
      </c>
      <c r="R155">
        <v>857</v>
      </c>
      <c r="U155" t="s">
        <v>1972</v>
      </c>
      <c r="V155" t="s">
        <v>2836</v>
      </c>
      <c r="W155">
        <v>0</v>
      </c>
      <c r="X155">
        <v>28.2</v>
      </c>
      <c r="Y155" t="s">
        <v>3681</v>
      </c>
      <c r="Z155">
        <v>23.271539076657159</v>
      </c>
      <c r="AA155">
        <v>728</v>
      </c>
      <c r="AB155">
        <v>6833</v>
      </c>
      <c r="AC155" t="s">
        <v>4491</v>
      </c>
      <c r="AD155">
        <v>62.47</v>
      </c>
      <c r="AE155" t="s">
        <v>5355</v>
      </c>
      <c r="AF155" t="s">
        <v>6210</v>
      </c>
      <c r="AG155">
        <v>1418</v>
      </c>
      <c r="AH155">
        <v>70</v>
      </c>
      <c r="AI155">
        <v>638969</v>
      </c>
      <c r="AJ155">
        <v>1.9</v>
      </c>
    </row>
    <row r="156" spans="1:36">
      <c r="A156" s="1" t="s">
        <v>158</v>
      </c>
      <c r="B156" t="s">
        <v>1022</v>
      </c>
      <c r="C156" t="str">
        <f>HYPERLINK("https://finance.naver.com/item/coinfo.nhn?code=143210", "A143210")</f>
        <v>A143210</v>
      </c>
      <c r="D156" t="str">
        <f>HYPERLINK("http://comp.fnguide.com/SVO2/ASP/SVD_Consensus.asp?pGB=1&amp;gicode=A143210&amp;cID=&amp;MenuYn=Y&amp;ReportGB=&amp;NewMenuID=108&amp;stkGb=701", "핸즈코퍼레이션")</f>
        <v>핸즈코퍼레이션</v>
      </c>
      <c r="E156">
        <v>3</v>
      </c>
      <c r="F156">
        <v>8050</v>
      </c>
      <c r="G156">
        <v>0</v>
      </c>
      <c r="H156">
        <v>21.78</v>
      </c>
      <c r="I156">
        <v>5206</v>
      </c>
      <c r="J156">
        <v>11140</v>
      </c>
      <c r="K156">
        <v>12827</v>
      </c>
      <c r="L156">
        <v>35.32</v>
      </c>
      <c r="M156">
        <v>-38.39</v>
      </c>
      <c r="N156">
        <v>-59.34</v>
      </c>
      <c r="O156">
        <v>2.74</v>
      </c>
      <c r="P156" t="b">
        <v>0</v>
      </c>
      <c r="Q156">
        <v>0</v>
      </c>
      <c r="R156">
        <v>314</v>
      </c>
      <c r="U156" t="s">
        <v>1886</v>
      </c>
      <c r="V156" t="s">
        <v>2750</v>
      </c>
      <c r="W156">
        <v>0</v>
      </c>
      <c r="X156">
        <v>-54.1</v>
      </c>
      <c r="Y156" t="s">
        <v>3602</v>
      </c>
      <c r="Z156">
        <v>-36.285114935612071</v>
      </c>
      <c r="AA156">
        <v>1760</v>
      </c>
      <c r="AB156">
        <v>226825</v>
      </c>
      <c r="AC156" t="s">
        <v>4405</v>
      </c>
      <c r="AD156">
        <v>60.27</v>
      </c>
      <c r="AE156" t="s">
        <v>5269</v>
      </c>
      <c r="AF156" t="s">
        <v>6126</v>
      </c>
      <c r="AG156">
        <v>6177</v>
      </c>
      <c r="AH156">
        <v>187</v>
      </c>
      <c r="AI156">
        <v>382042</v>
      </c>
      <c r="AJ156">
        <v>1.9</v>
      </c>
    </row>
    <row r="157" spans="1:36">
      <c r="A157" s="1" t="s">
        <v>558</v>
      </c>
      <c r="B157" t="s">
        <v>1422</v>
      </c>
      <c r="C157" t="str">
        <f>HYPERLINK("https://finance.naver.com/item/coinfo.nhn?code=004840", "A004840")</f>
        <v>A004840</v>
      </c>
      <c r="D157" t="str">
        <f>HYPERLINK("http://comp.fnguide.com/SVO2/ASP/SVD_Consensus.asp?pGB=1&amp;gicode=A004840&amp;cID=&amp;MenuYn=Y&amp;ReportGB=&amp;NewMenuID=108&amp;stkGb=701", "DRB동일")</f>
        <v>DRB동일</v>
      </c>
      <c r="E157">
        <v>3</v>
      </c>
      <c r="F157">
        <v>6810</v>
      </c>
      <c r="G157">
        <v>0</v>
      </c>
      <c r="H157">
        <v>11.81</v>
      </c>
      <c r="I157">
        <v>6419</v>
      </c>
      <c r="J157">
        <v>13615</v>
      </c>
      <c r="K157">
        <v>15660</v>
      </c>
      <c r="L157">
        <v>5.74</v>
      </c>
      <c r="M157">
        <v>-99.93</v>
      </c>
      <c r="N157">
        <v>-129.94999999999999</v>
      </c>
      <c r="O157">
        <v>2.77</v>
      </c>
      <c r="P157" t="b">
        <v>0</v>
      </c>
      <c r="Q157">
        <v>0</v>
      </c>
      <c r="R157">
        <v>445</v>
      </c>
      <c r="U157" t="s">
        <v>2286</v>
      </c>
      <c r="V157" t="s">
        <v>3150</v>
      </c>
      <c r="W157">
        <v>0</v>
      </c>
      <c r="X157">
        <v>-54.6</v>
      </c>
      <c r="Y157" t="s">
        <v>3960</v>
      </c>
      <c r="Z157">
        <v>-37.215762002208528</v>
      </c>
      <c r="AA157">
        <v>1357</v>
      </c>
      <c r="AB157">
        <v>67323</v>
      </c>
      <c r="AC157" t="s">
        <v>4805</v>
      </c>
      <c r="AD157">
        <v>69.75</v>
      </c>
      <c r="AE157" t="s">
        <v>5669</v>
      </c>
      <c r="AF157" t="s">
        <v>6498</v>
      </c>
      <c r="AG157">
        <v>5470</v>
      </c>
      <c r="AH157">
        <v>265</v>
      </c>
      <c r="AI157">
        <v>657636</v>
      </c>
      <c r="AJ157">
        <v>1.9</v>
      </c>
    </row>
    <row r="158" spans="1:36">
      <c r="A158" s="1" t="s">
        <v>125</v>
      </c>
      <c r="B158" t="s">
        <v>989</v>
      </c>
      <c r="C158" t="str">
        <f>HYPERLINK("https://finance.naver.com/item/coinfo.nhn?code=009300", "A009300")</f>
        <v>A009300</v>
      </c>
      <c r="D158" t="str">
        <f>HYPERLINK("http://comp.fnguide.com/SVO2/ASP/SVD_Consensus.asp?pGB=1&amp;gicode=A009300&amp;cID=&amp;MenuYn=Y&amp;ReportGB=&amp;NewMenuID=108&amp;stkGb=701", "삼아제약")</f>
        <v>삼아제약</v>
      </c>
      <c r="E158">
        <v>3</v>
      </c>
      <c r="F158">
        <v>16750</v>
      </c>
      <c r="G158">
        <v>0</v>
      </c>
      <c r="H158">
        <v>9.9600000000000009</v>
      </c>
      <c r="I158">
        <v>19367</v>
      </c>
      <c r="J158">
        <v>24286</v>
      </c>
      <c r="K158">
        <v>25684</v>
      </c>
      <c r="L158">
        <v>-15.63</v>
      </c>
      <c r="M158">
        <v>-44.99</v>
      </c>
      <c r="N158">
        <v>-53.34</v>
      </c>
      <c r="O158">
        <v>5.58</v>
      </c>
      <c r="P158" t="b">
        <v>1</v>
      </c>
      <c r="Q158">
        <v>0</v>
      </c>
      <c r="R158">
        <v>1601</v>
      </c>
      <c r="U158" t="s">
        <v>1853</v>
      </c>
      <c r="V158" t="s">
        <v>2717</v>
      </c>
      <c r="W158">
        <v>0</v>
      </c>
      <c r="X158">
        <v>-95.8</v>
      </c>
      <c r="Y158" t="s">
        <v>3570</v>
      </c>
      <c r="Z158">
        <v>-43.06373552609962</v>
      </c>
      <c r="AA158">
        <v>1067</v>
      </c>
      <c r="AB158">
        <v>13663</v>
      </c>
      <c r="AC158" t="s">
        <v>4372</v>
      </c>
      <c r="AD158">
        <v>65.58</v>
      </c>
      <c r="AE158" t="s">
        <v>5236</v>
      </c>
      <c r="AF158" t="s">
        <v>6093</v>
      </c>
      <c r="AG158">
        <v>716</v>
      </c>
      <c r="AH158">
        <v>104</v>
      </c>
      <c r="AI158">
        <v>266658</v>
      </c>
      <c r="AJ158">
        <v>1.88</v>
      </c>
    </row>
    <row r="159" spans="1:36">
      <c r="A159" s="1" t="s">
        <v>628</v>
      </c>
      <c r="B159" t="s">
        <v>1492</v>
      </c>
      <c r="C159" t="str">
        <f>HYPERLINK("https://finance.naver.com/item/coinfo.nhn?code=024070", "A024070")</f>
        <v>A024070</v>
      </c>
      <c r="D159" t="str">
        <f>HYPERLINK("http://comp.fnguide.com/SVO2/ASP/SVD_Consensus.asp?pGB=1&amp;gicode=A024070&amp;cID=&amp;MenuYn=Y&amp;ReportGB=&amp;NewMenuID=108&amp;stkGb=701", "WISCOM")</f>
        <v>WISCOM</v>
      </c>
      <c r="E159">
        <v>3</v>
      </c>
      <c r="F159">
        <v>2540</v>
      </c>
      <c r="G159">
        <v>0</v>
      </c>
      <c r="H159">
        <v>37.89</v>
      </c>
      <c r="I159">
        <v>747</v>
      </c>
      <c r="J159">
        <v>4930</v>
      </c>
      <c r="K159">
        <v>6119</v>
      </c>
      <c r="L159">
        <v>70.599999999999994</v>
      </c>
      <c r="M159">
        <v>-94.08</v>
      </c>
      <c r="N159">
        <v>-140.88999999999999</v>
      </c>
      <c r="O159">
        <v>0.77</v>
      </c>
      <c r="P159" t="b">
        <v>1</v>
      </c>
      <c r="Q159">
        <v>0</v>
      </c>
      <c r="R159">
        <v>70</v>
      </c>
      <c r="U159" t="s">
        <v>2356</v>
      </c>
      <c r="V159" t="s">
        <v>3220</v>
      </c>
      <c r="W159">
        <v>0</v>
      </c>
      <c r="X159">
        <v>0</v>
      </c>
      <c r="Y159" t="s">
        <v>4029</v>
      </c>
      <c r="Z159">
        <v>-21.42303080536222</v>
      </c>
      <c r="AA159">
        <v>389</v>
      </c>
      <c r="AB159">
        <v>48289</v>
      </c>
      <c r="AC159" t="s">
        <v>4875</v>
      </c>
      <c r="AD159">
        <v>50.95</v>
      </c>
      <c r="AE159" t="s">
        <v>5739</v>
      </c>
      <c r="AF159" t="s">
        <v>6567</v>
      </c>
      <c r="AG159">
        <v>1155</v>
      </c>
      <c r="AH159">
        <v>8</v>
      </c>
      <c r="AJ159">
        <v>1.88</v>
      </c>
    </row>
    <row r="160" spans="1:36">
      <c r="A160" s="1" t="s">
        <v>667</v>
      </c>
      <c r="B160" t="s">
        <v>1531</v>
      </c>
      <c r="C160" t="str">
        <f>HYPERLINK("https://finance.naver.com/item/coinfo.nhn?code=044820", "A044820")</f>
        <v>A044820</v>
      </c>
      <c r="D160" t="str">
        <f>HYPERLINK("http://comp.fnguide.com/SVO2/ASP/SVD_Consensus.asp?pGB=1&amp;gicode=A044820&amp;cID=&amp;MenuYn=Y&amp;ReportGB=&amp;NewMenuID=108&amp;stkGb=701", "코스맥스비티아이")</f>
        <v>코스맥스비티아이</v>
      </c>
      <c r="E160">
        <v>3</v>
      </c>
      <c r="F160">
        <v>17000</v>
      </c>
      <c r="G160">
        <v>0</v>
      </c>
      <c r="H160">
        <v>323.72000000000003</v>
      </c>
      <c r="I160">
        <v>5533</v>
      </c>
      <c r="J160">
        <v>21593</v>
      </c>
      <c r="K160">
        <v>26156</v>
      </c>
      <c r="L160">
        <v>67.45</v>
      </c>
      <c r="M160">
        <v>-27.02</v>
      </c>
      <c r="N160">
        <v>-53.86</v>
      </c>
      <c r="O160">
        <v>1.36</v>
      </c>
      <c r="P160" t="b">
        <v>0</v>
      </c>
      <c r="Q160">
        <v>0</v>
      </c>
      <c r="R160">
        <v>42</v>
      </c>
      <c r="U160" t="s">
        <v>2395</v>
      </c>
      <c r="V160" t="s">
        <v>3259</v>
      </c>
      <c r="W160">
        <v>0</v>
      </c>
      <c r="X160">
        <v>97.1</v>
      </c>
      <c r="Y160" t="s">
        <v>4063</v>
      </c>
      <c r="Z160">
        <v>-37.136309556247937</v>
      </c>
      <c r="AA160">
        <v>1633</v>
      </c>
      <c r="AB160">
        <v>32272</v>
      </c>
      <c r="AC160" t="s">
        <v>4914</v>
      </c>
      <c r="AD160">
        <v>61.04</v>
      </c>
      <c r="AE160" t="s">
        <v>5778</v>
      </c>
      <c r="AF160" t="s">
        <v>6602</v>
      </c>
      <c r="AG160">
        <v>4684</v>
      </c>
      <c r="AH160">
        <v>-73</v>
      </c>
      <c r="AI160">
        <v>49082</v>
      </c>
      <c r="AJ160">
        <v>1.86</v>
      </c>
    </row>
    <row r="161" spans="1:36">
      <c r="A161" s="1" t="s">
        <v>869</v>
      </c>
      <c r="B161" t="s">
        <v>1733</v>
      </c>
      <c r="C161" t="str">
        <f>HYPERLINK("https://finance.naver.com/item/coinfo.nhn?code=036670", "A036670")</f>
        <v>A036670</v>
      </c>
      <c r="D161" t="str">
        <f>HYPERLINK("http://comp.fnguide.com/SVO2/ASP/SVD_Consensus.asp?pGB=1&amp;gicode=A036670&amp;cID=&amp;MenuYn=Y&amp;ReportGB=&amp;NewMenuID=108&amp;stkGb=701", "KCI")</f>
        <v>KCI</v>
      </c>
      <c r="E161">
        <v>1</v>
      </c>
      <c r="F161">
        <v>9890</v>
      </c>
      <c r="G161">
        <v>0</v>
      </c>
      <c r="H161">
        <v>10.71</v>
      </c>
      <c r="I161">
        <v>12602</v>
      </c>
      <c r="J161">
        <v>8660</v>
      </c>
      <c r="K161">
        <v>7540</v>
      </c>
      <c r="L161">
        <v>-27.42</v>
      </c>
      <c r="M161">
        <v>12.44</v>
      </c>
      <c r="N161">
        <v>23.77</v>
      </c>
      <c r="O161">
        <v>16.54</v>
      </c>
      <c r="P161" t="b">
        <v>1</v>
      </c>
      <c r="Q161">
        <v>0</v>
      </c>
      <c r="R161">
        <v>1013</v>
      </c>
      <c r="U161" t="s">
        <v>2597</v>
      </c>
      <c r="V161" t="s">
        <v>3461</v>
      </c>
      <c r="W161">
        <v>0</v>
      </c>
      <c r="X161">
        <v>8.8000000000000007</v>
      </c>
      <c r="Y161" t="s">
        <v>4253</v>
      </c>
      <c r="Z161">
        <v>17.886120507146511</v>
      </c>
      <c r="AA161">
        <v>1115</v>
      </c>
      <c r="AB161">
        <v>61537</v>
      </c>
      <c r="AC161" t="s">
        <v>5116</v>
      </c>
      <c r="AD161">
        <v>50.02</v>
      </c>
      <c r="AE161" t="s">
        <v>5980</v>
      </c>
      <c r="AF161" t="s">
        <v>6786</v>
      </c>
      <c r="AG161">
        <v>696</v>
      </c>
      <c r="AH161">
        <v>145</v>
      </c>
      <c r="AI161">
        <v>509800</v>
      </c>
      <c r="AJ161">
        <v>1.84</v>
      </c>
    </row>
    <row r="162" spans="1:36">
      <c r="A162" s="1" t="s">
        <v>649</v>
      </c>
      <c r="B162" t="s">
        <v>1513</v>
      </c>
      <c r="C162" t="str">
        <f>HYPERLINK("https://finance.naver.com/item/coinfo.nhn?code=120030", "A120030")</f>
        <v>A120030</v>
      </c>
      <c r="D162" t="str">
        <f>HYPERLINK("http://comp.fnguide.com/SVO2/ASP/SVD_Consensus.asp?pGB=1&amp;gicode=A120030&amp;cID=&amp;MenuYn=Y&amp;ReportGB=&amp;NewMenuID=108&amp;stkGb=701", "조선선재")</f>
        <v>조선선재</v>
      </c>
      <c r="E162">
        <v>3</v>
      </c>
      <c r="F162">
        <v>107500</v>
      </c>
      <c r="G162">
        <v>0</v>
      </c>
      <c r="H162">
        <v>8.11</v>
      </c>
      <c r="I162">
        <v>169173</v>
      </c>
      <c r="J162">
        <v>131073</v>
      </c>
      <c r="K162">
        <v>120246</v>
      </c>
      <c r="L162">
        <v>-57.37</v>
      </c>
      <c r="M162">
        <v>-21.93</v>
      </c>
      <c r="N162">
        <v>-11.86</v>
      </c>
      <c r="O162">
        <v>12.69</v>
      </c>
      <c r="P162" t="b">
        <v>1</v>
      </c>
      <c r="Q162">
        <v>0</v>
      </c>
      <c r="R162">
        <v>10187</v>
      </c>
      <c r="U162" t="s">
        <v>2377</v>
      </c>
      <c r="V162" t="s">
        <v>3241</v>
      </c>
      <c r="W162">
        <v>0</v>
      </c>
      <c r="X162">
        <v>-12.9</v>
      </c>
      <c r="Y162" t="s">
        <v>4047</v>
      </c>
      <c r="Z162">
        <v>-5.1761203423303366</v>
      </c>
      <c r="AA162">
        <v>1352</v>
      </c>
      <c r="AB162">
        <v>5027</v>
      </c>
      <c r="AC162" t="s">
        <v>4896</v>
      </c>
      <c r="AD162">
        <v>51.84</v>
      </c>
      <c r="AE162" t="s">
        <v>5760</v>
      </c>
      <c r="AF162" t="s">
        <v>6585</v>
      </c>
      <c r="AG162">
        <v>640</v>
      </c>
      <c r="AH162">
        <v>141</v>
      </c>
      <c r="AI162">
        <v>213717</v>
      </c>
      <c r="AJ162">
        <v>1.82</v>
      </c>
    </row>
    <row r="163" spans="1:36">
      <c r="A163" s="1" t="s">
        <v>309</v>
      </c>
      <c r="B163" t="s">
        <v>1173</v>
      </c>
      <c r="C163" t="str">
        <f>HYPERLINK("https://finance.naver.com/item/coinfo.nhn?code=251970", "A251970")</f>
        <v>A251970</v>
      </c>
      <c r="D163" t="str">
        <f>HYPERLINK("http://comp.fnguide.com/SVO2/ASP/SVD_Consensus.asp?pGB=1&amp;gicode=A251970&amp;cID=&amp;MenuYn=Y&amp;ReportGB=&amp;NewMenuID=108&amp;stkGb=701", "펌텍코리아")</f>
        <v>펌텍코리아</v>
      </c>
      <c r="E163">
        <v>3</v>
      </c>
      <c r="F163">
        <v>16250</v>
      </c>
      <c r="G163">
        <v>0</v>
      </c>
      <c r="H163">
        <v>11.08</v>
      </c>
      <c r="I163">
        <v>35579</v>
      </c>
      <c r="J163">
        <v>21345</v>
      </c>
      <c r="K163">
        <v>17300</v>
      </c>
      <c r="L163">
        <v>-118.95</v>
      </c>
      <c r="M163">
        <v>-31.35</v>
      </c>
      <c r="N163">
        <v>-6.46</v>
      </c>
      <c r="O163">
        <v>23.7</v>
      </c>
      <c r="P163" t="b">
        <v>1</v>
      </c>
      <c r="Q163">
        <v>0</v>
      </c>
      <c r="R163">
        <v>1661</v>
      </c>
      <c r="U163" t="s">
        <v>2037</v>
      </c>
      <c r="V163" t="s">
        <v>2901</v>
      </c>
      <c r="W163">
        <v>0</v>
      </c>
      <c r="X163">
        <v>-3.2</v>
      </c>
      <c r="Y163" t="s">
        <v>3737</v>
      </c>
      <c r="Z163">
        <v>-4.7638557762942018</v>
      </c>
      <c r="AA163">
        <v>2015</v>
      </c>
      <c r="AB163">
        <v>80998</v>
      </c>
      <c r="AC163" t="s">
        <v>4556</v>
      </c>
      <c r="AD163">
        <v>61.4</v>
      </c>
      <c r="AE163" t="s">
        <v>5420</v>
      </c>
      <c r="AF163" t="s">
        <v>6270</v>
      </c>
      <c r="AG163">
        <v>1754</v>
      </c>
      <c r="AH163">
        <v>269</v>
      </c>
      <c r="AI163">
        <v>287382</v>
      </c>
      <c r="AJ163">
        <v>1.79</v>
      </c>
    </row>
    <row r="164" spans="1:36">
      <c r="A164" s="1" t="s">
        <v>442</v>
      </c>
      <c r="B164" t="s">
        <v>1306</v>
      </c>
      <c r="C164" t="str">
        <f>HYPERLINK("https://finance.naver.com/item/coinfo.nhn?code=163560", "A163560")</f>
        <v>A163560</v>
      </c>
      <c r="D164" t="str">
        <f>HYPERLINK("http://comp.fnguide.com/SVO2/ASP/SVD_Consensus.asp?pGB=1&amp;gicode=A163560&amp;cID=&amp;MenuYn=Y&amp;ReportGB=&amp;NewMenuID=108&amp;stkGb=701", "동일고무벨트")</f>
        <v>동일고무벨트</v>
      </c>
      <c r="E164">
        <v>3</v>
      </c>
      <c r="F164">
        <v>9740</v>
      </c>
      <c r="G164">
        <v>0</v>
      </c>
      <c r="H164">
        <v>9.09</v>
      </c>
      <c r="I164">
        <v>7431</v>
      </c>
      <c r="J164">
        <v>11490</v>
      </c>
      <c r="K164">
        <v>12644</v>
      </c>
      <c r="L164">
        <v>23.71</v>
      </c>
      <c r="M164">
        <v>-17.97</v>
      </c>
      <c r="N164">
        <v>-29.81</v>
      </c>
      <c r="O164">
        <v>4.16</v>
      </c>
      <c r="P164" t="b">
        <v>1</v>
      </c>
      <c r="Q164">
        <v>0</v>
      </c>
      <c r="R164">
        <v>606</v>
      </c>
      <c r="U164" t="s">
        <v>2170</v>
      </c>
      <c r="V164" t="s">
        <v>3034</v>
      </c>
      <c r="W164">
        <v>0</v>
      </c>
      <c r="X164">
        <v>-13.8</v>
      </c>
      <c r="Y164" t="s">
        <v>3850</v>
      </c>
      <c r="Z164">
        <v>-18.09867213398017</v>
      </c>
      <c r="AA164">
        <v>1330</v>
      </c>
      <c r="AB164">
        <v>107064</v>
      </c>
      <c r="AC164" t="s">
        <v>4689</v>
      </c>
      <c r="AD164">
        <v>69.760000000000005</v>
      </c>
      <c r="AE164" t="s">
        <v>5553</v>
      </c>
      <c r="AF164" t="s">
        <v>6386</v>
      </c>
      <c r="AG164">
        <v>2619</v>
      </c>
      <c r="AH164">
        <v>144</v>
      </c>
      <c r="AI164">
        <v>1691</v>
      </c>
      <c r="AJ164">
        <v>1.78</v>
      </c>
    </row>
    <row r="165" spans="1:36">
      <c r="A165" s="1" t="s">
        <v>857</v>
      </c>
      <c r="B165" t="s">
        <v>1721</v>
      </c>
      <c r="C165" t="str">
        <f>HYPERLINK("https://finance.naver.com/item/coinfo.nhn?code=033290", "A033290")</f>
        <v>A033290</v>
      </c>
      <c r="D165" t="str">
        <f>HYPERLINK("http://comp.fnguide.com/SVO2/ASP/SVD_Consensus.asp?pGB=1&amp;gicode=A033290&amp;cID=&amp;MenuYn=Y&amp;ReportGB=&amp;NewMenuID=108&amp;stkGb=701", "코웰패션")</f>
        <v>코웰패션</v>
      </c>
      <c r="E165">
        <v>1</v>
      </c>
      <c r="F165">
        <v>5660</v>
      </c>
      <c r="G165">
        <v>0.88</v>
      </c>
      <c r="H165">
        <v>9.93</v>
      </c>
      <c r="I165">
        <v>9306</v>
      </c>
      <c r="J165">
        <v>5468</v>
      </c>
      <c r="K165">
        <v>4377</v>
      </c>
      <c r="L165">
        <v>-64.42</v>
      </c>
      <c r="M165">
        <v>3.39</v>
      </c>
      <c r="N165">
        <v>22.66</v>
      </c>
      <c r="O165">
        <v>25.25</v>
      </c>
      <c r="P165" t="b">
        <v>1</v>
      </c>
      <c r="Q165">
        <v>3</v>
      </c>
      <c r="R165">
        <v>568</v>
      </c>
      <c r="S165">
        <v>665</v>
      </c>
      <c r="T165">
        <v>17.100000000000001</v>
      </c>
      <c r="U165" t="s">
        <v>2585</v>
      </c>
      <c r="V165" t="s">
        <v>3449</v>
      </c>
      <c r="W165">
        <v>11.237405925263189</v>
      </c>
      <c r="X165">
        <v>22.4</v>
      </c>
      <c r="Y165" t="s">
        <v>4243</v>
      </c>
      <c r="Z165">
        <v>41.205091584420941</v>
      </c>
      <c r="AA165">
        <v>5009</v>
      </c>
      <c r="AB165">
        <v>204337</v>
      </c>
      <c r="AC165" t="s">
        <v>5104</v>
      </c>
      <c r="AD165">
        <v>70.83</v>
      </c>
      <c r="AE165" t="s">
        <v>5968</v>
      </c>
      <c r="AF165" t="s">
        <v>6775</v>
      </c>
      <c r="AG165">
        <v>3947</v>
      </c>
      <c r="AH165">
        <v>761</v>
      </c>
      <c r="AI165">
        <v>5171107</v>
      </c>
      <c r="AJ165">
        <v>1.77</v>
      </c>
    </row>
    <row r="166" spans="1:36">
      <c r="A166" s="1" t="s">
        <v>197</v>
      </c>
      <c r="B166" t="s">
        <v>1061</v>
      </c>
      <c r="C166" t="str">
        <f>HYPERLINK("https://finance.naver.com/item/coinfo.nhn?code=066620", "A066620")</f>
        <v>A066620</v>
      </c>
      <c r="D166" t="str">
        <f>HYPERLINK("http://comp.fnguide.com/SVO2/ASP/SVD_Consensus.asp?pGB=1&amp;gicode=A066620&amp;cID=&amp;MenuYn=Y&amp;ReportGB=&amp;NewMenuID=108&amp;stkGb=701", "국보디자인")</f>
        <v>국보디자인</v>
      </c>
      <c r="E166">
        <v>3</v>
      </c>
      <c r="F166">
        <v>17150</v>
      </c>
      <c r="G166">
        <v>0</v>
      </c>
      <c r="H166">
        <v>8.02</v>
      </c>
      <c r="I166">
        <v>31011</v>
      </c>
      <c r="J166">
        <v>23156</v>
      </c>
      <c r="K166">
        <v>20923</v>
      </c>
      <c r="L166">
        <v>-80.819999999999993</v>
      </c>
      <c r="M166">
        <v>-35.020000000000003</v>
      </c>
      <c r="N166">
        <v>-22</v>
      </c>
      <c r="O166">
        <v>13.71</v>
      </c>
      <c r="P166" t="b">
        <v>1</v>
      </c>
      <c r="Q166">
        <v>0</v>
      </c>
      <c r="R166">
        <v>2126</v>
      </c>
      <c r="U166" t="s">
        <v>1925</v>
      </c>
      <c r="V166" t="s">
        <v>2789</v>
      </c>
      <c r="W166">
        <v>0</v>
      </c>
      <c r="X166">
        <v>21.4</v>
      </c>
      <c r="Y166" t="s">
        <v>3640</v>
      </c>
      <c r="Z166">
        <v>12.42884827928215</v>
      </c>
      <c r="AA166">
        <v>1286</v>
      </c>
      <c r="AB166">
        <v>18865</v>
      </c>
      <c r="AC166" t="s">
        <v>4444</v>
      </c>
      <c r="AD166">
        <v>53.09</v>
      </c>
      <c r="AE166" t="s">
        <v>5308</v>
      </c>
      <c r="AF166" t="s">
        <v>6165</v>
      </c>
      <c r="AG166">
        <v>2690</v>
      </c>
      <c r="AH166">
        <v>116</v>
      </c>
      <c r="AI166">
        <v>627314</v>
      </c>
      <c r="AJ166">
        <v>1.76</v>
      </c>
    </row>
    <row r="167" spans="1:36">
      <c r="A167" s="1" t="s">
        <v>150</v>
      </c>
      <c r="B167" t="s">
        <v>1014</v>
      </c>
      <c r="C167" t="str">
        <f>HYPERLINK("https://finance.naver.com/item/coinfo.nhn?code=126560", "A126560")</f>
        <v>A126560</v>
      </c>
      <c r="D167" t="str">
        <f>HYPERLINK("http://comp.fnguide.com/SVO2/ASP/SVD_Consensus.asp?pGB=1&amp;gicode=A126560&amp;cID=&amp;MenuYn=Y&amp;ReportGB=&amp;NewMenuID=108&amp;stkGb=701", "현대퓨처넷")</f>
        <v>현대퓨처넷</v>
      </c>
      <c r="E167">
        <v>3</v>
      </c>
      <c r="F167">
        <v>4010</v>
      </c>
      <c r="G167">
        <v>0</v>
      </c>
      <c r="H167">
        <v>10.18</v>
      </c>
      <c r="I167">
        <v>4779</v>
      </c>
      <c r="J167">
        <v>5954</v>
      </c>
      <c r="K167">
        <v>6288</v>
      </c>
      <c r="L167">
        <v>-19.170000000000002</v>
      </c>
      <c r="M167">
        <v>-48.47</v>
      </c>
      <c r="N167">
        <v>-56.8</v>
      </c>
      <c r="O167">
        <v>5.64</v>
      </c>
      <c r="P167" t="b">
        <v>1</v>
      </c>
      <c r="Q167">
        <v>0</v>
      </c>
      <c r="R167">
        <v>335</v>
      </c>
      <c r="U167" t="s">
        <v>1878</v>
      </c>
      <c r="V167" t="s">
        <v>2742</v>
      </c>
      <c r="W167">
        <v>0</v>
      </c>
      <c r="X167">
        <v>-14.8</v>
      </c>
      <c r="Y167" t="s">
        <v>3594</v>
      </c>
      <c r="Z167">
        <v>-3.6020395943558552</v>
      </c>
      <c r="AA167">
        <v>4526</v>
      </c>
      <c r="AB167">
        <v>11730922</v>
      </c>
      <c r="AC167" t="s">
        <v>4397</v>
      </c>
      <c r="AD167">
        <v>66.209999999999994</v>
      </c>
      <c r="AE167" t="s">
        <v>5261</v>
      </c>
      <c r="AF167" t="s">
        <v>6118</v>
      </c>
      <c r="AG167">
        <v>2929</v>
      </c>
      <c r="AH167">
        <v>408</v>
      </c>
      <c r="AI167">
        <v>2723241</v>
      </c>
      <c r="AJ167">
        <v>1.76</v>
      </c>
    </row>
    <row r="168" spans="1:36">
      <c r="A168" s="1" t="s">
        <v>821</v>
      </c>
      <c r="B168" t="s">
        <v>1685</v>
      </c>
      <c r="C168" t="str">
        <f>HYPERLINK("https://finance.naver.com/item/coinfo.nhn?code=067280", "A067280")</f>
        <v>A067280</v>
      </c>
      <c r="D168" t="str">
        <f>HYPERLINK("http://comp.fnguide.com/SVO2/ASP/SVD_Consensus.asp?pGB=1&amp;gicode=A067280&amp;cID=&amp;MenuYn=Y&amp;ReportGB=&amp;NewMenuID=108&amp;stkGb=701", "멀티캠퍼스")</f>
        <v>멀티캠퍼스</v>
      </c>
      <c r="E168">
        <v>1</v>
      </c>
      <c r="F168">
        <v>34500</v>
      </c>
      <c r="G168">
        <v>0</v>
      </c>
      <c r="H168">
        <v>11.03</v>
      </c>
      <c r="I168">
        <v>42186</v>
      </c>
      <c r="J168">
        <v>27940</v>
      </c>
      <c r="K168">
        <v>23892</v>
      </c>
      <c r="L168">
        <v>-22.28</v>
      </c>
      <c r="M168">
        <v>19.010000000000002</v>
      </c>
      <c r="N168">
        <v>30.75</v>
      </c>
      <c r="O168">
        <v>18.100000000000001</v>
      </c>
      <c r="P168" t="b">
        <v>1</v>
      </c>
      <c r="Q168">
        <v>0</v>
      </c>
      <c r="R168">
        <v>3143</v>
      </c>
      <c r="U168" t="s">
        <v>2549</v>
      </c>
      <c r="V168" t="s">
        <v>3413</v>
      </c>
      <c r="W168">
        <v>0</v>
      </c>
      <c r="X168">
        <v>-62</v>
      </c>
      <c r="Y168" t="s">
        <v>4207</v>
      </c>
      <c r="Z168">
        <v>-7.4099425031352588</v>
      </c>
      <c r="AA168">
        <v>2045</v>
      </c>
      <c r="AB168">
        <v>17282</v>
      </c>
      <c r="AC168" t="s">
        <v>5068</v>
      </c>
      <c r="AD168">
        <v>62.44</v>
      </c>
      <c r="AE168" t="s">
        <v>5932</v>
      </c>
      <c r="AF168" t="s">
        <v>6740</v>
      </c>
      <c r="AG168">
        <v>2880</v>
      </c>
      <c r="AH168">
        <v>242</v>
      </c>
      <c r="AJ168">
        <v>1.73</v>
      </c>
    </row>
    <row r="169" spans="1:36">
      <c r="A169" s="1" t="s">
        <v>154</v>
      </c>
      <c r="B169" t="s">
        <v>1018</v>
      </c>
      <c r="C169" t="str">
        <f>HYPERLINK("https://finance.naver.com/item/coinfo.nhn?code=111110", "A111110")</f>
        <v>A111110</v>
      </c>
      <c r="D169" t="str">
        <f>HYPERLINK("http://comp.fnguide.com/SVO2/ASP/SVD_Consensus.asp?pGB=1&amp;gicode=A111110&amp;cID=&amp;MenuYn=Y&amp;ReportGB=&amp;NewMenuID=108&amp;stkGb=701", "호전실업")</f>
        <v>호전실업</v>
      </c>
      <c r="E169">
        <v>3</v>
      </c>
      <c r="F169">
        <v>9260</v>
      </c>
      <c r="G169">
        <v>0</v>
      </c>
      <c r="H169">
        <v>44.41</v>
      </c>
      <c r="I169">
        <v>6533</v>
      </c>
      <c r="J169">
        <v>12546</v>
      </c>
      <c r="K169">
        <v>14255</v>
      </c>
      <c r="L169">
        <v>29.45</v>
      </c>
      <c r="M169">
        <v>-35.49</v>
      </c>
      <c r="N169">
        <v>-53.95</v>
      </c>
      <c r="O169">
        <v>3.14</v>
      </c>
      <c r="P169" t="b">
        <v>1</v>
      </c>
      <c r="Q169">
        <v>0</v>
      </c>
      <c r="R169">
        <v>327</v>
      </c>
      <c r="S169">
        <v>-671</v>
      </c>
      <c r="T169">
        <v>-305.2</v>
      </c>
      <c r="U169" t="s">
        <v>1882</v>
      </c>
      <c r="V169" t="s">
        <v>2746</v>
      </c>
      <c r="W169">
        <v>0</v>
      </c>
      <c r="X169">
        <v>0</v>
      </c>
      <c r="Y169" t="s">
        <v>3598</v>
      </c>
      <c r="Z169">
        <v>-47.607889785393951</v>
      </c>
      <c r="AA169">
        <v>741</v>
      </c>
      <c r="AB169">
        <v>33821</v>
      </c>
      <c r="AC169" t="s">
        <v>4401</v>
      </c>
      <c r="AD169">
        <v>51.06</v>
      </c>
      <c r="AE169" t="s">
        <v>5265</v>
      </c>
      <c r="AF169" t="s">
        <v>6122</v>
      </c>
      <c r="AG169">
        <v>3098</v>
      </c>
      <c r="AH169">
        <v>193</v>
      </c>
      <c r="AI169">
        <v>497472</v>
      </c>
      <c r="AJ169">
        <v>1.72</v>
      </c>
    </row>
    <row r="170" spans="1:36">
      <c r="A170" s="1" t="s">
        <v>882</v>
      </c>
      <c r="B170" t="s">
        <v>1746</v>
      </c>
      <c r="C170" t="str">
        <f>HYPERLINK("https://finance.naver.com/item/coinfo.nhn?code=318010", "A318010")</f>
        <v>A318010</v>
      </c>
      <c r="D170" t="str">
        <f>HYPERLINK("http://comp.fnguide.com/SVO2/ASP/SVD_Consensus.asp?pGB=1&amp;gicode=A318010&amp;cID=&amp;MenuYn=Y&amp;ReportGB=&amp;NewMenuID=108&amp;stkGb=701", "팜스빌")</f>
        <v>팜스빌</v>
      </c>
      <c r="E170">
        <v>1</v>
      </c>
      <c r="F170">
        <v>10950</v>
      </c>
      <c r="G170">
        <v>0</v>
      </c>
      <c r="H170">
        <v>10.71</v>
      </c>
      <c r="I170">
        <v>14078</v>
      </c>
      <c r="J170">
        <v>9856</v>
      </c>
      <c r="K170">
        <v>8656</v>
      </c>
      <c r="L170">
        <v>-28.57</v>
      </c>
      <c r="M170">
        <v>9.99</v>
      </c>
      <c r="N170">
        <v>20.95</v>
      </c>
      <c r="O170">
        <v>15.83</v>
      </c>
      <c r="P170" t="b">
        <v>1</v>
      </c>
      <c r="Q170">
        <v>0</v>
      </c>
      <c r="R170">
        <v>1092</v>
      </c>
      <c r="U170" t="s">
        <v>2610</v>
      </c>
      <c r="V170" t="s">
        <v>3474</v>
      </c>
      <c r="W170">
        <v>0</v>
      </c>
      <c r="X170">
        <v>-46.9</v>
      </c>
      <c r="Y170" t="s">
        <v>4266</v>
      </c>
      <c r="Z170">
        <v>-4.373925992095085</v>
      </c>
      <c r="AA170">
        <v>868</v>
      </c>
      <c r="AB170">
        <v>12335</v>
      </c>
      <c r="AC170" t="s">
        <v>5129</v>
      </c>
      <c r="AD170">
        <v>70.37</v>
      </c>
      <c r="AE170" t="s">
        <v>5993</v>
      </c>
      <c r="AF170" t="s">
        <v>6799</v>
      </c>
      <c r="AG170">
        <v>300</v>
      </c>
      <c r="AH170">
        <v>71</v>
      </c>
      <c r="AI170">
        <v>82908</v>
      </c>
      <c r="AJ170">
        <v>1.71</v>
      </c>
    </row>
    <row r="171" spans="1:36">
      <c r="A171" s="1" t="s">
        <v>586</v>
      </c>
      <c r="B171" t="s">
        <v>1450</v>
      </c>
      <c r="C171" t="str">
        <f>HYPERLINK("https://finance.naver.com/item/coinfo.nhn?code=002240", "A002240")</f>
        <v>A002240</v>
      </c>
      <c r="D171" t="str">
        <f>HYPERLINK("http://comp.fnguide.com/SVO2/ASP/SVD_Consensus.asp?pGB=1&amp;gicode=A002240&amp;cID=&amp;MenuYn=Y&amp;ReportGB=&amp;NewMenuID=108&amp;stkGb=701", "고려제강")</f>
        <v>고려제강</v>
      </c>
      <c r="E171">
        <v>3</v>
      </c>
      <c r="F171">
        <v>16450</v>
      </c>
      <c r="G171">
        <v>0</v>
      </c>
      <c r="H171">
        <v>41.18</v>
      </c>
      <c r="I171">
        <v>6373</v>
      </c>
      <c r="J171">
        <v>43963</v>
      </c>
      <c r="K171">
        <v>54646</v>
      </c>
      <c r="L171">
        <v>61.26</v>
      </c>
      <c r="M171">
        <v>-167.25</v>
      </c>
      <c r="N171">
        <v>-232.19</v>
      </c>
      <c r="O171">
        <v>0.73</v>
      </c>
      <c r="P171" t="b">
        <v>0</v>
      </c>
      <c r="Q171">
        <v>0</v>
      </c>
      <c r="R171">
        <v>499</v>
      </c>
      <c r="U171" t="s">
        <v>2314</v>
      </c>
      <c r="V171" t="s">
        <v>3178</v>
      </c>
      <c r="W171">
        <v>0</v>
      </c>
      <c r="X171">
        <v>0</v>
      </c>
      <c r="Y171" t="s">
        <v>3988</v>
      </c>
      <c r="Z171">
        <v>-15.26801839077763</v>
      </c>
      <c r="AA171">
        <v>3290</v>
      </c>
      <c r="AB171">
        <v>29996</v>
      </c>
      <c r="AC171" t="s">
        <v>4833</v>
      </c>
      <c r="AD171">
        <v>67.349999999999994</v>
      </c>
      <c r="AE171" t="s">
        <v>5697</v>
      </c>
      <c r="AF171" t="s">
        <v>6526</v>
      </c>
      <c r="AG171">
        <v>16397</v>
      </c>
      <c r="AH171">
        <v>317</v>
      </c>
      <c r="AI171">
        <v>5616</v>
      </c>
      <c r="AJ171">
        <v>1.7</v>
      </c>
    </row>
    <row r="172" spans="1:36">
      <c r="A172" s="1" t="s">
        <v>85</v>
      </c>
      <c r="B172" t="s">
        <v>949</v>
      </c>
      <c r="C172" t="str">
        <f>HYPERLINK("https://finance.naver.com/item/coinfo.nhn?code=054050", "A054050")</f>
        <v>A054050</v>
      </c>
      <c r="D172" t="str">
        <f>HYPERLINK("http://comp.fnguide.com/SVO2/ASP/SVD_Consensus.asp?pGB=1&amp;gicode=A054050&amp;cID=&amp;MenuYn=Y&amp;ReportGB=&amp;NewMenuID=108&amp;stkGb=701", "농우바이오")</f>
        <v>농우바이오</v>
      </c>
      <c r="E172">
        <v>3</v>
      </c>
      <c r="F172">
        <v>10300</v>
      </c>
      <c r="G172">
        <v>0</v>
      </c>
      <c r="H172">
        <v>27.2</v>
      </c>
      <c r="I172">
        <v>13044</v>
      </c>
      <c r="J172">
        <v>13858</v>
      </c>
      <c r="K172">
        <v>14090</v>
      </c>
      <c r="L172">
        <v>-26.64</v>
      </c>
      <c r="M172">
        <v>-34.549999999999997</v>
      </c>
      <c r="N172">
        <v>-36.79</v>
      </c>
      <c r="O172">
        <v>7.19</v>
      </c>
      <c r="P172" t="b">
        <v>0</v>
      </c>
      <c r="Q172">
        <v>0</v>
      </c>
      <c r="R172">
        <v>436</v>
      </c>
      <c r="U172" t="s">
        <v>1813</v>
      </c>
      <c r="V172" t="s">
        <v>2677</v>
      </c>
      <c r="W172">
        <v>0</v>
      </c>
      <c r="X172">
        <v>30.7</v>
      </c>
      <c r="Y172" t="s">
        <v>3536</v>
      </c>
      <c r="Z172">
        <v>-4.4073838735749993</v>
      </c>
      <c r="AA172">
        <v>1651</v>
      </c>
      <c r="AB172">
        <v>40915</v>
      </c>
      <c r="AC172" t="s">
        <v>4332</v>
      </c>
      <c r="AD172">
        <v>57.91</v>
      </c>
      <c r="AE172" t="s">
        <v>5196</v>
      </c>
      <c r="AF172" t="s">
        <v>6058</v>
      </c>
      <c r="AG172">
        <v>1213</v>
      </c>
      <c r="AH172">
        <v>39</v>
      </c>
      <c r="AJ172">
        <v>1.69</v>
      </c>
    </row>
    <row r="173" spans="1:36">
      <c r="A173" s="1" t="s">
        <v>682</v>
      </c>
      <c r="B173" t="s">
        <v>1546</v>
      </c>
      <c r="C173" t="str">
        <f>HYPERLINK("https://finance.naver.com/item/coinfo.nhn?code=025820", "A025820")</f>
        <v>A025820</v>
      </c>
      <c r="D173" t="str">
        <f>HYPERLINK("http://comp.fnguide.com/SVO2/ASP/SVD_Consensus.asp?pGB=1&amp;gicode=A025820&amp;cID=&amp;MenuYn=Y&amp;ReportGB=&amp;NewMenuID=108&amp;stkGb=701", "이구산업")</f>
        <v>이구산업</v>
      </c>
      <c r="E173">
        <v>3</v>
      </c>
      <c r="F173">
        <v>1870</v>
      </c>
      <c r="G173">
        <v>0</v>
      </c>
      <c r="I173">
        <v>676</v>
      </c>
      <c r="J173">
        <v>2090</v>
      </c>
      <c r="K173">
        <v>2492</v>
      </c>
      <c r="L173">
        <v>63.86</v>
      </c>
      <c r="M173">
        <v>-11.77</v>
      </c>
      <c r="N173">
        <v>-33.26</v>
      </c>
      <c r="O173">
        <v>1.77</v>
      </c>
      <c r="P173" t="b">
        <v>0</v>
      </c>
      <c r="Q173">
        <v>0</v>
      </c>
      <c r="R173">
        <v>-100</v>
      </c>
      <c r="U173" t="s">
        <v>2410</v>
      </c>
      <c r="V173" t="s">
        <v>3274</v>
      </c>
      <c r="W173">
        <v>0</v>
      </c>
      <c r="X173">
        <v>0</v>
      </c>
      <c r="Y173" t="s">
        <v>4076</v>
      </c>
      <c r="Z173">
        <v>150</v>
      </c>
      <c r="AA173">
        <v>625</v>
      </c>
      <c r="AB173">
        <v>265234</v>
      </c>
      <c r="AC173" t="s">
        <v>4929</v>
      </c>
      <c r="AD173">
        <v>51.4</v>
      </c>
      <c r="AE173" t="s">
        <v>5793</v>
      </c>
      <c r="AF173" t="s">
        <v>6615</v>
      </c>
      <c r="AG173">
        <v>2103</v>
      </c>
      <c r="AH173">
        <v>6</v>
      </c>
      <c r="AI173">
        <v>1211</v>
      </c>
      <c r="AJ173">
        <v>1.69</v>
      </c>
    </row>
    <row r="174" spans="1:36">
      <c r="A174" s="1" t="s">
        <v>499</v>
      </c>
      <c r="B174" t="s">
        <v>1363</v>
      </c>
      <c r="C174" t="str">
        <f>HYPERLINK("https://finance.naver.com/item/coinfo.nhn?code=002170", "A002170")</f>
        <v>A002170</v>
      </c>
      <c r="D174" t="str">
        <f>HYPERLINK("http://comp.fnguide.com/SVO2/ASP/SVD_Consensus.asp?pGB=1&amp;gicode=A002170&amp;cID=&amp;MenuYn=Y&amp;ReportGB=&amp;NewMenuID=108&amp;stkGb=701", "삼양통상")</f>
        <v>삼양통상</v>
      </c>
      <c r="E174">
        <v>3</v>
      </c>
      <c r="F174">
        <v>62700</v>
      </c>
      <c r="G174">
        <v>0</v>
      </c>
      <c r="H174">
        <v>4.07</v>
      </c>
      <c r="I174">
        <v>169839</v>
      </c>
      <c r="J174">
        <v>137058</v>
      </c>
      <c r="K174">
        <v>127743</v>
      </c>
      <c r="L174">
        <v>-170.88</v>
      </c>
      <c r="M174">
        <v>-118.59</v>
      </c>
      <c r="N174">
        <v>-103.74</v>
      </c>
      <c r="O174">
        <v>11.69</v>
      </c>
      <c r="P174" t="b">
        <v>1</v>
      </c>
      <c r="Q174">
        <v>0</v>
      </c>
      <c r="R174">
        <v>14733</v>
      </c>
      <c r="U174" t="s">
        <v>2227</v>
      </c>
      <c r="V174" t="s">
        <v>3091</v>
      </c>
      <c r="W174">
        <v>0</v>
      </c>
      <c r="X174">
        <v>4.0999999999999996</v>
      </c>
      <c r="Y174" t="s">
        <v>3903</v>
      </c>
      <c r="Z174">
        <v>34.319433093417828</v>
      </c>
      <c r="AA174">
        <v>1881</v>
      </c>
      <c r="AB174">
        <v>4661</v>
      </c>
      <c r="AC174" t="s">
        <v>4746</v>
      </c>
      <c r="AD174">
        <v>54.39</v>
      </c>
      <c r="AE174" t="s">
        <v>5610</v>
      </c>
      <c r="AF174" t="s">
        <v>6441</v>
      </c>
      <c r="AG174">
        <v>1921</v>
      </c>
      <c r="AH174">
        <v>494</v>
      </c>
      <c r="AI174">
        <v>150575</v>
      </c>
      <c r="AJ174">
        <v>1.67</v>
      </c>
    </row>
    <row r="175" spans="1:36">
      <c r="A175" s="1" t="s">
        <v>366</v>
      </c>
      <c r="B175" t="s">
        <v>1230</v>
      </c>
      <c r="C175" t="str">
        <f>HYPERLINK("https://finance.naver.com/item/coinfo.nhn?code=037760", "A037760")</f>
        <v>A037760</v>
      </c>
      <c r="D175" t="str">
        <f>HYPERLINK("http://comp.fnguide.com/SVO2/ASP/SVD_Consensus.asp?pGB=1&amp;gicode=A037760&amp;cID=&amp;MenuYn=Y&amp;ReportGB=&amp;NewMenuID=108&amp;stkGb=701", "쎄니트")</f>
        <v>쎄니트</v>
      </c>
      <c r="E175">
        <v>3</v>
      </c>
      <c r="F175">
        <v>1705</v>
      </c>
      <c r="G175">
        <v>0</v>
      </c>
      <c r="H175">
        <v>30.42</v>
      </c>
      <c r="I175">
        <v>1296</v>
      </c>
      <c r="J175">
        <v>1888</v>
      </c>
      <c r="K175">
        <v>2056</v>
      </c>
      <c r="L175">
        <v>23.97</v>
      </c>
      <c r="M175">
        <v>-10.73</v>
      </c>
      <c r="N175">
        <v>-20.59</v>
      </c>
      <c r="O175">
        <v>4.5199999999999996</v>
      </c>
      <c r="P175" t="b">
        <v>1</v>
      </c>
      <c r="Q175">
        <v>0</v>
      </c>
      <c r="R175">
        <v>62</v>
      </c>
      <c r="U175" t="s">
        <v>2094</v>
      </c>
      <c r="V175" t="s">
        <v>2958</v>
      </c>
      <c r="W175">
        <v>0</v>
      </c>
      <c r="X175">
        <v>142.1</v>
      </c>
      <c r="Y175" t="s">
        <v>3778</v>
      </c>
      <c r="Z175">
        <v>-9.3274463629150706</v>
      </c>
      <c r="AA175">
        <v>577</v>
      </c>
      <c r="AB175">
        <v>100439</v>
      </c>
      <c r="AC175" t="s">
        <v>4613</v>
      </c>
      <c r="AD175">
        <v>55.01</v>
      </c>
      <c r="AE175" t="s">
        <v>5477</v>
      </c>
      <c r="AF175" t="s">
        <v>6316</v>
      </c>
      <c r="AG175">
        <v>1097</v>
      </c>
      <c r="AH175">
        <v>57</v>
      </c>
      <c r="AI175">
        <v>2030000</v>
      </c>
      <c r="AJ175">
        <v>1.59</v>
      </c>
    </row>
    <row r="176" spans="1:36">
      <c r="A176" s="1" t="s">
        <v>887</v>
      </c>
      <c r="B176" t="s">
        <v>1751</v>
      </c>
      <c r="C176" t="str">
        <f>HYPERLINK("https://finance.naver.com/item/coinfo.nhn?code=018250", "A018250")</f>
        <v>A018250</v>
      </c>
      <c r="D176" t="str">
        <f>HYPERLINK("http://comp.fnguide.com/SVO2/ASP/SVD_Consensus.asp?pGB=1&amp;gicode=A018250&amp;cID=&amp;MenuYn=Y&amp;ReportGB=&amp;NewMenuID=108&amp;stkGb=701", "애경산업")</f>
        <v>애경산업</v>
      </c>
      <c r="E176">
        <v>1</v>
      </c>
      <c r="F176">
        <v>24200</v>
      </c>
      <c r="G176">
        <v>-0.59</v>
      </c>
      <c r="H176">
        <v>17.97</v>
      </c>
      <c r="I176">
        <v>35988</v>
      </c>
      <c r="J176">
        <v>22106</v>
      </c>
      <c r="K176">
        <v>18160</v>
      </c>
      <c r="L176">
        <v>-48.71</v>
      </c>
      <c r="M176">
        <v>8.65</v>
      </c>
      <c r="N176">
        <v>24.96</v>
      </c>
      <c r="O176">
        <v>22.12</v>
      </c>
      <c r="P176" t="b">
        <v>1</v>
      </c>
      <c r="Q176">
        <v>0</v>
      </c>
      <c r="R176">
        <v>1581</v>
      </c>
      <c r="S176">
        <v>598</v>
      </c>
      <c r="T176">
        <v>-62.2</v>
      </c>
      <c r="U176" t="s">
        <v>2615</v>
      </c>
      <c r="V176" t="s">
        <v>3479</v>
      </c>
      <c r="W176">
        <v>-30.548174923993091</v>
      </c>
      <c r="X176">
        <v>-70.099999999999994</v>
      </c>
      <c r="Y176" t="s">
        <v>4270</v>
      </c>
      <c r="Z176">
        <v>-10.75607852195181</v>
      </c>
      <c r="AA176">
        <v>6391</v>
      </c>
      <c r="AB176">
        <v>52363</v>
      </c>
      <c r="AC176" t="s">
        <v>5134</v>
      </c>
      <c r="AD176">
        <v>63.35</v>
      </c>
      <c r="AE176" t="s">
        <v>5998</v>
      </c>
      <c r="AF176" t="s">
        <v>6804</v>
      </c>
      <c r="AG176">
        <v>7013</v>
      </c>
      <c r="AH176">
        <v>606</v>
      </c>
      <c r="AI176">
        <v>200010</v>
      </c>
      <c r="AJ176">
        <v>1.58</v>
      </c>
    </row>
    <row r="177" spans="1:36">
      <c r="A177" s="1" t="s">
        <v>221</v>
      </c>
      <c r="B177" t="s">
        <v>1085</v>
      </c>
      <c r="C177" t="str">
        <f>HYPERLINK("https://finance.naver.com/item/coinfo.nhn?code=023460", "A023460")</f>
        <v>A023460</v>
      </c>
      <c r="D177" t="str">
        <f>HYPERLINK("http://comp.fnguide.com/SVO2/ASP/SVD_Consensus.asp?pGB=1&amp;gicode=A023460&amp;cID=&amp;MenuYn=Y&amp;ReportGB=&amp;NewMenuID=108&amp;stkGb=701", "CNH")</f>
        <v>CNH</v>
      </c>
      <c r="E177">
        <v>3</v>
      </c>
      <c r="F177">
        <v>2340</v>
      </c>
      <c r="G177">
        <v>0</v>
      </c>
      <c r="H177">
        <v>4.62</v>
      </c>
      <c r="I177">
        <v>3168</v>
      </c>
      <c r="J177">
        <v>3071</v>
      </c>
      <c r="K177">
        <v>3044</v>
      </c>
      <c r="L177">
        <v>-35.4</v>
      </c>
      <c r="M177">
        <v>-31.26</v>
      </c>
      <c r="N177">
        <v>-30.08</v>
      </c>
      <c r="O177">
        <v>8.3699999999999992</v>
      </c>
      <c r="P177" t="b">
        <v>1</v>
      </c>
      <c r="Q177">
        <v>0</v>
      </c>
      <c r="R177">
        <v>414</v>
      </c>
      <c r="U177" t="s">
        <v>1949</v>
      </c>
      <c r="V177" t="s">
        <v>2813</v>
      </c>
      <c r="W177">
        <v>0</v>
      </c>
      <c r="Y177" t="s">
        <v>3605</v>
      </c>
      <c r="Z177">
        <v>25.480023442043901</v>
      </c>
      <c r="AA177">
        <v>870</v>
      </c>
      <c r="AB177">
        <v>494055</v>
      </c>
      <c r="AC177" t="s">
        <v>4468</v>
      </c>
      <c r="AD177">
        <v>63.97</v>
      </c>
      <c r="AE177" t="s">
        <v>5332</v>
      </c>
      <c r="AF177" t="s">
        <v>6189</v>
      </c>
      <c r="AG177">
        <v>405</v>
      </c>
      <c r="AH177">
        <v>211</v>
      </c>
      <c r="AI177">
        <v>2418619</v>
      </c>
      <c r="AJ177">
        <v>1.57</v>
      </c>
    </row>
    <row r="178" spans="1:36">
      <c r="A178" s="1" t="s">
        <v>713</v>
      </c>
      <c r="B178" t="s">
        <v>1577</v>
      </c>
      <c r="C178" t="str">
        <f>HYPERLINK("https://finance.naver.com/item/coinfo.nhn?code=138490", "A138490")</f>
        <v>A138490</v>
      </c>
      <c r="D178" t="str">
        <f>HYPERLINK("http://comp.fnguide.com/SVO2/ASP/SVD_Consensus.asp?pGB=1&amp;gicode=A138490&amp;cID=&amp;MenuYn=Y&amp;ReportGB=&amp;NewMenuID=108&amp;stkGb=701", "코오롱플라스틱")</f>
        <v>코오롱플라스틱</v>
      </c>
      <c r="E178">
        <v>3</v>
      </c>
      <c r="F178">
        <v>4470</v>
      </c>
      <c r="G178">
        <v>0</v>
      </c>
      <c r="H178">
        <v>31.33</v>
      </c>
      <c r="I178">
        <v>3306</v>
      </c>
      <c r="J178">
        <v>4446</v>
      </c>
      <c r="K178">
        <v>4769</v>
      </c>
      <c r="L178">
        <v>26.04</v>
      </c>
      <c r="M178">
        <v>0.54</v>
      </c>
      <c r="N178">
        <v>-6.7</v>
      </c>
      <c r="O178">
        <v>5.05</v>
      </c>
      <c r="P178" t="b">
        <v>1</v>
      </c>
      <c r="Q178">
        <v>0</v>
      </c>
      <c r="R178">
        <v>143</v>
      </c>
      <c r="S178">
        <v>-158</v>
      </c>
      <c r="T178">
        <v>-210.5</v>
      </c>
      <c r="U178" t="s">
        <v>2441</v>
      </c>
      <c r="V178" t="s">
        <v>3305</v>
      </c>
      <c r="W178">
        <v>0</v>
      </c>
      <c r="X178">
        <v>0</v>
      </c>
      <c r="Y178" t="s">
        <v>4103</v>
      </c>
      <c r="Z178">
        <v>-16.96682526657273</v>
      </c>
      <c r="AA178">
        <v>1699</v>
      </c>
      <c r="AB178">
        <v>173246</v>
      </c>
      <c r="AC178" t="s">
        <v>4960</v>
      </c>
      <c r="AD178">
        <v>66.989999999999995</v>
      </c>
      <c r="AE178" t="s">
        <v>5824</v>
      </c>
      <c r="AF178" t="s">
        <v>6643</v>
      </c>
      <c r="AG178">
        <v>3303</v>
      </c>
      <c r="AH178">
        <v>103</v>
      </c>
      <c r="AJ178">
        <v>1.56</v>
      </c>
    </row>
    <row r="179" spans="1:36">
      <c r="A179" s="1" t="s">
        <v>648</v>
      </c>
      <c r="B179" t="s">
        <v>1512</v>
      </c>
      <c r="C179" t="str">
        <f>HYPERLINK("https://finance.naver.com/item/coinfo.nhn?code=000670", "A000670")</f>
        <v>A000670</v>
      </c>
      <c r="D179" t="str">
        <f>HYPERLINK("http://comp.fnguide.com/SVO2/ASP/SVD_Consensus.asp?pGB=1&amp;gicode=A000670&amp;cID=&amp;MenuYn=Y&amp;ReportGB=&amp;NewMenuID=108&amp;stkGb=701", "영풍")</f>
        <v>영풍</v>
      </c>
      <c r="E179">
        <v>3</v>
      </c>
      <c r="F179">
        <v>536000</v>
      </c>
      <c r="G179">
        <v>0</v>
      </c>
      <c r="H179">
        <v>5.0999999999999996</v>
      </c>
      <c r="I179">
        <v>1517235</v>
      </c>
      <c r="J179">
        <v>1743423</v>
      </c>
      <c r="K179">
        <v>1807701</v>
      </c>
      <c r="L179">
        <v>-183.07</v>
      </c>
      <c r="M179">
        <v>-225.27</v>
      </c>
      <c r="N179">
        <v>-237.26</v>
      </c>
      <c r="O179">
        <v>6.36</v>
      </c>
      <c r="P179" t="b">
        <v>1</v>
      </c>
      <c r="Q179">
        <v>0</v>
      </c>
      <c r="R179">
        <v>126504</v>
      </c>
      <c r="U179" t="s">
        <v>2376</v>
      </c>
      <c r="V179" t="s">
        <v>3240</v>
      </c>
      <c r="W179">
        <v>0</v>
      </c>
      <c r="X179">
        <v>-26</v>
      </c>
      <c r="Y179" t="s">
        <v>4046</v>
      </c>
      <c r="Z179">
        <v>6.0093571376616186</v>
      </c>
      <c r="AA179">
        <v>9873</v>
      </c>
      <c r="AB179">
        <v>1949</v>
      </c>
      <c r="AC179" t="s">
        <v>4895</v>
      </c>
      <c r="AD179">
        <v>78.33</v>
      </c>
      <c r="AE179" t="s">
        <v>5759</v>
      </c>
      <c r="AF179" t="s">
        <v>6584</v>
      </c>
      <c r="AG179">
        <v>30841</v>
      </c>
      <c r="AH179">
        <v>844</v>
      </c>
      <c r="AI179">
        <v>121906</v>
      </c>
      <c r="AJ179">
        <v>1.55</v>
      </c>
    </row>
    <row r="180" spans="1:36">
      <c r="A180" s="1" t="s">
        <v>37</v>
      </c>
      <c r="B180" t="s">
        <v>901</v>
      </c>
      <c r="C180" t="str">
        <f>HYPERLINK("https://finance.naver.com/item/coinfo.nhn?code=001810", "A001810")</f>
        <v>A001810</v>
      </c>
      <c r="D180" t="str">
        <f>HYPERLINK("http://comp.fnguide.com/SVO2/ASP/SVD_Consensus.asp?pGB=1&amp;gicode=A001810&amp;cID=&amp;MenuYn=Y&amp;ReportGB=&amp;NewMenuID=108&amp;stkGb=701", "무림SP")</f>
        <v>무림SP</v>
      </c>
      <c r="E180">
        <v>3</v>
      </c>
      <c r="F180">
        <v>3035</v>
      </c>
      <c r="G180">
        <v>0</v>
      </c>
      <c r="H180">
        <v>37.01</v>
      </c>
      <c r="I180">
        <v>3629</v>
      </c>
      <c r="J180">
        <v>6982</v>
      </c>
      <c r="K180">
        <v>7935</v>
      </c>
      <c r="L180">
        <v>-19.579999999999998</v>
      </c>
      <c r="M180">
        <v>-130.05000000000001</v>
      </c>
      <c r="N180">
        <v>-161.44</v>
      </c>
      <c r="O180">
        <v>3.13</v>
      </c>
      <c r="P180" t="b">
        <v>1</v>
      </c>
      <c r="Q180">
        <v>0</v>
      </c>
      <c r="R180">
        <v>61</v>
      </c>
      <c r="U180" t="s">
        <v>1765</v>
      </c>
      <c r="V180" t="s">
        <v>2629</v>
      </c>
      <c r="W180">
        <v>0</v>
      </c>
      <c r="X180">
        <v>18.899999999999999</v>
      </c>
      <c r="Y180" t="s">
        <v>3493</v>
      </c>
      <c r="Z180">
        <v>-0.80138351643109784</v>
      </c>
      <c r="AA180">
        <v>672</v>
      </c>
      <c r="AB180">
        <v>3069891</v>
      </c>
      <c r="AC180" t="s">
        <v>4284</v>
      </c>
      <c r="AD180">
        <v>61.41</v>
      </c>
      <c r="AE180" t="s">
        <v>5148</v>
      </c>
      <c r="AF180" t="s">
        <v>6012</v>
      </c>
      <c r="AG180">
        <v>1379</v>
      </c>
      <c r="AH180">
        <v>12</v>
      </c>
      <c r="AJ180">
        <v>1.55</v>
      </c>
    </row>
    <row r="181" spans="1:36">
      <c r="A181" s="1" t="s">
        <v>135</v>
      </c>
      <c r="B181" t="s">
        <v>999</v>
      </c>
      <c r="C181" t="str">
        <f>HYPERLINK("https://finance.naver.com/item/coinfo.nhn?code=010690", "A010690")</f>
        <v>A010690</v>
      </c>
      <c r="D181" t="str">
        <f>HYPERLINK("http://comp.fnguide.com/SVO2/ASP/SVD_Consensus.asp?pGB=1&amp;gicode=A010690&amp;cID=&amp;MenuYn=Y&amp;ReportGB=&amp;NewMenuID=108&amp;stkGb=701", "화신")</f>
        <v>화신</v>
      </c>
      <c r="E181">
        <v>3</v>
      </c>
      <c r="F181">
        <v>3335</v>
      </c>
      <c r="G181">
        <v>0</v>
      </c>
      <c r="H181">
        <v>17.190000000000001</v>
      </c>
      <c r="I181">
        <v>1284</v>
      </c>
      <c r="J181">
        <v>5988</v>
      </c>
      <c r="K181">
        <v>7325</v>
      </c>
      <c r="L181">
        <v>61.5</v>
      </c>
      <c r="M181">
        <v>-79.56</v>
      </c>
      <c r="N181">
        <v>-119.64</v>
      </c>
      <c r="O181">
        <v>1.1200000000000001</v>
      </c>
      <c r="P181" t="b">
        <v>1</v>
      </c>
      <c r="Q181">
        <v>0</v>
      </c>
      <c r="R181">
        <v>190</v>
      </c>
      <c r="U181" t="s">
        <v>1863</v>
      </c>
      <c r="V181" t="s">
        <v>2727</v>
      </c>
      <c r="W181">
        <v>0</v>
      </c>
      <c r="X181">
        <v>0</v>
      </c>
      <c r="Y181" t="s">
        <v>3499</v>
      </c>
      <c r="Z181">
        <v>0</v>
      </c>
      <c r="AA181">
        <v>1165</v>
      </c>
      <c r="AB181">
        <v>4433064</v>
      </c>
      <c r="AC181" t="s">
        <v>4382</v>
      </c>
      <c r="AD181">
        <v>50.41</v>
      </c>
      <c r="AE181" t="s">
        <v>5246</v>
      </c>
      <c r="AF181" t="s">
        <v>6103</v>
      </c>
      <c r="AG181">
        <v>11643</v>
      </c>
      <c r="AH181">
        <v>19</v>
      </c>
      <c r="AI181">
        <v>1995600</v>
      </c>
      <c r="AJ181">
        <v>1.53</v>
      </c>
    </row>
    <row r="182" spans="1:36">
      <c r="A182" s="1" t="s">
        <v>124</v>
      </c>
      <c r="B182" t="s">
        <v>988</v>
      </c>
      <c r="C182" t="str">
        <f>HYPERLINK("https://finance.naver.com/item/coinfo.nhn?code=023600", "A023600")</f>
        <v>A023600</v>
      </c>
      <c r="D182" t="str">
        <f>HYPERLINK("http://comp.fnguide.com/SVO2/ASP/SVD_Consensus.asp?pGB=1&amp;gicode=A023600&amp;cID=&amp;MenuYn=Y&amp;ReportGB=&amp;NewMenuID=108&amp;stkGb=701", "삼보판지")</f>
        <v>삼보판지</v>
      </c>
      <c r="E182">
        <v>3</v>
      </c>
      <c r="F182">
        <v>11900</v>
      </c>
      <c r="G182">
        <v>0</v>
      </c>
      <c r="H182">
        <v>4.62</v>
      </c>
      <c r="I182">
        <v>31135</v>
      </c>
      <c r="J182">
        <v>25790</v>
      </c>
      <c r="K182">
        <v>24271</v>
      </c>
      <c r="L182">
        <v>-161.63999999999999</v>
      </c>
      <c r="M182">
        <v>-116.72</v>
      </c>
      <c r="N182">
        <v>-103.96</v>
      </c>
      <c r="O182">
        <v>11.11</v>
      </c>
      <c r="P182" t="b">
        <v>1</v>
      </c>
      <c r="Q182">
        <v>0</v>
      </c>
      <c r="R182">
        <v>1779</v>
      </c>
      <c r="U182" t="s">
        <v>1852</v>
      </c>
      <c r="V182" t="s">
        <v>2716</v>
      </c>
      <c r="W182">
        <v>0</v>
      </c>
      <c r="X182">
        <v>-5.3</v>
      </c>
      <c r="Y182" t="s">
        <v>3569</v>
      </c>
      <c r="Z182">
        <v>-3.1635530707421871</v>
      </c>
      <c r="AA182">
        <v>1924</v>
      </c>
      <c r="AB182">
        <v>484975</v>
      </c>
      <c r="AC182" t="s">
        <v>4371</v>
      </c>
      <c r="AD182">
        <v>63.54</v>
      </c>
      <c r="AE182" t="s">
        <v>5235</v>
      </c>
      <c r="AF182" t="s">
        <v>6092</v>
      </c>
      <c r="AG182">
        <v>3670</v>
      </c>
      <c r="AH182">
        <v>457</v>
      </c>
      <c r="AI182">
        <v>202211</v>
      </c>
      <c r="AJ182">
        <v>1.52</v>
      </c>
    </row>
    <row r="183" spans="1:36">
      <c r="A183" s="1" t="s">
        <v>189</v>
      </c>
      <c r="B183" t="s">
        <v>1053</v>
      </c>
      <c r="C183" t="str">
        <f>HYPERLINK("https://finance.naver.com/item/coinfo.nhn?code=032540", "A032540")</f>
        <v>A032540</v>
      </c>
      <c r="D183" t="str">
        <f>HYPERLINK("http://comp.fnguide.com/SVO2/ASP/SVD_Consensus.asp?pGB=1&amp;gicode=A032540&amp;cID=&amp;MenuYn=Y&amp;ReportGB=&amp;NewMenuID=108&amp;stkGb=701", "TJ미디어")</f>
        <v>TJ미디어</v>
      </c>
      <c r="E183">
        <v>3</v>
      </c>
      <c r="F183">
        <v>3070</v>
      </c>
      <c r="G183">
        <v>0</v>
      </c>
      <c r="H183">
        <v>51.51</v>
      </c>
      <c r="I183">
        <v>654</v>
      </c>
      <c r="J183">
        <v>3655</v>
      </c>
      <c r="K183">
        <v>4508</v>
      </c>
      <c r="L183">
        <v>78.709999999999994</v>
      </c>
      <c r="M183">
        <v>-19.05</v>
      </c>
      <c r="N183">
        <v>-46.83</v>
      </c>
      <c r="O183">
        <v>0.92</v>
      </c>
      <c r="P183" t="b">
        <v>1</v>
      </c>
      <c r="Q183">
        <v>0</v>
      </c>
      <c r="R183">
        <v>64</v>
      </c>
      <c r="U183" t="s">
        <v>1917</v>
      </c>
      <c r="V183" t="s">
        <v>2781</v>
      </c>
      <c r="W183">
        <v>0</v>
      </c>
      <c r="X183">
        <v>0</v>
      </c>
      <c r="Y183" t="s">
        <v>3632</v>
      </c>
      <c r="Z183">
        <v>-9.5657144662490303</v>
      </c>
      <c r="AA183">
        <v>428</v>
      </c>
      <c r="AB183">
        <v>6241</v>
      </c>
      <c r="AC183" t="s">
        <v>4436</v>
      </c>
      <c r="AD183">
        <v>54.81</v>
      </c>
      <c r="AE183" t="s">
        <v>5300</v>
      </c>
      <c r="AF183" t="s">
        <v>6157</v>
      </c>
      <c r="AG183">
        <v>754</v>
      </c>
      <c r="AH183">
        <v>5</v>
      </c>
      <c r="AJ183">
        <v>1.51</v>
      </c>
    </row>
    <row r="184" spans="1:36">
      <c r="A184" s="1" t="s">
        <v>112</v>
      </c>
      <c r="B184" t="s">
        <v>976</v>
      </c>
      <c r="C184" t="str">
        <f>HYPERLINK("https://finance.naver.com/item/coinfo.nhn?code=213090", "A213090")</f>
        <v>A213090</v>
      </c>
      <c r="D184" t="str">
        <f>HYPERLINK("http://comp.fnguide.com/SVO2/ASP/SVD_Consensus.asp?pGB=1&amp;gicode=A213090&amp;cID=&amp;MenuYn=Y&amp;ReportGB=&amp;NewMenuID=108&amp;stkGb=701", "미래테크놀로지")</f>
        <v>미래테크놀로지</v>
      </c>
      <c r="E184">
        <v>3</v>
      </c>
      <c r="F184">
        <v>8060</v>
      </c>
      <c r="G184">
        <v>0</v>
      </c>
      <c r="H184">
        <v>15.54</v>
      </c>
      <c r="I184">
        <v>5516</v>
      </c>
      <c r="J184">
        <v>8114</v>
      </c>
      <c r="K184">
        <v>8853</v>
      </c>
      <c r="L184">
        <v>31.56</v>
      </c>
      <c r="M184">
        <v>-0.68</v>
      </c>
      <c r="N184">
        <v>-9.84</v>
      </c>
      <c r="O184">
        <v>4.45</v>
      </c>
      <c r="P184" t="b">
        <v>1</v>
      </c>
      <c r="Q184">
        <v>0</v>
      </c>
      <c r="R184">
        <v>528</v>
      </c>
      <c r="U184" t="s">
        <v>1840</v>
      </c>
      <c r="V184" t="s">
        <v>2704</v>
      </c>
      <c r="W184">
        <v>0</v>
      </c>
      <c r="X184">
        <v>-47.8</v>
      </c>
      <c r="Y184" t="s">
        <v>3558</v>
      </c>
      <c r="Z184">
        <v>-23.664335338985179</v>
      </c>
      <c r="AA184">
        <v>493</v>
      </c>
      <c r="AB184">
        <v>8029</v>
      </c>
      <c r="AC184" t="s">
        <v>4359</v>
      </c>
      <c r="AD184">
        <v>66.150000000000006</v>
      </c>
      <c r="AE184" t="s">
        <v>5223</v>
      </c>
      <c r="AF184" t="s">
        <v>6080</v>
      </c>
      <c r="AG184">
        <v>359</v>
      </c>
      <c r="AH184">
        <v>37</v>
      </c>
      <c r="AI184">
        <v>335171</v>
      </c>
      <c r="AJ184">
        <v>1.46</v>
      </c>
    </row>
    <row r="185" spans="1:36">
      <c r="A185" s="1" t="s">
        <v>70</v>
      </c>
      <c r="B185" t="s">
        <v>934</v>
      </c>
      <c r="C185" t="str">
        <f>HYPERLINK("https://finance.naver.com/item/coinfo.nhn?code=108380", "A108380")</f>
        <v>A108380</v>
      </c>
      <c r="D185" t="str">
        <f>HYPERLINK("http://comp.fnguide.com/SVO2/ASP/SVD_Consensus.asp?pGB=1&amp;gicode=A108380&amp;cID=&amp;MenuYn=Y&amp;ReportGB=&amp;NewMenuID=108&amp;stkGb=701", "대양전기공업")</f>
        <v>대양전기공업</v>
      </c>
      <c r="E185">
        <v>3</v>
      </c>
      <c r="F185">
        <v>15100</v>
      </c>
      <c r="G185">
        <v>0</v>
      </c>
      <c r="H185">
        <v>10.64</v>
      </c>
      <c r="I185">
        <v>18158</v>
      </c>
      <c r="J185">
        <v>20713</v>
      </c>
      <c r="K185">
        <v>21439</v>
      </c>
      <c r="L185">
        <v>-20.25</v>
      </c>
      <c r="M185">
        <v>-37.17</v>
      </c>
      <c r="N185">
        <v>-41.98</v>
      </c>
      <c r="O185">
        <v>6.43</v>
      </c>
      <c r="P185" t="b">
        <v>1</v>
      </c>
      <c r="Q185">
        <v>0</v>
      </c>
      <c r="R185">
        <v>1306</v>
      </c>
      <c r="U185" t="s">
        <v>1798</v>
      </c>
      <c r="V185" t="s">
        <v>2662</v>
      </c>
      <c r="W185">
        <v>0</v>
      </c>
      <c r="X185">
        <v>-21.9</v>
      </c>
      <c r="Y185" t="s">
        <v>3523</v>
      </c>
      <c r="Z185">
        <v>-10.63936689621633</v>
      </c>
      <c r="AA185">
        <v>1445</v>
      </c>
      <c r="AB185">
        <v>38908</v>
      </c>
      <c r="AC185" t="s">
        <v>4317</v>
      </c>
      <c r="AD185">
        <v>59.85</v>
      </c>
      <c r="AE185" t="s">
        <v>5181</v>
      </c>
      <c r="AF185" t="s">
        <v>6044</v>
      </c>
      <c r="AG185">
        <v>1769</v>
      </c>
      <c r="AH185">
        <v>149</v>
      </c>
      <c r="AI185">
        <v>283555</v>
      </c>
      <c r="AJ185">
        <v>1.44</v>
      </c>
    </row>
    <row r="186" spans="1:36">
      <c r="A186" s="1" t="s">
        <v>484</v>
      </c>
      <c r="B186" t="s">
        <v>1348</v>
      </c>
      <c r="C186" t="str">
        <f>HYPERLINK("https://finance.naver.com/item/coinfo.nhn?code=026940", "A026940")</f>
        <v>A026940</v>
      </c>
      <c r="D186" t="str">
        <f>HYPERLINK("http://comp.fnguide.com/SVO2/ASP/SVD_Consensus.asp?pGB=1&amp;gicode=A026940&amp;cID=&amp;MenuYn=Y&amp;ReportGB=&amp;NewMenuID=108&amp;stkGb=701", "부국철강")</f>
        <v>부국철강</v>
      </c>
      <c r="E186">
        <v>3</v>
      </c>
      <c r="F186">
        <v>4225</v>
      </c>
      <c r="G186">
        <v>0</v>
      </c>
      <c r="H186">
        <v>56.89</v>
      </c>
      <c r="I186">
        <v>1263</v>
      </c>
      <c r="J186">
        <v>3888</v>
      </c>
      <c r="K186">
        <v>4633</v>
      </c>
      <c r="L186">
        <v>70.099999999999994</v>
      </c>
      <c r="M186">
        <v>7.98</v>
      </c>
      <c r="N186">
        <v>-9.67</v>
      </c>
      <c r="O186">
        <v>1.78</v>
      </c>
      <c r="P186" t="b">
        <v>0</v>
      </c>
      <c r="Q186">
        <v>0</v>
      </c>
      <c r="R186">
        <v>92</v>
      </c>
      <c r="U186" t="s">
        <v>2212</v>
      </c>
      <c r="V186" t="s">
        <v>3076</v>
      </c>
      <c r="W186">
        <v>0</v>
      </c>
      <c r="X186">
        <v>-65.5</v>
      </c>
      <c r="Y186" t="s">
        <v>3889</v>
      </c>
      <c r="Z186">
        <v>43.238581860822038</v>
      </c>
      <c r="AA186">
        <v>845</v>
      </c>
      <c r="AB186">
        <v>53066</v>
      </c>
      <c r="AC186" t="s">
        <v>4731</v>
      </c>
      <c r="AD186">
        <v>53.44</v>
      </c>
      <c r="AE186" t="s">
        <v>5595</v>
      </c>
      <c r="AF186" t="s">
        <v>6426</v>
      </c>
      <c r="AG186">
        <v>1323</v>
      </c>
      <c r="AH186">
        <v>3</v>
      </c>
      <c r="AJ186">
        <v>1.43</v>
      </c>
    </row>
    <row r="187" spans="1:36">
      <c r="A187" s="1" t="s">
        <v>212</v>
      </c>
      <c r="B187" t="s">
        <v>1076</v>
      </c>
      <c r="C187" t="str">
        <f>HYPERLINK("https://finance.naver.com/item/coinfo.nhn?code=032560", "A032560")</f>
        <v>A032560</v>
      </c>
      <c r="D187" t="str">
        <f>HYPERLINK("http://comp.fnguide.com/SVO2/ASP/SVD_Consensus.asp?pGB=1&amp;gicode=A032560&amp;cID=&amp;MenuYn=Y&amp;ReportGB=&amp;NewMenuID=108&amp;stkGb=701", "황금에스티")</f>
        <v>황금에스티</v>
      </c>
      <c r="E187">
        <v>3</v>
      </c>
      <c r="F187">
        <v>7740</v>
      </c>
      <c r="G187">
        <v>0</v>
      </c>
      <c r="H187">
        <v>3.9</v>
      </c>
      <c r="I187">
        <v>20793</v>
      </c>
      <c r="J187">
        <v>19462</v>
      </c>
      <c r="K187">
        <v>19084</v>
      </c>
      <c r="L187">
        <v>-168.64</v>
      </c>
      <c r="M187">
        <v>-151.44999999999999</v>
      </c>
      <c r="N187">
        <v>-146.56</v>
      </c>
      <c r="O187">
        <v>8.8800000000000008</v>
      </c>
      <c r="P187" t="b">
        <v>1</v>
      </c>
      <c r="Q187">
        <v>0</v>
      </c>
      <c r="R187">
        <v>1794</v>
      </c>
      <c r="U187" t="s">
        <v>1940</v>
      </c>
      <c r="V187" t="s">
        <v>2804</v>
      </c>
      <c r="W187">
        <v>0</v>
      </c>
      <c r="X187">
        <v>-59.8</v>
      </c>
      <c r="Y187" t="s">
        <v>3653</v>
      </c>
      <c r="Z187">
        <v>18.469614718749089</v>
      </c>
      <c r="AA187">
        <v>1084</v>
      </c>
      <c r="AB187">
        <v>78776</v>
      </c>
      <c r="AC187" t="s">
        <v>4459</v>
      </c>
      <c r="AD187">
        <v>54.12</v>
      </c>
      <c r="AE187" t="s">
        <v>5323</v>
      </c>
      <c r="AF187" t="s">
        <v>6180</v>
      </c>
      <c r="AG187">
        <v>2436</v>
      </c>
      <c r="AH187">
        <v>188</v>
      </c>
      <c r="AI187">
        <v>1861</v>
      </c>
      <c r="AJ187">
        <v>1.43</v>
      </c>
    </row>
    <row r="188" spans="1:36">
      <c r="A188" s="1" t="s">
        <v>394</v>
      </c>
      <c r="B188" t="s">
        <v>1258</v>
      </c>
      <c r="C188" t="str">
        <f>HYPERLINK("https://finance.naver.com/item/coinfo.nhn?code=080010", "A080010")</f>
        <v>A080010</v>
      </c>
      <c r="D188" t="str">
        <f>HYPERLINK("http://comp.fnguide.com/SVO2/ASP/SVD_Consensus.asp?pGB=1&amp;gicode=A080010&amp;cID=&amp;MenuYn=Y&amp;ReportGB=&amp;NewMenuID=108&amp;stkGb=701", "이상네트웍스")</f>
        <v>이상네트웍스</v>
      </c>
      <c r="E188">
        <v>3</v>
      </c>
      <c r="F188">
        <v>7200</v>
      </c>
      <c r="G188">
        <v>0</v>
      </c>
      <c r="H188">
        <v>7.11</v>
      </c>
      <c r="I188">
        <v>12910</v>
      </c>
      <c r="J188">
        <v>11540</v>
      </c>
      <c r="K188">
        <v>11150</v>
      </c>
      <c r="L188">
        <v>-79.31</v>
      </c>
      <c r="M188">
        <v>-60.27</v>
      </c>
      <c r="N188">
        <v>-54.86</v>
      </c>
      <c r="O188">
        <v>9.64</v>
      </c>
      <c r="P188" t="b">
        <v>1</v>
      </c>
      <c r="Q188">
        <v>0</v>
      </c>
      <c r="R188">
        <v>1001</v>
      </c>
      <c r="U188" t="s">
        <v>2122</v>
      </c>
      <c r="V188" t="s">
        <v>2986</v>
      </c>
      <c r="W188">
        <v>0</v>
      </c>
      <c r="X188">
        <v>-14.3</v>
      </c>
      <c r="Y188" t="s">
        <v>3805</v>
      </c>
      <c r="Z188">
        <v>22.66101951099477</v>
      </c>
      <c r="AA188">
        <v>649</v>
      </c>
      <c r="AB188">
        <v>1119</v>
      </c>
      <c r="AC188" t="s">
        <v>4641</v>
      </c>
      <c r="AD188">
        <v>50.05</v>
      </c>
      <c r="AE188" t="s">
        <v>5505</v>
      </c>
      <c r="AF188" t="s">
        <v>6340</v>
      </c>
      <c r="AG188">
        <v>582</v>
      </c>
      <c r="AH188">
        <v>75</v>
      </c>
      <c r="AI188">
        <v>98424</v>
      </c>
      <c r="AJ188">
        <v>1.4</v>
      </c>
    </row>
    <row r="189" spans="1:36">
      <c r="A189" s="1" t="s">
        <v>710</v>
      </c>
      <c r="B189" t="s">
        <v>1574</v>
      </c>
      <c r="C189" t="str">
        <f>HYPERLINK("https://finance.naver.com/item/coinfo.nhn?code=005820", "A005820")</f>
        <v>A005820</v>
      </c>
      <c r="D189" t="str">
        <f>HYPERLINK("http://comp.fnguide.com/SVO2/ASP/SVD_Consensus.asp?pGB=1&amp;gicode=A005820&amp;cID=&amp;MenuYn=Y&amp;ReportGB=&amp;NewMenuID=108&amp;stkGb=701", "원림")</f>
        <v>원림</v>
      </c>
      <c r="E189">
        <v>3</v>
      </c>
      <c r="F189">
        <v>20100</v>
      </c>
      <c r="G189">
        <v>0</v>
      </c>
      <c r="H189">
        <v>13.46</v>
      </c>
      <c r="I189">
        <v>13786</v>
      </c>
      <c r="J189">
        <v>33281</v>
      </c>
      <c r="K189">
        <v>38821</v>
      </c>
      <c r="L189">
        <v>31.41</v>
      </c>
      <c r="M189">
        <v>-65.58</v>
      </c>
      <c r="N189">
        <v>-93.14</v>
      </c>
      <c r="O189">
        <v>2.37</v>
      </c>
      <c r="P189" t="b">
        <v>1</v>
      </c>
      <c r="Q189">
        <v>0</v>
      </c>
      <c r="R189">
        <v>1348</v>
      </c>
      <c r="U189" t="s">
        <v>2438</v>
      </c>
      <c r="V189" t="s">
        <v>3302</v>
      </c>
      <c r="W189">
        <v>0</v>
      </c>
      <c r="X189">
        <v>1328.8</v>
      </c>
      <c r="Y189" t="s">
        <v>4101</v>
      </c>
      <c r="Z189">
        <v>164.4219057304968</v>
      </c>
      <c r="AA189">
        <v>442</v>
      </c>
      <c r="AB189">
        <v>4998</v>
      </c>
      <c r="AC189" t="s">
        <v>4957</v>
      </c>
      <c r="AD189">
        <v>60.21</v>
      </c>
      <c r="AE189" t="s">
        <v>5821</v>
      </c>
      <c r="AF189" t="s">
        <v>6640</v>
      </c>
      <c r="AG189">
        <v>791</v>
      </c>
      <c r="AH189">
        <v>42</v>
      </c>
      <c r="AI189">
        <v>240590</v>
      </c>
      <c r="AJ189">
        <v>1.38</v>
      </c>
    </row>
    <row r="190" spans="1:36">
      <c r="A190" s="1" t="s">
        <v>610</v>
      </c>
      <c r="B190" t="s">
        <v>1474</v>
      </c>
      <c r="C190" t="str">
        <f>HYPERLINK("https://finance.naver.com/item/coinfo.nhn?code=012320", "A012320")</f>
        <v>A012320</v>
      </c>
      <c r="D190" t="str">
        <f>HYPERLINK("http://comp.fnguide.com/SVO2/ASP/SVD_Consensus.asp?pGB=1&amp;gicode=A012320&amp;cID=&amp;MenuYn=Y&amp;ReportGB=&amp;NewMenuID=108&amp;stkGb=701", "경동인베스트")</f>
        <v>경동인베스트</v>
      </c>
      <c r="E190">
        <v>3</v>
      </c>
      <c r="F190">
        <v>31300</v>
      </c>
      <c r="G190">
        <v>0</v>
      </c>
      <c r="H190">
        <v>9.52</v>
      </c>
      <c r="I190">
        <v>127994</v>
      </c>
      <c r="J190">
        <v>163213</v>
      </c>
      <c r="K190">
        <v>173222</v>
      </c>
      <c r="L190">
        <v>-308.93</v>
      </c>
      <c r="M190">
        <v>-421.45</v>
      </c>
      <c r="N190">
        <v>-453.42</v>
      </c>
      <c r="O190">
        <v>5.45</v>
      </c>
      <c r="P190" t="b">
        <v>0</v>
      </c>
      <c r="Q190">
        <v>0</v>
      </c>
      <c r="R190">
        <v>3850</v>
      </c>
      <c r="U190" t="s">
        <v>2338</v>
      </c>
      <c r="V190" t="s">
        <v>3202</v>
      </c>
      <c r="W190">
        <v>0</v>
      </c>
      <c r="X190">
        <v>-35.1</v>
      </c>
      <c r="Y190" t="s">
        <v>4012</v>
      </c>
      <c r="Z190">
        <v>-16.542523659439851</v>
      </c>
      <c r="AA190">
        <v>740</v>
      </c>
      <c r="AB190">
        <v>5031</v>
      </c>
      <c r="AC190" t="s">
        <v>4857</v>
      </c>
      <c r="AD190">
        <v>54.29</v>
      </c>
      <c r="AE190" t="s">
        <v>5721</v>
      </c>
      <c r="AF190" t="s">
        <v>6550</v>
      </c>
      <c r="AG190">
        <v>2718</v>
      </c>
      <c r="AH190">
        <v>220</v>
      </c>
      <c r="AI190">
        <v>184671</v>
      </c>
      <c r="AJ190">
        <v>1.36</v>
      </c>
    </row>
    <row r="191" spans="1:36">
      <c r="A191" s="1" t="s">
        <v>609</v>
      </c>
      <c r="B191" t="s">
        <v>1473</v>
      </c>
      <c r="C191" t="str">
        <f>HYPERLINK("https://finance.naver.com/item/coinfo.nhn?code=000050", "A000050")</f>
        <v>A000050</v>
      </c>
      <c r="D191" t="str">
        <f>HYPERLINK("http://comp.fnguide.com/SVO2/ASP/SVD_Consensus.asp?pGB=1&amp;gicode=A000050&amp;cID=&amp;MenuYn=Y&amp;ReportGB=&amp;NewMenuID=108&amp;stkGb=701", "경방")</f>
        <v>경방</v>
      </c>
      <c r="E191">
        <v>3</v>
      </c>
      <c r="F191">
        <v>12050</v>
      </c>
      <c r="G191">
        <v>0</v>
      </c>
      <c r="H191">
        <v>5.83</v>
      </c>
      <c r="I191">
        <v>16419</v>
      </c>
      <c r="J191">
        <v>23692</v>
      </c>
      <c r="K191">
        <v>25758</v>
      </c>
      <c r="L191">
        <v>-36.26</v>
      </c>
      <c r="M191">
        <v>-96.61</v>
      </c>
      <c r="N191">
        <v>-113.76</v>
      </c>
      <c r="O191">
        <v>4.57</v>
      </c>
      <c r="P191" t="b">
        <v>1</v>
      </c>
      <c r="Q191">
        <v>0</v>
      </c>
      <c r="R191">
        <v>1591</v>
      </c>
      <c r="U191" t="s">
        <v>2337</v>
      </c>
      <c r="V191" t="s">
        <v>3201</v>
      </c>
      <c r="W191">
        <v>0</v>
      </c>
      <c r="X191">
        <v>33.6</v>
      </c>
      <c r="Y191" t="s">
        <v>4011</v>
      </c>
      <c r="Z191">
        <v>28.424946283323951</v>
      </c>
      <c r="AA191">
        <v>3304</v>
      </c>
      <c r="AB191">
        <v>29704</v>
      </c>
      <c r="AC191" t="s">
        <v>4856</v>
      </c>
      <c r="AD191">
        <v>59.15</v>
      </c>
      <c r="AE191" t="s">
        <v>5720</v>
      </c>
      <c r="AF191" t="s">
        <v>6549</v>
      </c>
      <c r="AG191">
        <v>3439</v>
      </c>
      <c r="AH191">
        <v>320</v>
      </c>
      <c r="AI191">
        <v>1400000</v>
      </c>
      <c r="AJ191">
        <v>1.35</v>
      </c>
    </row>
    <row r="192" spans="1:36">
      <c r="A192" s="1" t="s">
        <v>438</v>
      </c>
      <c r="B192" t="s">
        <v>1302</v>
      </c>
      <c r="C192" t="str">
        <f>HYPERLINK("https://finance.naver.com/item/coinfo.nhn?code=049770", "A049770")</f>
        <v>A049770</v>
      </c>
      <c r="D192" t="str">
        <f>HYPERLINK("http://comp.fnguide.com/SVO2/ASP/SVD_Consensus.asp?pGB=1&amp;gicode=A049770&amp;cID=&amp;MenuYn=Y&amp;ReportGB=&amp;NewMenuID=108&amp;stkGb=701", "동원F&amp;B")</f>
        <v>동원F&amp;B</v>
      </c>
      <c r="E192">
        <v>3</v>
      </c>
      <c r="F192">
        <v>180000</v>
      </c>
      <c r="G192">
        <v>1.08</v>
      </c>
      <c r="H192">
        <v>13.28</v>
      </c>
      <c r="I192">
        <v>213050</v>
      </c>
      <c r="J192">
        <v>191069</v>
      </c>
      <c r="K192">
        <v>184822</v>
      </c>
      <c r="L192">
        <v>-18.36</v>
      </c>
      <c r="M192">
        <v>-6.15</v>
      </c>
      <c r="N192">
        <v>-2.68</v>
      </c>
      <c r="O192">
        <v>9.58</v>
      </c>
      <c r="P192" t="b">
        <v>1</v>
      </c>
      <c r="Q192">
        <v>3</v>
      </c>
      <c r="R192">
        <v>17015</v>
      </c>
      <c r="S192">
        <v>18842</v>
      </c>
      <c r="T192">
        <v>10.7</v>
      </c>
      <c r="U192" t="s">
        <v>2166</v>
      </c>
      <c r="V192" t="s">
        <v>3030</v>
      </c>
      <c r="W192">
        <v>12.27293721938174</v>
      </c>
      <c r="X192">
        <v>10.3</v>
      </c>
      <c r="Y192" t="s">
        <v>3846</v>
      </c>
      <c r="Z192">
        <v>4.9649810253615589</v>
      </c>
      <c r="AA192">
        <v>6946</v>
      </c>
      <c r="AB192">
        <v>6910</v>
      </c>
      <c r="AC192" t="s">
        <v>4685</v>
      </c>
      <c r="AD192">
        <v>71.27</v>
      </c>
      <c r="AE192" t="s">
        <v>5549</v>
      </c>
      <c r="AF192" t="s">
        <v>6382</v>
      </c>
      <c r="AG192">
        <v>30303</v>
      </c>
      <c r="AH192">
        <v>1014</v>
      </c>
      <c r="AJ192">
        <v>1.33</v>
      </c>
    </row>
    <row r="193" spans="1:36">
      <c r="A193" s="1" t="s">
        <v>52</v>
      </c>
      <c r="B193" t="s">
        <v>916</v>
      </c>
      <c r="C193" t="str">
        <f>HYPERLINK("https://finance.naver.com/item/coinfo.nhn?code=005990", "A005990")</f>
        <v>A005990</v>
      </c>
      <c r="D193" t="str">
        <f>HYPERLINK("http://comp.fnguide.com/SVO2/ASP/SVD_Consensus.asp?pGB=1&amp;gicode=A005990&amp;cID=&amp;MenuYn=Y&amp;ReportGB=&amp;NewMenuID=108&amp;stkGb=701", "매일홀딩스")</f>
        <v>매일홀딩스</v>
      </c>
      <c r="E193">
        <v>3</v>
      </c>
      <c r="F193">
        <v>8400</v>
      </c>
      <c r="G193">
        <v>0</v>
      </c>
      <c r="H193">
        <v>6.44</v>
      </c>
      <c r="I193">
        <v>20948</v>
      </c>
      <c r="J193">
        <v>22125</v>
      </c>
      <c r="K193">
        <v>22459</v>
      </c>
      <c r="L193">
        <v>-149.38</v>
      </c>
      <c r="M193">
        <v>-163.38999999999999</v>
      </c>
      <c r="N193">
        <v>-167.37</v>
      </c>
      <c r="O193">
        <v>7.26</v>
      </c>
      <c r="P193" t="b">
        <v>1</v>
      </c>
      <c r="Q193">
        <v>0</v>
      </c>
      <c r="R193">
        <v>1646</v>
      </c>
      <c r="U193" t="s">
        <v>1780</v>
      </c>
      <c r="V193" t="s">
        <v>2644</v>
      </c>
      <c r="W193">
        <v>0</v>
      </c>
      <c r="X193">
        <v>0</v>
      </c>
      <c r="Y193" t="s">
        <v>3507</v>
      </c>
      <c r="Z193">
        <v>-5.4340337992891392</v>
      </c>
      <c r="AA193">
        <v>1152</v>
      </c>
      <c r="AB193">
        <v>5310</v>
      </c>
      <c r="AC193" t="s">
        <v>4299</v>
      </c>
      <c r="AD193">
        <v>65.930000000000007</v>
      </c>
      <c r="AE193" t="s">
        <v>5163</v>
      </c>
      <c r="AF193" t="s">
        <v>6027</v>
      </c>
      <c r="AG193">
        <v>15908</v>
      </c>
      <c r="AH193">
        <v>844</v>
      </c>
      <c r="AI193">
        <v>1000181</v>
      </c>
      <c r="AJ193">
        <v>1.32</v>
      </c>
    </row>
    <row r="194" spans="1:36">
      <c r="A194" s="1" t="s">
        <v>600</v>
      </c>
      <c r="B194" t="s">
        <v>1464</v>
      </c>
      <c r="C194" t="str">
        <f>HYPERLINK("https://finance.naver.com/item/coinfo.nhn?code=005720", "A005720")</f>
        <v>A005720</v>
      </c>
      <c r="D194" t="str">
        <f>HYPERLINK("http://comp.fnguide.com/SVO2/ASP/SVD_Consensus.asp?pGB=1&amp;gicode=A005720&amp;cID=&amp;MenuYn=Y&amp;ReportGB=&amp;NewMenuID=108&amp;stkGb=701", "넥센")</f>
        <v>넥센</v>
      </c>
      <c r="E194">
        <v>3</v>
      </c>
      <c r="F194">
        <v>4600</v>
      </c>
      <c r="G194">
        <v>0</v>
      </c>
      <c r="H194">
        <v>5.84</v>
      </c>
      <c r="I194">
        <v>16679</v>
      </c>
      <c r="J194">
        <v>18430</v>
      </c>
      <c r="K194">
        <v>18928</v>
      </c>
      <c r="L194">
        <v>-262.58</v>
      </c>
      <c r="M194">
        <v>-300.66000000000003</v>
      </c>
      <c r="N194">
        <v>-311.48</v>
      </c>
      <c r="O194">
        <v>6.76</v>
      </c>
      <c r="P194" t="b">
        <v>1</v>
      </c>
      <c r="Q194">
        <v>0</v>
      </c>
      <c r="R194">
        <v>1037</v>
      </c>
      <c r="U194" t="s">
        <v>2328</v>
      </c>
      <c r="V194" t="s">
        <v>3192</v>
      </c>
      <c r="W194">
        <v>0</v>
      </c>
      <c r="X194">
        <v>-79</v>
      </c>
      <c r="Y194" t="s">
        <v>4002</v>
      </c>
      <c r="Z194">
        <v>-31.35855732881312</v>
      </c>
      <c r="AA194">
        <v>2463</v>
      </c>
      <c r="AB194">
        <v>49105</v>
      </c>
      <c r="AC194" t="s">
        <v>4847</v>
      </c>
      <c r="AD194">
        <v>59.37</v>
      </c>
      <c r="AE194" t="s">
        <v>5711</v>
      </c>
      <c r="AF194" t="s">
        <v>6540</v>
      </c>
      <c r="AG194">
        <v>22913</v>
      </c>
      <c r="AH194">
        <v>2251</v>
      </c>
      <c r="AI194">
        <v>956326</v>
      </c>
      <c r="AJ194">
        <v>1.32</v>
      </c>
    </row>
    <row r="195" spans="1:36">
      <c r="A195" s="1" t="s">
        <v>130</v>
      </c>
      <c r="B195" t="s">
        <v>994</v>
      </c>
      <c r="C195" t="str">
        <f>HYPERLINK("https://finance.naver.com/item/coinfo.nhn?code=038500", "A038500")</f>
        <v>A038500</v>
      </c>
      <c r="D195" t="str">
        <f>HYPERLINK("http://comp.fnguide.com/SVO2/ASP/SVD_Consensus.asp?pGB=1&amp;gicode=A038500&amp;cID=&amp;MenuYn=Y&amp;ReportGB=&amp;NewMenuID=108&amp;stkGb=701", "삼표시멘트")</f>
        <v>삼표시멘트</v>
      </c>
      <c r="E195">
        <v>3</v>
      </c>
      <c r="F195">
        <v>3935</v>
      </c>
      <c r="G195">
        <v>-1.7</v>
      </c>
      <c r="H195">
        <v>21.9</v>
      </c>
      <c r="I195">
        <v>1835</v>
      </c>
      <c r="J195">
        <v>4291</v>
      </c>
      <c r="K195">
        <v>4988</v>
      </c>
      <c r="L195">
        <v>53.36</v>
      </c>
      <c r="M195">
        <v>-9.0399999999999991</v>
      </c>
      <c r="N195">
        <v>-26.77</v>
      </c>
      <c r="O195">
        <v>2.46</v>
      </c>
      <c r="P195" t="b">
        <v>1</v>
      </c>
      <c r="Q195">
        <v>2</v>
      </c>
      <c r="R195">
        <v>173</v>
      </c>
      <c r="S195">
        <v>224</v>
      </c>
      <c r="T195">
        <v>29.5</v>
      </c>
      <c r="U195" t="s">
        <v>1858</v>
      </c>
      <c r="V195" t="s">
        <v>2722</v>
      </c>
      <c r="W195">
        <v>-12.89442288371386</v>
      </c>
      <c r="X195">
        <v>-45.4</v>
      </c>
      <c r="Y195" t="s">
        <v>3575</v>
      </c>
      <c r="Z195">
        <v>-37.257191647169627</v>
      </c>
      <c r="AA195">
        <v>4225</v>
      </c>
      <c r="AB195">
        <v>766080</v>
      </c>
      <c r="AC195" t="s">
        <v>4377</v>
      </c>
      <c r="AD195">
        <v>65.02</v>
      </c>
      <c r="AE195" t="s">
        <v>5241</v>
      </c>
      <c r="AF195" t="s">
        <v>6098</v>
      </c>
      <c r="AG195">
        <v>5955</v>
      </c>
      <c r="AH195">
        <v>481</v>
      </c>
      <c r="AI195">
        <v>3621</v>
      </c>
      <c r="AJ195">
        <v>1.32</v>
      </c>
    </row>
    <row r="196" spans="1:36">
      <c r="A196" s="1" t="s">
        <v>285</v>
      </c>
      <c r="B196" t="s">
        <v>1149</v>
      </c>
      <c r="C196" t="str">
        <f>HYPERLINK("https://finance.naver.com/item/coinfo.nhn?code=092460", "A092460")</f>
        <v>A092460</v>
      </c>
      <c r="D196" t="str">
        <f>HYPERLINK("http://comp.fnguide.com/SVO2/ASP/SVD_Consensus.asp?pGB=1&amp;gicode=A092460&amp;cID=&amp;MenuYn=Y&amp;ReportGB=&amp;NewMenuID=108&amp;stkGb=701", "한라IMS")</f>
        <v>한라IMS</v>
      </c>
      <c r="E196">
        <v>3</v>
      </c>
      <c r="F196">
        <v>6470</v>
      </c>
      <c r="G196">
        <v>0</v>
      </c>
      <c r="H196">
        <v>20.21</v>
      </c>
      <c r="I196">
        <v>4050</v>
      </c>
      <c r="J196">
        <v>6088</v>
      </c>
      <c r="K196">
        <v>6667</v>
      </c>
      <c r="L196">
        <v>37.409999999999997</v>
      </c>
      <c r="M196">
        <v>5.9</v>
      </c>
      <c r="N196">
        <v>-3.05</v>
      </c>
      <c r="O196">
        <v>4.32</v>
      </c>
      <c r="P196" t="b">
        <v>1</v>
      </c>
      <c r="Q196">
        <v>0</v>
      </c>
      <c r="R196">
        <v>375</v>
      </c>
      <c r="U196" t="s">
        <v>2013</v>
      </c>
      <c r="V196" t="s">
        <v>2877</v>
      </c>
      <c r="W196">
        <v>0</v>
      </c>
      <c r="X196">
        <v>-17.5</v>
      </c>
      <c r="Y196" t="s">
        <v>3717</v>
      </c>
      <c r="Z196">
        <v>-12.283555123913469</v>
      </c>
      <c r="AA196">
        <v>760</v>
      </c>
      <c r="AB196">
        <v>55816</v>
      </c>
      <c r="AC196" t="s">
        <v>4532</v>
      </c>
      <c r="AD196">
        <v>56.93</v>
      </c>
      <c r="AE196" t="s">
        <v>5396</v>
      </c>
      <c r="AF196" t="s">
        <v>6248</v>
      </c>
      <c r="AG196">
        <v>484</v>
      </c>
      <c r="AH196">
        <v>12</v>
      </c>
      <c r="AI196">
        <v>867954</v>
      </c>
      <c r="AJ196">
        <v>1.32</v>
      </c>
    </row>
    <row r="197" spans="1:36">
      <c r="A197" s="1" t="s">
        <v>491</v>
      </c>
      <c r="B197" t="s">
        <v>1355</v>
      </c>
      <c r="C197" t="str">
        <f>HYPERLINK("https://finance.naver.com/item/coinfo.nhn?code=006090", "A006090")</f>
        <v>A006090</v>
      </c>
      <c r="D197" t="str">
        <f>HYPERLINK("http://comp.fnguide.com/SVO2/ASP/SVD_Consensus.asp?pGB=1&amp;gicode=A006090&amp;cID=&amp;MenuYn=Y&amp;ReportGB=&amp;NewMenuID=108&amp;stkGb=701", "사조오양")</f>
        <v>사조오양</v>
      </c>
      <c r="E197">
        <v>3</v>
      </c>
      <c r="F197">
        <v>9600</v>
      </c>
      <c r="G197">
        <v>0</v>
      </c>
      <c r="H197">
        <v>5.4</v>
      </c>
      <c r="I197">
        <v>19534</v>
      </c>
      <c r="J197">
        <v>18483</v>
      </c>
      <c r="K197">
        <v>18184</v>
      </c>
      <c r="L197">
        <v>-103.48</v>
      </c>
      <c r="M197">
        <v>-92.53</v>
      </c>
      <c r="N197">
        <v>-89.42</v>
      </c>
      <c r="O197">
        <v>8.7200000000000006</v>
      </c>
      <c r="P197" t="b">
        <v>1</v>
      </c>
      <c r="Q197">
        <v>0</v>
      </c>
      <c r="R197">
        <v>1402</v>
      </c>
      <c r="U197" t="s">
        <v>2219</v>
      </c>
      <c r="V197" t="s">
        <v>3083</v>
      </c>
      <c r="W197">
        <v>0</v>
      </c>
      <c r="X197">
        <v>80.599999999999994</v>
      </c>
      <c r="Y197" t="s">
        <v>3896</v>
      </c>
      <c r="Z197">
        <v>13.55978918744829</v>
      </c>
      <c r="AA197">
        <v>905</v>
      </c>
      <c r="AB197">
        <v>43501</v>
      </c>
      <c r="AC197" t="s">
        <v>4738</v>
      </c>
      <c r="AD197">
        <v>60.53</v>
      </c>
      <c r="AE197" t="s">
        <v>5602</v>
      </c>
      <c r="AF197" t="s">
        <v>6433</v>
      </c>
      <c r="AG197">
        <v>3136</v>
      </c>
      <c r="AH197">
        <v>226</v>
      </c>
      <c r="AI197">
        <v>3</v>
      </c>
      <c r="AJ197">
        <v>1.32</v>
      </c>
    </row>
    <row r="198" spans="1:36">
      <c r="A198" s="1" t="s">
        <v>290</v>
      </c>
      <c r="B198" t="s">
        <v>1154</v>
      </c>
      <c r="C198" t="str">
        <f>HYPERLINK("https://finance.naver.com/item/coinfo.nhn?code=007770", "A007770")</f>
        <v>A007770</v>
      </c>
      <c r="D198" t="str">
        <f>HYPERLINK("http://comp.fnguide.com/SVO2/ASP/SVD_Consensus.asp?pGB=1&amp;gicode=A007770&amp;cID=&amp;MenuYn=Y&amp;ReportGB=&amp;NewMenuID=108&amp;stkGb=701", "한일화학")</f>
        <v>한일화학</v>
      </c>
      <c r="E198">
        <v>3</v>
      </c>
      <c r="F198">
        <v>9880</v>
      </c>
      <c r="G198">
        <v>0</v>
      </c>
      <c r="H198">
        <v>24.19</v>
      </c>
      <c r="I198">
        <v>8579</v>
      </c>
      <c r="J198">
        <v>19428</v>
      </c>
      <c r="K198">
        <v>22511</v>
      </c>
      <c r="L198">
        <v>13.16</v>
      </c>
      <c r="M198">
        <v>-96.64</v>
      </c>
      <c r="N198">
        <v>-127.84</v>
      </c>
      <c r="O198">
        <v>2.56</v>
      </c>
      <c r="P198" t="b">
        <v>1</v>
      </c>
      <c r="Q198">
        <v>0</v>
      </c>
      <c r="R198">
        <v>475</v>
      </c>
      <c r="U198" t="s">
        <v>2018</v>
      </c>
      <c r="V198" t="s">
        <v>2882</v>
      </c>
      <c r="W198">
        <v>0</v>
      </c>
      <c r="X198">
        <v>0</v>
      </c>
      <c r="Y198" t="s">
        <v>3722</v>
      </c>
      <c r="Z198">
        <v>1.2025522733448479</v>
      </c>
      <c r="AA198">
        <v>347</v>
      </c>
      <c r="AB198">
        <v>9320</v>
      </c>
      <c r="AC198" t="s">
        <v>4537</v>
      </c>
      <c r="AD198">
        <v>69</v>
      </c>
      <c r="AE198" t="s">
        <v>5401</v>
      </c>
      <c r="AF198" t="s">
        <v>6253</v>
      </c>
      <c r="AG198">
        <v>1087</v>
      </c>
      <c r="AH198">
        <v>23</v>
      </c>
      <c r="AJ198">
        <v>1.3</v>
      </c>
    </row>
    <row r="199" spans="1:36">
      <c r="A199" s="1" t="s">
        <v>650</v>
      </c>
      <c r="B199" t="s">
        <v>1514</v>
      </c>
      <c r="C199" t="str">
        <f>HYPERLINK("https://finance.naver.com/item/coinfo.nhn?code=006740", "A006740")</f>
        <v>A006740</v>
      </c>
      <c r="D199" t="str">
        <f>HYPERLINK("http://comp.fnguide.com/SVO2/ASP/SVD_Consensus.asp?pGB=1&amp;gicode=A006740&amp;cID=&amp;MenuYn=Y&amp;ReportGB=&amp;NewMenuID=108&amp;stkGb=701", "영풍제지")</f>
        <v>영풍제지</v>
      </c>
      <c r="E199">
        <v>3</v>
      </c>
      <c r="F199">
        <v>6500</v>
      </c>
      <c r="G199">
        <v>0</v>
      </c>
      <c r="H199">
        <v>7.45</v>
      </c>
      <c r="I199">
        <v>7941</v>
      </c>
      <c r="J199">
        <v>7255</v>
      </c>
      <c r="K199">
        <v>7060</v>
      </c>
      <c r="L199">
        <v>-22.17</v>
      </c>
      <c r="M199">
        <v>-11.61</v>
      </c>
      <c r="N199">
        <v>-8.61</v>
      </c>
      <c r="O199">
        <v>9.27</v>
      </c>
      <c r="P199" t="b">
        <v>1</v>
      </c>
      <c r="Q199">
        <v>0</v>
      </c>
      <c r="R199">
        <v>418</v>
      </c>
      <c r="U199" t="s">
        <v>2378</v>
      </c>
      <c r="V199" t="s">
        <v>3242</v>
      </c>
      <c r="W199">
        <v>0</v>
      </c>
      <c r="X199">
        <v>-4.8</v>
      </c>
      <c r="Y199" t="s">
        <v>4048</v>
      </c>
      <c r="Z199">
        <v>12.6233358007017</v>
      </c>
      <c r="AA199">
        <v>1443</v>
      </c>
      <c r="AB199">
        <v>1085244</v>
      </c>
      <c r="AC199" t="s">
        <v>4897</v>
      </c>
      <c r="AD199">
        <v>54.44</v>
      </c>
      <c r="AE199" t="s">
        <v>5761</v>
      </c>
      <c r="AF199" t="s">
        <v>6586</v>
      </c>
      <c r="AG199">
        <v>997</v>
      </c>
      <c r="AH199">
        <v>109</v>
      </c>
      <c r="AI199">
        <v>4627676</v>
      </c>
      <c r="AJ199">
        <v>1.28</v>
      </c>
    </row>
    <row r="200" spans="1:36">
      <c r="A200" s="1" t="s">
        <v>95</v>
      </c>
      <c r="B200" t="s">
        <v>959</v>
      </c>
      <c r="C200" t="str">
        <f>HYPERLINK("https://finance.naver.com/item/coinfo.nhn?code=171090", "A171090")</f>
        <v>A171090</v>
      </c>
      <c r="D200" t="str">
        <f>HYPERLINK("http://comp.fnguide.com/SVO2/ASP/SVD_Consensus.asp?pGB=1&amp;gicode=A171090&amp;cID=&amp;MenuYn=Y&amp;ReportGB=&amp;NewMenuID=108&amp;stkGb=701", "선익시스템")</f>
        <v>선익시스템</v>
      </c>
      <c r="E200">
        <v>3</v>
      </c>
      <c r="F200">
        <v>7140</v>
      </c>
      <c r="G200">
        <v>0</v>
      </c>
      <c r="H200">
        <v>9.91</v>
      </c>
      <c r="I200">
        <v>11700</v>
      </c>
      <c r="J200">
        <v>11260</v>
      </c>
      <c r="K200">
        <v>11135</v>
      </c>
      <c r="L200">
        <v>-63.87</v>
      </c>
      <c r="M200">
        <v>-57.7</v>
      </c>
      <c r="N200">
        <v>-55.95</v>
      </c>
      <c r="O200">
        <v>8.4700000000000006</v>
      </c>
      <c r="P200" t="b">
        <v>1</v>
      </c>
      <c r="Q200">
        <v>0</v>
      </c>
      <c r="R200">
        <v>794</v>
      </c>
      <c r="U200" t="s">
        <v>1823</v>
      </c>
      <c r="V200" t="s">
        <v>2687</v>
      </c>
      <c r="W200">
        <v>0</v>
      </c>
      <c r="X200">
        <v>92.9</v>
      </c>
      <c r="Y200" t="s">
        <v>3545</v>
      </c>
      <c r="Z200">
        <v>-16.524672579491849</v>
      </c>
      <c r="AA200">
        <v>643</v>
      </c>
      <c r="AB200">
        <v>79250</v>
      </c>
      <c r="AC200" t="s">
        <v>4342</v>
      </c>
      <c r="AD200">
        <v>50.07</v>
      </c>
      <c r="AE200" t="s">
        <v>5206</v>
      </c>
      <c r="AF200" t="s">
        <v>6067</v>
      </c>
      <c r="AG200">
        <v>876</v>
      </c>
      <c r="AH200">
        <v>114</v>
      </c>
      <c r="AI200">
        <v>739004</v>
      </c>
      <c r="AJ200">
        <v>1.27</v>
      </c>
    </row>
    <row r="201" spans="1:36">
      <c r="A201" s="1" t="s">
        <v>406</v>
      </c>
      <c r="B201" t="s">
        <v>1270</v>
      </c>
      <c r="C201" t="str">
        <f>HYPERLINK("https://finance.naver.com/item/coinfo.nhn?code=009780", "A009780")</f>
        <v>A009780</v>
      </c>
      <c r="D201" t="str">
        <f>HYPERLINK("http://comp.fnguide.com/SVO2/ASP/SVD_Consensus.asp?pGB=1&amp;gicode=A009780&amp;cID=&amp;MenuYn=Y&amp;ReportGB=&amp;NewMenuID=108&amp;stkGb=701", "엠에스씨")</f>
        <v>엠에스씨</v>
      </c>
      <c r="E201">
        <v>3</v>
      </c>
      <c r="F201">
        <v>4970</v>
      </c>
      <c r="G201">
        <v>0</v>
      </c>
      <c r="H201">
        <v>7.09</v>
      </c>
      <c r="I201">
        <v>9343</v>
      </c>
      <c r="J201">
        <v>6808</v>
      </c>
      <c r="K201">
        <v>6088</v>
      </c>
      <c r="L201">
        <v>-87.98</v>
      </c>
      <c r="M201">
        <v>-36.99</v>
      </c>
      <c r="N201">
        <v>-22.5</v>
      </c>
      <c r="O201">
        <v>14.46</v>
      </c>
      <c r="P201" t="b">
        <v>1</v>
      </c>
      <c r="Q201">
        <v>0</v>
      </c>
      <c r="R201">
        <v>668</v>
      </c>
      <c r="U201" t="s">
        <v>2134</v>
      </c>
      <c r="V201" t="s">
        <v>2998</v>
      </c>
      <c r="W201">
        <v>0</v>
      </c>
      <c r="X201">
        <v>-3.9</v>
      </c>
      <c r="Y201" t="s">
        <v>3815</v>
      </c>
      <c r="Z201">
        <v>17.004815045851231</v>
      </c>
      <c r="AA201">
        <v>875</v>
      </c>
      <c r="AB201">
        <v>53480</v>
      </c>
      <c r="AC201" t="s">
        <v>4653</v>
      </c>
      <c r="AD201">
        <v>73.22</v>
      </c>
      <c r="AE201" t="s">
        <v>5517</v>
      </c>
      <c r="AF201" t="s">
        <v>6350</v>
      </c>
      <c r="AG201">
        <v>1492</v>
      </c>
      <c r="AH201">
        <v>147</v>
      </c>
      <c r="AJ201">
        <v>1.27</v>
      </c>
    </row>
    <row r="202" spans="1:36">
      <c r="A202" s="1" t="s">
        <v>71</v>
      </c>
      <c r="B202" t="s">
        <v>935</v>
      </c>
      <c r="C202" t="str">
        <f>HYPERLINK("https://finance.naver.com/item/coinfo.nhn?code=006580", "A006580")</f>
        <v>A006580</v>
      </c>
      <c r="D202" t="str">
        <f>HYPERLINK("http://comp.fnguide.com/SVO2/ASP/SVD_Consensus.asp?pGB=1&amp;gicode=A006580&amp;cID=&amp;MenuYn=Y&amp;ReportGB=&amp;NewMenuID=108&amp;stkGb=701", "대양제지")</f>
        <v>대양제지</v>
      </c>
      <c r="E202">
        <v>3</v>
      </c>
      <c r="F202">
        <v>3240</v>
      </c>
      <c r="G202">
        <v>0</v>
      </c>
      <c r="H202">
        <v>3.71</v>
      </c>
      <c r="I202">
        <v>16204</v>
      </c>
      <c r="J202">
        <v>10372</v>
      </c>
      <c r="K202">
        <v>8715</v>
      </c>
      <c r="L202">
        <v>-400.13</v>
      </c>
      <c r="M202">
        <v>-220.13</v>
      </c>
      <c r="N202">
        <v>-168.98</v>
      </c>
      <c r="O202">
        <v>19.760000000000002</v>
      </c>
      <c r="P202" t="b">
        <v>1</v>
      </c>
      <c r="Q202">
        <v>0</v>
      </c>
      <c r="R202">
        <v>876</v>
      </c>
      <c r="U202" t="s">
        <v>1799</v>
      </c>
      <c r="V202" t="s">
        <v>2663</v>
      </c>
      <c r="W202">
        <v>0</v>
      </c>
      <c r="X202">
        <v>-26.9</v>
      </c>
      <c r="Y202" t="s">
        <v>3524</v>
      </c>
      <c r="Z202">
        <v>-24.732144975427921</v>
      </c>
      <c r="AA202">
        <v>870</v>
      </c>
      <c r="AB202">
        <v>308176</v>
      </c>
      <c r="AC202" t="s">
        <v>4318</v>
      </c>
      <c r="AD202">
        <v>53.58</v>
      </c>
      <c r="AE202" t="s">
        <v>5182</v>
      </c>
      <c r="AF202" t="s">
        <v>6045</v>
      </c>
      <c r="AG202">
        <v>2594</v>
      </c>
      <c r="AH202">
        <v>327</v>
      </c>
      <c r="AI202">
        <v>6193269</v>
      </c>
      <c r="AJ202">
        <v>1.23</v>
      </c>
    </row>
    <row r="203" spans="1:36">
      <c r="A203" s="1" t="s">
        <v>121</v>
      </c>
      <c r="B203" t="s">
        <v>985</v>
      </c>
      <c r="C203" t="str">
        <f>HYPERLINK("https://finance.naver.com/item/coinfo.nhn?code=018310", "A018310")</f>
        <v>A018310</v>
      </c>
      <c r="D203" t="str">
        <f>HYPERLINK("http://comp.fnguide.com/SVO2/ASP/SVD_Consensus.asp?pGB=1&amp;gicode=A018310&amp;cID=&amp;MenuYn=Y&amp;ReportGB=&amp;NewMenuID=108&amp;stkGb=701", "삼목에스폼")</f>
        <v>삼목에스폼</v>
      </c>
      <c r="E203">
        <v>3</v>
      </c>
      <c r="F203">
        <v>8340</v>
      </c>
      <c r="G203">
        <v>0</v>
      </c>
      <c r="H203">
        <v>8.9700000000000006</v>
      </c>
      <c r="I203">
        <v>28907</v>
      </c>
      <c r="J203">
        <v>28798</v>
      </c>
      <c r="K203">
        <v>28767</v>
      </c>
      <c r="L203">
        <v>-246.6</v>
      </c>
      <c r="M203">
        <v>-245.3</v>
      </c>
      <c r="N203">
        <v>-244.93</v>
      </c>
      <c r="O203">
        <v>7.99</v>
      </c>
      <c r="P203" t="b">
        <v>1</v>
      </c>
      <c r="Q203">
        <v>0</v>
      </c>
      <c r="R203">
        <v>932</v>
      </c>
      <c r="U203" t="s">
        <v>1849</v>
      </c>
      <c r="V203" t="s">
        <v>2713</v>
      </c>
      <c r="W203">
        <v>0</v>
      </c>
      <c r="X203">
        <v>0</v>
      </c>
      <c r="Y203" t="s">
        <v>3566</v>
      </c>
      <c r="Z203">
        <v>-26.11158320682037</v>
      </c>
      <c r="AA203">
        <v>1226</v>
      </c>
      <c r="AB203">
        <v>32347</v>
      </c>
      <c r="AC203" t="s">
        <v>4368</v>
      </c>
      <c r="AD203">
        <v>50.66</v>
      </c>
      <c r="AE203" t="s">
        <v>5232</v>
      </c>
      <c r="AF203" t="s">
        <v>6089</v>
      </c>
      <c r="AG203">
        <v>1442</v>
      </c>
      <c r="AH203">
        <v>114</v>
      </c>
      <c r="AI203">
        <v>2783927</v>
      </c>
      <c r="AJ203">
        <v>1.2</v>
      </c>
    </row>
    <row r="204" spans="1:36">
      <c r="A204" s="1" t="s">
        <v>689</v>
      </c>
      <c r="B204" t="s">
        <v>1553</v>
      </c>
      <c r="C204" t="str">
        <f>HYPERLINK("https://finance.naver.com/item/coinfo.nhn?code=013360", "A013360")</f>
        <v>A013360</v>
      </c>
      <c r="D204" t="str">
        <f>HYPERLINK("http://comp.fnguide.com/SVO2/ASP/SVD_Consensus.asp?pGB=1&amp;gicode=A013360&amp;cID=&amp;MenuYn=Y&amp;ReportGB=&amp;NewMenuID=108&amp;stkGb=701", "일성건설")</f>
        <v>일성건설</v>
      </c>
      <c r="E204">
        <v>3</v>
      </c>
      <c r="F204">
        <v>1125</v>
      </c>
      <c r="G204">
        <v>0</v>
      </c>
      <c r="H204">
        <v>36.96</v>
      </c>
      <c r="I204">
        <v>416</v>
      </c>
      <c r="J204">
        <v>1181</v>
      </c>
      <c r="K204">
        <v>1399</v>
      </c>
      <c r="L204">
        <v>63.05</v>
      </c>
      <c r="M204">
        <v>-5</v>
      </c>
      <c r="N204">
        <v>-24.34</v>
      </c>
      <c r="O204">
        <v>1.96</v>
      </c>
      <c r="P204" t="b">
        <v>0</v>
      </c>
      <c r="Q204">
        <v>0</v>
      </c>
      <c r="R204">
        <v>34</v>
      </c>
      <c r="U204" t="s">
        <v>2417</v>
      </c>
      <c r="V204" t="s">
        <v>3281</v>
      </c>
      <c r="W204">
        <v>0</v>
      </c>
      <c r="X204">
        <v>7.8</v>
      </c>
      <c r="Y204" t="s">
        <v>4083</v>
      </c>
      <c r="Z204">
        <v>-22.909742203284519</v>
      </c>
      <c r="AA204">
        <v>608</v>
      </c>
      <c r="AB204">
        <v>1391769</v>
      </c>
      <c r="AC204" t="s">
        <v>4936</v>
      </c>
      <c r="AD204">
        <v>63.89</v>
      </c>
      <c r="AE204" t="s">
        <v>5800</v>
      </c>
      <c r="AF204" t="s">
        <v>6622</v>
      </c>
      <c r="AG204">
        <v>3758</v>
      </c>
      <c r="AH204">
        <v>74</v>
      </c>
      <c r="AJ204">
        <v>1.18</v>
      </c>
    </row>
    <row r="205" spans="1:36">
      <c r="A205" s="1" t="s">
        <v>646</v>
      </c>
      <c r="B205" t="s">
        <v>1510</v>
      </c>
      <c r="C205" t="str">
        <f>HYPERLINK("https://finance.naver.com/item/coinfo.nhn?code=111770", "A111770")</f>
        <v>A111770</v>
      </c>
      <c r="D205" t="str">
        <f>HYPERLINK("http://comp.fnguide.com/SVO2/ASP/SVD_Consensus.asp?pGB=1&amp;gicode=A111770&amp;cID=&amp;MenuYn=Y&amp;ReportGB=&amp;NewMenuID=108&amp;stkGb=701", "영원무역")</f>
        <v>영원무역</v>
      </c>
      <c r="E205">
        <v>3</v>
      </c>
      <c r="F205">
        <v>31750</v>
      </c>
      <c r="G205">
        <v>0.51</v>
      </c>
      <c r="H205">
        <v>9.1300000000000008</v>
      </c>
      <c r="I205">
        <v>48112</v>
      </c>
      <c r="J205">
        <v>44450</v>
      </c>
      <c r="K205">
        <v>43409</v>
      </c>
      <c r="L205">
        <v>-51.54</v>
      </c>
      <c r="M205">
        <v>-40</v>
      </c>
      <c r="N205">
        <v>-36.72</v>
      </c>
      <c r="O205">
        <v>9.09</v>
      </c>
      <c r="P205" t="b">
        <v>1</v>
      </c>
      <c r="Q205">
        <v>3</v>
      </c>
      <c r="R205">
        <v>3753</v>
      </c>
      <c r="S205">
        <v>4037</v>
      </c>
      <c r="T205">
        <v>7.6</v>
      </c>
      <c r="U205" t="s">
        <v>2374</v>
      </c>
      <c r="V205" t="s">
        <v>3238</v>
      </c>
      <c r="W205">
        <v>18.073588112062659</v>
      </c>
      <c r="X205">
        <v>-1.7</v>
      </c>
      <c r="Y205" t="s">
        <v>4044</v>
      </c>
      <c r="Z205">
        <v>4.7051340051704527</v>
      </c>
      <c r="AA205">
        <v>14069</v>
      </c>
      <c r="AB205">
        <v>140925</v>
      </c>
      <c r="AC205" t="s">
        <v>4893</v>
      </c>
      <c r="AD205">
        <v>50.74</v>
      </c>
      <c r="AE205" t="s">
        <v>5757</v>
      </c>
      <c r="AF205" t="s">
        <v>6582</v>
      </c>
      <c r="AG205">
        <v>23883</v>
      </c>
      <c r="AH205">
        <v>2376</v>
      </c>
      <c r="AI205">
        <v>445407</v>
      </c>
      <c r="AJ205">
        <v>1.17</v>
      </c>
    </row>
    <row r="206" spans="1:36">
      <c r="A206" s="1" t="s">
        <v>601</v>
      </c>
      <c r="B206" t="s">
        <v>1465</v>
      </c>
      <c r="C206" t="str">
        <f>HYPERLINK("https://finance.naver.com/item/coinfo.nhn?code=002350", "A002350")</f>
        <v>A002350</v>
      </c>
      <c r="D206" t="str">
        <f>HYPERLINK("http://comp.fnguide.com/SVO2/ASP/SVD_Consensus.asp?pGB=1&amp;gicode=A002350&amp;cID=&amp;MenuYn=Y&amp;ReportGB=&amp;NewMenuID=108&amp;stkGb=701", "넥센타이어")</f>
        <v>넥센타이어</v>
      </c>
      <c r="E206">
        <v>3</v>
      </c>
      <c r="F206">
        <v>6140</v>
      </c>
      <c r="G206">
        <v>-0.2</v>
      </c>
      <c r="H206">
        <v>8.0399999999999991</v>
      </c>
      <c r="I206">
        <v>16523</v>
      </c>
      <c r="J206">
        <v>16306</v>
      </c>
      <c r="K206">
        <v>16245</v>
      </c>
      <c r="L206">
        <v>-169.1</v>
      </c>
      <c r="M206">
        <v>-165.58</v>
      </c>
      <c r="N206">
        <v>-164.57</v>
      </c>
      <c r="O206">
        <v>8.1199999999999992</v>
      </c>
      <c r="P206" t="b">
        <v>1</v>
      </c>
      <c r="Q206">
        <v>0</v>
      </c>
      <c r="R206">
        <v>1135</v>
      </c>
      <c r="S206">
        <v>265</v>
      </c>
      <c r="T206">
        <v>-76.7</v>
      </c>
      <c r="U206" t="s">
        <v>2329</v>
      </c>
      <c r="V206" t="s">
        <v>3193</v>
      </c>
      <c r="W206">
        <v>-39.724527979103897</v>
      </c>
      <c r="X206">
        <v>0</v>
      </c>
      <c r="Y206" t="s">
        <v>4003</v>
      </c>
      <c r="Z206">
        <v>-1.72560887448977</v>
      </c>
      <c r="AA206">
        <v>5997</v>
      </c>
      <c r="AB206">
        <v>222813</v>
      </c>
      <c r="AC206" t="s">
        <v>4848</v>
      </c>
      <c r="AD206">
        <v>66.95</v>
      </c>
      <c r="AE206" t="s">
        <v>5712</v>
      </c>
      <c r="AF206" t="s">
        <v>6541</v>
      </c>
      <c r="AG206">
        <v>20223</v>
      </c>
      <c r="AH206">
        <v>2074</v>
      </c>
      <c r="AI206">
        <v>1504451</v>
      </c>
      <c r="AJ206">
        <v>1.1499999999999999</v>
      </c>
    </row>
    <row r="207" spans="1:36">
      <c r="A207" s="1" t="s">
        <v>339</v>
      </c>
      <c r="B207" t="s">
        <v>1203</v>
      </c>
      <c r="C207" t="str">
        <f>HYPERLINK("https://finance.naver.com/item/coinfo.nhn?code=042110", "A042110")</f>
        <v>A042110</v>
      </c>
      <c r="D207" t="str">
        <f>HYPERLINK("http://comp.fnguide.com/SVO2/ASP/SVD_Consensus.asp?pGB=1&amp;gicode=A042110&amp;cID=&amp;MenuYn=Y&amp;ReportGB=&amp;NewMenuID=108&amp;stkGb=701", "에스씨디")</f>
        <v>에스씨디</v>
      </c>
      <c r="E207">
        <v>3</v>
      </c>
      <c r="F207">
        <v>1605</v>
      </c>
      <c r="G207">
        <v>0</v>
      </c>
      <c r="I207">
        <v>843</v>
      </c>
      <c r="J207">
        <v>1590</v>
      </c>
      <c r="K207">
        <v>1802</v>
      </c>
      <c r="L207">
        <v>47.46</v>
      </c>
      <c r="M207">
        <v>0.96</v>
      </c>
      <c r="N207">
        <v>-12.25</v>
      </c>
      <c r="O207">
        <v>3.21</v>
      </c>
      <c r="P207" t="b">
        <v>0</v>
      </c>
      <c r="Q207">
        <v>0</v>
      </c>
      <c r="R207">
        <v>-21</v>
      </c>
      <c r="U207" t="s">
        <v>2067</v>
      </c>
      <c r="V207" t="s">
        <v>2931</v>
      </c>
      <c r="W207">
        <v>0</v>
      </c>
      <c r="X207">
        <v>0</v>
      </c>
      <c r="Y207" t="s">
        <v>3761</v>
      </c>
      <c r="Z207">
        <v>-12.273086161845089</v>
      </c>
      <c r="AA207">
        <v>776</v>
      </c>
      <c r="AB207">
        <v>4768203</v>
      </c>
      <c r="AC207" t="s">
        <v>4586</v>
      </c>
      <c r="AD207">
        <v>51.42</v>
      </c>
      <c r="AE207" t="s">
        <v>5450</v>
      </c>
      <c r="AF207" t="s">
        <v>6295</v>
      </c>
      <c r="AG207">
        <v>1749</v>
      </c>
      <c r="AH207">
        <v>35</v>
      </c>
      <c r="AJ207">
        <v>1.1399999999999999</v>
      </c>
    </row>
    <row r="208" spans="1:36">
      <c r="A208" s="1" t="s">
        <v>503</v>
      </c>
      <c r="B208" t="s">
        <v>1367</v>
      </c>
      <c r="C208" t="str">
        <f>HYPERLINK("https://finance.naver.com/item/coinfo.nhn?code=035150", "A035150")</f>
        <v>A035150</v>
      </c>
      <c r="D208" t="str">
        <f>HYPERLINK("http://comp.fnguide.com/SVO2/ASP/SVD_Consensus.asp?pGB=1&amp;gicode=A035150&amp;cID=&amp;MenuYn=Y&amp;ReportGB=&amp;NewMenuID=108&amp;stkGb=701", "백산")</f>
        <v>백산</v>
      </c>
      <c r="E208">
        <v>3</v>
      </c>
      <c r="F208">
        <v>5180</v>
      </c>
      <c r="G208">
        <v>0</v>
      </c>
      <c r="H208">
        <v>31.9</v>
      </c>
      <c r="I208">
        <v>5691</v>
      </c>
      <c r="J208">
        <v>5868</v>
      </c>
      <c r="K208">
        <v>5919</v>
      </c>
      <c r="L208">
        <v>-9.86</v>
      </c>
      <c r="M208">
        <v>-13.29</v>
      </c>
      <c r="N208">
        <v>-14.26</v>
      </c>
      <c r="O208">
        <v>7.55</v>
      </c>
      <c r="P208" t="b">
        <v>1</v>
      </c>
      <c r="Q208">
        <v>0</v>
      </c>
      <c r="R208">
        <v>282</v>
      </c>
      <c r="U208" t="s">
        <v>2231</v>
      </c>
      <c r="V208" t="s">
        <v>3095</v>
      </c>
      <c r="W208">
        <v>0</v>
      </c>
      <c r="X208">
        <v>0</v>
      </c>
      <c r="Y208" t="s">
        <v>3907</v>
      </c>
      <c r="Z208">
        <v>-18.49725915270318</v>
      </c>
      <c r="AA208">
        <v>1254</v>
      </c>
      <c r="AB208">
        <v>101396</v>
      </c>
      <c r="AC208" t="s">
        <v>4750</v>
      </c>
      <c r="AD208">
        <v>52.18</v>
      </c>
      <c r="AE208" t="s">
        <v>5614</v>
      </c>
      <c r="AF208" t="s">
        <v>6445</v>
      </c>
      <c r="AG208">
        <v>4689</v>
      </c>
      <c r="AH208">
        <v>320</v>
      </c>
      <c r="AI208">
        <v>544439</v>
      </c>
      <c r="AJ208">
        <v>1.1100000000000001</v>
      </c>
    </row>
    <row r="209" spans="1:36">
      <c r="A209" s="1" t="s">
        <v>183</v>
      </c>
      <c r="B209" t="s">
        <v>1047</v>
      </c>
      <c r="C209" t="str">
        <f>HYPERLINK("https://finance.naver.com/item/coinfo.nhn?code=212560", "A212560")</f>
        <v>A212560</v>
      </c>
      <c r="D209" t="str">
        <f>HYPERLINK("http://comp.fnguide.com/SVO2/ASP/SVD_Consensus.asp?pGB=1&amp;gicode=A212560&amp;cID=&amp;MenuYn=Y&amp;ReportGB=&amp;NewMenuID=108&amp;stkGb=701", "네오오토")</f>
        <v>네오오토</v>
      </c>
      <c r="E209">
        <v>3</v>
      </c>
      <c r="F209">
        <v>4765</v>
      </c>
      <c r="G209">
        <v>0</v>
      </c>
      <c r="H209">
        <v>14.3</v>
      </c>
      <c r="I209">
        <v>6527</v>
      </c>
      <c r="J209">
        <v>8667</v>
      </c>
      <c r="K209">
        <v>9275</v>
      </c>
      <c r="L209">
        <v>-36.99</v>
      </c>
      <c r="M209">
        <v>-81.88</v>
      </c>
      <c r="N209">
        <v>-94.64</v>
      </c>
      <c r="O209">
        <v>5.14</v>
      </c>
      <c r="P209" t="b">
        <v>1</v>
      </c>
      <c r="Q209">
        <v>0</v>
      </c>
      <c r="R209">
        <v>317</v>
      </c>
      <c r="U209" t="s">
        <v>1911</v>
      </c>
      <c r="V209" t="s">
        <v>2775</v>
      </c>
      <c r="W209">
        <v>0</v>
      </c>
      <c r="X209">
        <v>58.6</v>
      </c>
      <c r="Y209" t="s">
        <v>3627</v>
      </c>
      <c r="Z209">
        <v>-15.308245011764489</v>
      </c>
      <c r="AA209">
        <v>375</v>
      </c>
      <c r="AB209">
        <v>114839</v>
      </c>
      <c r="AC209" t="s">
        <v>4430</v>
      </c>
      <c r="AD209">
        <v>52.48</v>
      </c>
      <c r="AE209" t="s">
        <v>5294</v>
      </c>
      <c r="AF209" t="s">
        <v>6151</v>
      </c>
      <c r="AG209">
        <v>1184</v>
      </c>
      <c r="AH209">
        <v>8</v>
      </c>
      <c r="AI209">
        <v>406</v>
      </c>
      <c r="AJ209">
        <v>1.1000000000000001</v>
      </c>
    </row>
    <row r="210" spans="1:36">
      <c r="A210" s="1" t="s">
        <v>787</v>
      </c>
      <c r="B210" t="s">
        <v>1651</v>
      </c>
      <c r="C210" t="str">
        <f>HYPERLINK("https://finance.naver.com/item/coinfo.nhn?code=036580", "A036580")</f>
        <v>A036580</v>
      </c>
      <c r="D210" t="str">
        <f>HYPERLINK("http://comp.fnguide.com/SVO2/ASP/SVD_Consensus.asp?pGB=1&amp;gicode=A036580&amp;cID=&amp;MenuYn=Y&amp;ReportGB=&amp;NewMenuID=108&amp;stkGb=701", "팜스코")</f>
        <v>팜스코</v>
      </c>
      <c r="E210">
        <v>3</v>
      </c>
      <c r="F210">
        <v>4400</v>
      </c>
      <c r="G210">
        <v>0</v>
      </c>
      <c r="I210">
        <v>2717</v>
      </c>
      <c r="J210">
        <v>6116</v>
      </c>
      <c r="K210">
        <v>7082</v>
      </c>
      <c r="L210">
        <v>38.25</v>
      </c>
      <c r="M210">
        <v>-39.01</v>
      </c>
      <c r="N210">
        <v>-60.96</v>
      </c>
      <c r="O210">
        <v>2.58</v>
      </c>
      <c r="P210" t="b">
        <v>0</v>
      </c>
      <c r="Q210">
        <v>0</v>
      </c>
      <c r="R210">
        <v>-225</v>
      </c>
      <c r="U210" t="s">
        <v>2515</v>
      </c>
      <c r="V210" t="s">
        <v>3379</v>
      </c>
      <c r="W210">
        <v>0</v>
      </c>
      <c r="X210">
        <v>0</v>
      </c>
      <c r="Y210" t="s">
        <v>4173</v>
      </c>
      <c r="Z210">
        <v>-30.316657507709859</v>
      </c>
      <c r="AA210">
        <v>1616</v>
      </c>
      <c r="AB210">
        <v>124826</v>
      </c>
      <c r="AC210" t="s">
        <v>5034</v>
      </c>
      <c r="AD210">
        <v>56.57</v>
      </c>
      <c r="AE210" t="s">
        <v>5898</v>
      </c>
      <c r="AF210" t="s">
        <v>6707</v>
      </c>
      <c r="AG210">
        <v>11650</v>
      </c>
      <c r="AH210">
        <v>202</v>
      </c>
      <c r="AI210">
        <v>1709107</v>
      </c>
      <c r="AJ210">
        <v>1.0900000000000001</v>
      </c>
    </row>
    <row r="211" spans="1:36">
      <c r="A211" s="1" t="s">
        <v>569</v>
      </c>
      <c r="B211" t="s">
        <v>1433</v>
      </c>
      <c r="C211" t="str">
        <f>HYPERLINK("https://finance.naver.com/item/coinfo.nhn?code=155660", "A155660")</f>
        <v>A155660</v>
      </c>
      <c r="D211" t="str">
        <f>HYPERLINK("http://comp.fnguide.com/SVO2/ASP/SVD_Consensus.asp?pGB=1&amp;gicode=A155660&amp;cID=&amp;MenuYn=Y&amp;ReportGB=&amp;NewMenuID=108&amp;stkGb=701", "DSR")</f>
        <v>DSR</v>
      </c>
      <c r="E211">
        <v>3</v>
      </c>
      <c r="F211">
        <v>6530</v>
      </c>
      <c r="G211">
        <v>0</v>
      </c>
      <c r="H211">
        <v>8.4</v>
      </c>
      <c r="I211">
        <v>7409</v>
      </c>
      <c r="J211">
        <v>8735</v>
      </c>
      <c r="K211">
        <v>9112</v>
      </c>
      <c r="L211">
        <v>-13.46</v>
      </c>
      <c r="M211">
        <v>-33.76</v>
      </c>
      <c r="N211">
        <v>-39.53</v>
      </c>
      <c r="O211">
        <v>6.12</v>
      </c>
      <c r="P211" t="b">
        <v>1</v>
      </c>
      <c r="Q211">
        <v>0</v>
      </c>
      <c r="R211">
        <v>546</v>
      </c>
      <c r="U211" t="s">
        <v>2297</v>
      </c>
      <c r="V211" t="s">
        <v>3161</v>
      </c>
      <c r="W211">
        <v>0</v>
      </c>
      <c r="X211">
        <v>0.2</v>
      </c>
      <c r="Y211" t="s">
        <v>3971</v>
      </c>
      <c r="Z211">
        <v>-2.519392735844983</v>
      </c>
      <c r="AA211">
        <v>1045</v>
      </c>
      <c r="AB211">
        <v>1855368</v>
      </c>
      <c r="AC211" t="s">
        <v>4816</v>
      </c>
      <c r="AD211">
        <v>70.569999999999993</v>
      </c>
      <c r="AE211" t="s">
        <v>5680</v>
      </c>
      <c r="AF211" t="s">
        <v>6509</v>
      </c>
      <c r="AG211">
        <v>2363</v>
      </c>
      <c r="AH211">
        <v>107</v>
      </c>
      <c r="AJ211">
        <v>1.0900000000000001</v>
      </c>
    </row>
    <row r="212" spans="1:36">
      <c r="A212" s="1" t="s">
        <v>847</v>
      </c>
      <c r="B212" t="s">
        <v>1711</v>
      </c>
      <c r="C212" t="str">
        <f>HYPERLINK("https://finance.naver.com/item/coinfo.nhn?code=251630", "A251630")</f>
        <v>A251630</v>
      </c>
      <c r="D212" t="str">
        <f>HYPERLINK("http://comp.fnguide.com/SVO2/ASP/SVD_Consensus.asp?pGB=1&amp;gicode=A251630&amp;cID=&amp;MenuYn=Y&amp;ReportGB=&amp;NewMenuID=108&amp;stkGb=701", "브이원텍")</f>
        <v>브이원텍</v>
      </c>
      <c r="E212">
        <v>1</v>
      </c>
      <c r="F212">
        <v>10100</v>
      </c>
      <c r="G212">
        <v>0</v>
      </c>
      <c r="H212">
        <v>20.91</v>
      </c>
      <c r="I212">
        <v>11335</v>
      </c>
      <c r="J212">
        <v>7936</v>
      </c>
      <c r="K212">
        <v>6970</v>
      </c>
      <c r="L212">
        <v>-12.23</v>
      </c>
      <c r="M212">
        <v>21.43</v>
      </c>
      <c r="N212">
        <v>30.99</v>
      </c>
      <c r="O212">
        <v>15.83</v>
      </c>
      <c r="P212" t="b">
        <v>1</v>
      </c>
      <c r="Q212">
        <v>0</v>
      </c>
      <c r="R212">
        <v>442</v>
      </c>
      <c r="U212" t="s">
        <v>2575</v>
      </c>
      <c r="V212" t="s">
        <v>3439</v>
      </c>
      <c r="W212">
        <v>0</v>
      </c>
      <c r="X212">
        <v>-6.9</v>
      </c>
      <c r="Y212" t="s">
        <v>4233</v>
      </c>
      <c r="Z212">
        <v>14.49186008396843</v>
      </c>
      <c r="AA212">
        <v>1520</v>
      </c>
      <c r="AB212">
        <v>331173</v>
      </c>
      <c r="AC212" t="s">
        <v>5094</v>
      </c>
      <c r="AD212">
        <v>52.04</v>
      </c>
      <c r="AE212" t="s">
        <v>5958</v>
      </c>
      <c r="AF212" t="s">
        <v>6765</v>
      </c>
      <c r="AG212">
        <v>268</v>
      </c>
      <c r="AH212">
        <v>48</v>
      </c>
      <c r="AI212">
        <v>680241</v>
      </c>
      <c r="AJ212">
        <v>1.08</v>
      </c>
    </row>
    <row r="213" spans="1:36">
      <c r="A213" s="1" t="s">
        <v>302</v>
      </c>
      <c r="B213" t="s">
        <v>1166</v>
      </c>
      <c r="C213" t="str">
        <f>HYPERLINK("https://finance.naver.com/item/coinfo.nhn?code=084110", "A084110")</f>
        <v>A084110</v>
      </c>
      <c r="D213" t="str">
        <f>HYPERLINK("http://comp.fnguide.com/SVO2/ASP/SVD_Consensus.asp?pGB=1&amp;gicode=A084110&amp;cID=&amp;MenuYn=Y&amp;ReportGB=&amp;NewMenuID=108&amp;stkGb=701", "휴온스글로벌")</f>
        <v>휴온스글로벌</v>
      </c>
      <c r="E213">
        <v>3</v>
      </c>
      <c r="F213">
        <v>30900</v>
      </c>
      <c r="G213">
        <v>0</v>
      </c>
      <c r="H213">
        <v>15.12</v>
      </c>
      <c r="I213">
        <v>32155</v>
      </c>
      <c r="J213">
        <v>32914</v>
      </c>
      <c r="K213">
        <v>33130</v>
      </c>
      <c r="L213">
        <v>-4.0599999999999996</v>
      </c>
      <c r="M213">
        <v>-6.52</v>
      </c>
      <c r="N213">
        <v>-7.22</v>
      </c>
      <c r="O213">
        <v>7.64</v>
      </c>
      <c r="P213" t="b">
        <v>1</v>
      </c>
      <c r="Q213">
        <v>0</v>
      </c>
      <c r="R213">
        <v>2325</v>
      </c>
      <c r="U213" t="s">
        <v>2030</v>
      </c>
      <c r="V213" t="s">
        <v>2894</v>
      </c>
      <c r="W213">
        <v>0</v>
      </c>
      <c r="X213">
        <v>35.9</v>
      </c>
      <c r="Y213" t="s">
        <v>3733</v>
      </c>
      <c r="Z213">
        <v>5.5971417756304653</v>
      </c>
      <c r="AA213">
        <v>3542</v>
      </c>
      <c r="AB213">
        <v>63626</v>
      </c>
      <c r="AC213" t="s">
        <v>4549</v>
      </c>
      <c r="AD213">
        <v>56.66</v>
      </c>
      <c r="AE213" t="s">
        <v>5413</v>
      </c>
      <c r="AF213" t="s">
        <v>6264</v>
      </c>
      <c r="AG213">
        <v>4494</v>
      </c>
      <c r="AH213">
        <v>729</v>
      </c>
      <c r="AI213">
        <v>137681</v>
      </c>
      <c r="AJ213">
        <v>1.08</v>
      </c>
    </row>
    <row r="214" spans="1:36">
      <c r="A214" s="1" t="s">
        <v>359</v>
      </c>
      <c r="B214" t="s">
        <v>1223</v>
      </c>
      <c r="C214" t="str">
        <f>HYPERLINK("https://finance.naver.com/item/coinfo.nhn?code=115570", "A115570")</f>
        <v>A115570</v>
      </c>
      <c r="D214" t="str">
        <f>HYPERLINK("http://comp.fnguide.com/SVO2/ASP/SVD_Consensus.asp?pGB=1&amp;gicode=A115570&amp;cID=&amp;MenuYn=Y&amp;ReportGB=&amp;NewMenuID=108&amp;stkGb=701", "스타플렉스")</f>
        <v>스타플렉스</v>
      </c>
      <c r="E214">
        <v>3</v>
      </c>
      <c r="F214">
        <v>4995</v>
      </c>
      <c r="G214">
        <v>0</v>
      </c>
      <c r="I214">
        <v>2795</v>
      </c>
      <c r="J214">
        <v>6222</v>
      </c>
      <c r="K214">
        <v>7196</v>
      </c>
      <c r="L214">
        <v>44.05</v>
      </c>
      <c r="M214">
        <v>-24.57</v>
      </c>
      <c r="N214">
        <v>-44.07</v>
      </c>
      <c r="O214">
        <v>2.61</v>
      </c>
      <c r="P214" t="b">
        <v>0</v>
      </c>
      <c r="Q214">
        <v>0</v>
      </c>
      <c r="R214">
        <v>-973</v>
      </c>
      <c r="U214" t="s">
        <v>2087</v>
      </c>
      <c r="V214" t="s">
        <v>2951</v>
      </c>
      <c r="W214">
        <v>0</v>
      </c>
      <c r="X214">
        <v>0</v>
      </c>
      <c r="Y214" t="s">
        <v>3499</v>
      </c>
      <c r="Z214">
        <v>0</v>
      </c>
      <c r="AA214">
        <v>384</v>
      </c>
      <c r="AB214">
        <v>38459</v>
      </c>
      <c r="AC214" t="s">
        <v>4606</v>
      </c>
      <c r="AD214">
        <v>52.37</v>
      </c>
      <c r="AE214" t="s">
        <v>5470</v>
      </c>
      <c r="AF214" t="s">
        <v>6309</v>
      </c>
      <c r="AG214">
        <v>927</v>
      </c>
      <c r="AH214">
        <v>13</v>
      </c>
      <c r="AI214">
        <v>94490</v>
      </c>
      <c r="AJ214">
        <v>1.07</v>
      </c>
    </row>
    <row r="215" spans="1:36">
      <c r="A215" s="1" t="s">
        <v>765</v>
      </c>
      <c r="B215" t="s">
        <v>1629</v>
      </c>
      <c r="C215" t="str">
        <f>HYPERLINK("https://finance.naver.com/item/coinfo.nhn?code=031440", "A031440")</f>
        <v>A031440</v>
      </c>
      <c r="D215" t="str">
        <f>HYPERLINK("http://comp.fnguide.com/SVO2/ASP/SVD_Consensus.asp?pGB=1&amp;gicode=A031440&amp;cID=&amp;MenuYn=Y&amp;ReportGB=&amp;NewMenuID=108&amp;stkGb=701", "신세계푸드")</f>
        <v>신세계푸드</v>
      </c>
      <c r="E215">
        <v>3</v>
      </c>
      <c r="F215">
        <v>64900</v>
      </c>
      <c r="G215">
        <v>0</v>
      </c>
      <c r="H215">
        <v>62.54</v>
      </c>
      <c r="I215">
        <v>27756</v>
      </c>
      <c r="J215">
        <v>60016</v>
      </c>
      <c r="K215">
        <v>69184</v>
      </c>
      <c r="L215">
        <v>57.23</v>
      </c>
      <c r="M215">
        <v>7.53</v>
      </c>
      <c r="N215">
        <v>-6.6</v>
      </c>
      <c r="O215">
        <v>2.71</v>
      </c>
      <c r="P215" t="b">
        <v>0</v>
      </c>
      <c r="Q215">
        <v>0</v>
      </c>
      <c r="R215">
        <v>1124</v>
      </c>
      <c r="S215">
        <v>-336</v>
      </c>
      <c r="T215">
        <v>-129.9</v>
      </c>
      <c r="U215" t="s">
        <v>2493</v>
      </c>
      <c r="V215" t="s">
        <v>3357</v>
      </c>
      <c r="W215">
        <v>0</v>
      </c>
      <c r="X215">
        <v>0</v>
      </c>
      <c r="Y215" t="s">
        <v>4152</v>
      </c>
      <c r="Z215">
        <v>-10.18260576068835</v>
      </c>
      <c r="AA215">
        <v>2513</v>
      </c>
      <c r="AB215">
        <v>9484</v>
      </c>
      <c r="AC215" t="s">
        <v>5012</v>
      </c>
      <c r="AD215">
        <v>55.47</v>
      </c>
      <c r="AE215" t="s">
        <v>5876</v>
      </c>
      <c r="AF215" t="s">
        <v>6688</v>
      </c>
      <c r="AG215">
        <v>13201</v>
      </c>
      <c r="AH215">
        <v>222</v>
      </c>
      <c r="AI215">
        <v>189</v>
      </c>
      <c r="AJ215">
        <v>1.07</v>
      </c>
    </row>
    <row r="216" spans="1:36">
      <c r="A216" s="1" t="s">
        <v>759</v>
      </c>
      <c r="B216" t="s">
        <v>1623</v>
      </c>
      <c r="C216" t="str">
        <f>HYPERLINK("https://finance.naver.com/item/coinfo.nhn?code=016590", "A016590")</f>
        <v>A016590</v>
      </c>
      <c r="D216" t="str">
        <f>HYPERLINK("http://comp.fnguide.com/SVO2/ASP/SVD_Consensus.asp?pGB=1&amp;gicode=A016590&amp;cID=&amp;MenuYn=Y&amp;ReportGB=&amp;NewMenuID=108&amp;stkGb=701", "신대양제지")</f>
        <v>신대양제지</v>
      </c>
      <c r="E216">
        <v>3</v>
      </c>
      <c r="F216">
        <v>62100</v>
      </c>
      <c r="G216">
        <v>0</v>
      </c>
      <c r="H216">
        <v>4.3</v>
      </c>
      <c r="I216">
        <v>235675</v>
      </c>
      <c r="J216">
        <v>159634</v>
      </c>
      <c r="K216">
        <v>138024</v>
      </c>
      <c r="L216">
        <v>-279.51</v>
      </c>
      <c r="M216">
        <v>-157.06</v>
      </c>
      <c r="N216">
        <v>-122.26</v>
      </c>
      <c r="O216">
        <v>17.12</v>
      </c>
      <c r="P216" t="b">
        <v>1</v>
      </c>
      <c r="Q216">
        <v>0</v>
      </c>
      <c r="R216">
        <v>13849</v>
      </c>
      <c r="U216" t="s">
        <v>2487</v>
      </c>
      <c r="V216" t="s">
        <v>3351</v>
      </c>
      <c r="W216">
        <v>0</v>
      </c>
      <c r="X216">
        <v>-17</v>
      </c>
      <c r="Y216" t="s">
        <v>4146</v>
      </c>
      <c r="Z216">
        <v>29.982736326580021</v>
      </c>
      <c r="AA216">
        <v>2502</v>
      </c>
      <c r="AB216">
        <v>17899</v>
      </c>
      <c r="AC216" t="s">
        <v>5006</v>
      </c>
      <c r="AD216">
        <v>53.49</v>
      </c>
      <c r="AE216" t="s">
        <v>5870</v>
      </c>
      <c r="AF216" t="s">
        <v>6682</v>
      </c>
      <c r="AG216">
        <v>6468</v>
      </c>
      <c r="AH216">
        <v>947</v>
      </c>
      <c r="AI216">
        <v>201500</v>
      </c>
      <c r="AJ216">
        <v>1.05</v>
      </c>
    </row>
    <row r="217" spans="1:36">
      <c r="A217" s="1" t="s">
        <v>57</v>
      </c>
      <c r="B217" t="s">
        <v>921</v>
      </c>
      <c r="C217" t="str">
        <f>HYPERLINK("https://finance.naver.com/item/coinfo.nhn?code=241770", "A241770")</f>
        <v>A241770</v>
      </c>
      <c r="D217" t="str">
        <f>HYPERLINK("http://comp.fnguide.com/SVO2/ASP/SVD_Consensus.asp?pGB=1&amp;gicode=A241770&amp;cID=&amp;MenuYn=Y&amp;ReportGB=&amp;NewMenuID=108&amp;stkGb=701", "메카로")</f>
        <v>메카로</v>
      </c>
      <c r="E217">
        <v>3</v>
      </c>
      <c r="F217">
        <v>13800</v>
      </c>
      <c r="G217">
        <v>0</v>
      </c>
      <c r="H217">
        <v>18.809999999999999</v>
      </c>
      <c r="I217">
        <v>31981</v>
      </c>
      <c r="J217">
        <v>21483</v>
      </c>
      <c r="K217">
        <v>18500</v>
      </c>
      <c r="L217">
        <v>-131.75</v>
      </c>
      <c r="M217">
        <v>-55.68</v>
      </c>
      <c r="N217">
        <v>-34.06</v>
      </c>
      <c r="O217">
        <v>17.47</v>
      </c>
      <c r="P217" t="b">
        <v>1</v>
      </c>
      <c r="Q217">
        <v>0</v>
      </c>
      <c r="R217">
        <v>819</v>
      </c>
      <c r="U217" t="s">
        <v>1785</v>
      </c>
      <c r="V217" t="s">
        <v>2649</v>
      </c>
      <c r="W217">
        <v>0</v>
      </c>
      <c r="X217">
        <v>-98.4</v>
      </c>
      <c r="Y217" t="s">
        <v>3511</v>
      </c>
      <c r="Z217">
        <v>-53.388081995014758</v>
      </c>
      <c r="AA217">
        <v>1394</v>
      </c>
      <c r="AB217">
        <v>42487</v>
      </c>
      <c r="AC217" t="s">
        <v>4304</v>
      </c>
      <c r="AD217">
        <v>60.36</v>
      </c>
      <c r="AE217" t="s">
        <v>5168</v>
      </c>
      <c r="AF217" t="s">
        <v>6031</v>
      </c>
      <c r="AG217">
        <v>725</v>
      </c>
      <c r="AH217">
        <v>86</v>
      </c>
      <c r="AI217">
        <v>380000</v>
      </c>
      <c r="AJ217">
        <v>1.04</v>
      </c>
    </row>
    <row r="218" spans="1:36">
      <c r="A218" s="1" t="s">
        <v>752</v>
      </c>
      <c r="B218" t="s">
        <v>1616</v>
      </c>
      <c r="C218" t="str">
        <f>HYPERLINK("https://finance.naver.com/item/coinfo.nhn?code=005740", "A005740")</f>
        <v>A005740</v>
      </c>
      <c r="D218" t="str">
        <f>HYPERLINK("http://comp.fnguide.com/SVO2/ASP/SVD_Consensus.asp?pGB=1&amp;gicode=A005740&amp;cID=&amp;MenuYn=Y&amp;ReportGB=&amp;NewMenuID=108&amp;stkGb=701", "크라운해태홀딩스")</f>
        <v>크라운해태홀딩스</v>
      </c>
      <c r="E218">
        <v>3</v>
      </c>
      <c r="F218">
        <v>8870</v>
      </c>
      <c r="G218">
        <v>0</v>
      </c>
      <c r="I218">
        <v>23645</v>
      </c>
      <c r="J218">
        <v>20463</v>
      </c>
      <c r="K218">
        <v>19558</v>
      </c>
      <c r="L218">
        <v>-166.58</v>
      </c>
      <c r="M218">
        <v>-130.69</v>
      </c>
      <c r="N218">
        <v>-120.5</v>
      </c>
      <c r="O218">
        <v>10.23</v>
      </c>
      <c r="P218" t="b">
        <v>0</v>
      </c>
      <c r="Q218">
        <v>0</v>
      </c>
      <c r="R218">
        <v>-1342</v>
      </c>
      <c r="U218" t="s">
        <v>2480</v>
      </c>
      <c r="V218" t="s">
        <v>3344</v>
      </c>
      <c r="W218">
        <v>0</v>
      </c>
      <c r="X218">
        <v>696.5</v>
      </c>
      <c r="Y218" t="s">
        <v>4139</v>
      </c>
      <c r="Z218">
        <v>-2.1920820246574162</v>
      </c>
      <c r="AA218">
        <v>1317</v>
      </c>
      <c r="AB218">
        <v>37890</v>
      </c>
      <c r="AC218" t="s">
        <v>4999</v>
      </c>
      <c r="AD218">
        <v>55.02</v>
      </c>
      <c r="AE218" t="s">
        <v>5863</v>
      </c>
      <c r="AF218" t="s">
        <v>6675</v>
      </c>
      <c r="AG218">
        <v>10552</v>
      </c>
      <c r="AH218">
        <v>394</v>
      </c>
      <c r="AI218">
        <v>464612</v>
      </c>
      <c r="AJ218">
        <v>0.96</v>
      </c>
    </row>
    <row r="219" spans="1:36">
      <c r="A219" s="1" t="s">
        <v>439</v>
      </c>
      <c r="B219" t="s">
        <v>1303</v>
      </c>
      <c r="C219" t="str">
        <f>HYPERLINK("https://finance.naver.com/item/coinfo.nhn?code=006040", "A006040")</f>
        <v>A006040</v>
      </c>
      <c r="D219" t="str">
        <f>HYPERLINK("http://comp.fnguide.com/SVO2/ASP/SVD_Consensus.asp?pGB=1&amp;gicode=A006040&amp;cID=&amp;MenuYn=Y&amp;ReportGB=&amp;NewMenuID=108&amp;stkGb=701", "동원산업")</f>
        <v>동원산업</v>
      </c>
      <c r="E219">
        <v>3</v>
      </c>
      <c r="F219">
        <v>219000</v>
      </c>
      <c r="G219">
        <v>-7.49</v>
      </c>
      <c r="H219">
        <v>16.739999999999998</v>
      </c>
      <c r="I219">
        <v>305216</v>
      </c>
      <c r="J219">
        <v>304985</v>
      </c>
      <c r="K219">
        <v>304919</v>
      </c>
      <c r="L219">
        <v>-39.369999999999997</v>
      </c>
      <c r="M219">
        <v>-39.26</v>
      </c>
      <c r="N219">
        <v>-39.229999999999997</v>
      </c>
      <c r="O219">
        <v>7.95</v>
      </c>
      <c r="P219" t="b">
        <v>0</v>
      </c>
      <c r="Q219">
        <v>1</v>
      </c>
      <c r="R219">
        <v>12632</v>
      </c>
      <c r="S219">
        <v>46361</v>
      </c>
      <c r="T219">
        <v>267</v>
      </c>
      <c r="U219" t="s">
        <v>2167</v>
      </c>
      <c r="V219" t="s">
        <v>3031</v>
      </c>
      <c r="W219">
        <v>-2.235652274055044</v>
      </c>
      <c r="X219">
        <v>161.1</v>
      </c>
      <c r="Y219" t="s">
        <v>3847</v>
      </c>
      <c r="Z219">
        <v>57.063712835856471</v>
      </c>
      <c r="AA219">
        <v>8054</v>
      </c>
      <c r="AB219">
        <v>7952</v>
      </c>
      <c r="AC219" t="s">
        <v>4686</v>
      </c>
      <c r="AD219">
        <v>63.3</v>
      </c>
      <c r="AE219" t="s">
        <v>5550</v>
      </c>
      <c r="AF219" t="s">
        <v>6383</v>
      </c>
      <c r="AG219">
        <v>26826</v>
      </c>
      <c r="AH219">
        <v>1936</v>
      </c>
      <c r="AI219">
        <v>266581</v>
      </c>
      <c r="AJ219">
        <v>0.95</v>
      </c>
    </row>
    <row r="220" spans="1:36">
      <c r="A220" s="1" t="s">
        <v>801</v>
      </c>
      <c r="B220" t="s">
        <v>1665</v>
      </c>
      <c r="C220" t="str">
        <f>HYPERLINK("https://finance.naver.com/item/coinfo.nhn?code=267980", "A267980")</f>
        <v>A267980</v>
      </c>
      <c r="D220" t="str">
        <f>HYPERLINK("http://comp.fnguide.com/SVO2/ASP/SVD_Consensus.asp?pGB=1&amp;gicode=A267980&amp;cID=&amp;MenuYn=Y&amp;ReportGB=&amp;NewMenuID=108&amp;stkGb=701", "매일유업")</f>
        <v>매일유업</v>
      </c>
      <c r="E220">
        <v>2</v>
      </c>
      <c r="F220">
        <v>69600</v>
      </c>
      <c r="G220">
        <v>0.53</v>
      </c>
      <c r="H220">
        <v>10.5</v>
      </c>
      <c r="I220">
        <v>98109</v>
      </c>
      <c r="J220">
        <v>70963</v>
      </c>
      <c r="K220">
        <v>63249</v>
      </c>
      <c r="L220">
        <v>-40.96</v>
      </c>
      <c r="M220">
        <v>-1.96</v>
      </c>
      <c r="N220">
        <v>9.1199999999999992</v>
      </c>
      <c r="O220">
        <v>14.7</v>
      </c>
      <c r="P220" t="b">
        <v>1</v>
      </c>
      <c r="Q220">
        <v>0</v>
      </c>
      <c r="R220">
        <v>8202</v>
      </c>
      <c r="S220">
        <v>8124</v>
      </c>
      <c r="T220">
        <v>-1</v>
      </c>
      <c r="U220" t="s">
        <v>2529</v>
      </c>
      <c r="V220" t="s">
        <v>3393</v>
      </c>
      <c r="W220">
        <v>19.904968511668251</v>
      </c>
      <c r="X220">
        <v>-14.5</v>
      </c>
      <c r="Y220" t="s">
        <v>4187</v>
      </c>
      <c r="Z220">
        <v>0</v>
      </c>
      <c r="AA220">
        <v>5459</v>
      </c>
      <c r="AB220">
        <v>27761</v>
      </c>
      <c r="AC220" t="s">
        <v>5048</v>
      </c>
      <c r="AD220">
        <v>56.27</v>
      </c>
      <c r="AE220" t="s">
        <v>5912</v>
      </c>
      <c r="AF220" t="s">
        <v>6721</v>
      </c>
      <c r="AG220">
        <v>13933</v>
      </c>
      <c r="AH220">
        <v>853</v>
      </c>
      <c r="AI220">
        <v>227402</v>
      </c>
      <c r="AJ220">
        <v>0.93</v>
      </c>
    </row>
    <row r="221" spans="1:36">
      <c r="A221" s="1" t="s">
        <v>786</v>
      </c>
      <c r="B221" t="s">
        <v>1650</v>
      </c>
      <c r="C221" t="str">
        <f>HYPERLINK("https://finance.naver.com/item/coinfo.nhn?code=067830", "A067830")</f>
        <v>A067830</v>
      </c>
      <c r="D221" t="str">
        <f>HYPERLINK("http://comp.fnguide.com/SVO2/ASP/SVD_Consensus.asp?pGB=1&amp;gicode=A067830&amp;cID=&amp;MenuYn=Y&amp;ReportGB=&amp;NewMenuID=108&amp;stkGb=701", "세이브존I&amp;C")</f>
        <v>세이브존I&amp;C</v>
      </c>
      <c r="E221">
        <v>3</v>
      </c>
      <c r="F221">
        <v>2855</v>
      </c>
      <c r="G221">
        <v>0</v>
      </c>
      <c r="H221">
        <v>6.01</v>
      </c>
      <c r="I221">
        <v>8746</v>
      </c>
      <c r="J221">
        <v>10620</v>
      </c>
      <c r="K221">
        <v>11152</v>
      </c>
      <c r="L221">
        <v>-206.33</v>
      </c>
      <c r="M221">
        <v>-271.97000000000003</v>
      </c>
      <c r="N221">
        <v>-290.62</v>
      </c>
      <c r="O221">
        <v>5.85</v>
      </c>
      <c r="P221" t="b">
        <v>1</v>
      </c>
      <c r="Q221">
        <v>0</v>
      </c>
      <c r="R221">
        <v>542</v>
      </c>
      <c r="U221" t="s">
        <v>2514</v>
      </c>
      <c r="V221" t="s">
        <v>3378</v>
      </c>
      <c r="W221">
        <v>0</v>
      </c>
      <c r="X221">
        <v>-58.1</v>
      </c>
      <c r="Y221" t="s">
        <v>4172</v>
      </c>
      <c r="Z221">
        <v>-18.361615273975112</v>
      </c>
      <c r="AA221">
        <v>1172</v>
      </c>
      <c r="AB221">
        <v>147545</v>
      </c>
      <c r="AC221" t="s">
        <v>5033</v>
      </c>
      <c r="AD221">
        <v>53.22</v>
      </c>
      <c r="AE221" t="s">
        <v>5897</v>
      </c>
      <c r="AF221" t="s">
        <v>6706</v>
      </c>
      <c r="AG221">
        <v>1592</v>
      </c>
      <c r="AH221">
        <v>295</v>
      </c>
      <c r="AI221">
        <v>3276263</v>
      </c>
      <c r="AJ221">
        <v>0.92</v>
      </c>
    </row>
    <row r="222" spans="1:36">
      <c r="A222" s="1" t="s">
        <v>337</v>
      </c>
      <c r="B222" t="s">
        <v>1201</v>
      </c>
      <c r="C222" t="str">
        <f>HYPERLINK("https://finance.naver.com/item/coinfo.nhn?code=041440", "A041440")</f>
        <v>A041440</v>
      </c>
      <c r="D222" t="str">
        <f>HYPERLINK("http://comp.fnguide.com/SVO2/ASP/SVD_Consensus.asp?pGB=1&amp;gicode=A041440&amp;cID=&amp;MenuYn=Y&amp;ReportGB=&amp;NewMenuID=108&amp;stkGb=701", "에버다임")</f>
        <v>에버다임</v>
      </c>
      <c r="E222">
        <v>3</v>
      </c>
      <c r="F222">
        <v>4235</v>
      </c>
      <c r="G222">
        <v>0</v>
      </c>
      <c r="H222">
        <v>68.41</v>
      </c>
      <c r="I222">
        <v>5063</v>
      </c>
      <c r="J222">
        <v>8421</v>
      </c>
      <c r="K222">
        <v>9375</v>
      </c>
      <c r="L222">
        <v>-19.54</v>
      </c>
      <c r="M222">
        <v>-98.83</v>
      </c>
      <c r="N222">
        <v>-121.36</v>
      </c>
      <c r="O222">
        <v>3.78</v>
      </c>
      <c r="P222" t="b">
        <v>1</v>
      </c>
      <c r="Q222">
        <v>0</v>
      </c>
      <c r="R222">
        <v>65</v>
      </c>
      <c r="U222" t="s">
        <v>2065</v>
      </c>
      <c r="V222" t="s">
        <v>2929</v>
      </c>
      <c r="W222">
        <v>0</v>
      </c>
      <c r="X222">
        <v>-21.1</v>
      </c>
      <c r="Y222" t="s">
        <v>3760</v>
      </c>
      <c r="Z222">
        <v>-40.419336683462461</v>
      </c>
      <c r="AA222">
        <v>759</v>
      </c>
      <c r="AB222">
        <v>35541</v>
      </c>
      <c r="AC222" t="s">
        <v>4584</v>
      </c>
      <c r="AD222">
        <v>51.62</v>
      </c>
      <c r="AE222" t="s">
        <v>5448</v>
      </c>
      <c r="AF222" t="s">
        <v>6294</v>
      </c>
      <c r="AG222">
        <v>2486</v>
      </c>
      <c r="AH222">
        <v>31</v>
      </c>
      <c r="AI222">
        <v>74232</v>
      </c>
      <c r="AJ222">
        <v>0.9</v>
      </c>
    </row>
    <row r="223" spans="1:36">
      <c r="A223" s="1" t="s">
        <v>836</v>
      </c>
      <c r="B223" t="s">
        <v>1700</v>
      </c>
      <c r="C223" t="str">
        <f>HYPERLINK("https://finance.naver.com/item/coinfo.nhn?code=007700", "A007700")</f>
        <v>A007700</v>
      </c>
      <c r="D223" t="str">
        <f>HYPERLINK("http://comp.fnguide.com/SVO2/ASP/SVD_Consensus.asp?pGB=1&amp;gicode=A007700&amp;cID=&amp;MenuYn=Y&amp;ReportGB=&amp;NewMenuID=108&amp;stkGb=701", "F&amp;F")</f>
        <v>F&amp;F</v>
      </c>
      <c r="E223">
        <v>1</v>
      </c>
      <c r="F223">
        <v>83400</v>
      </c>
      <c r="G223">
        <v>5.45</v>
      </c>
      <c r="H223">
        <v>15.65</v>
      </c>
      <c r="I223">
        <v>110736</v>
      </c>
      <c r="J223">
        <v>63078</v>
      </c>
      <c r="K223">
        <v>49535</v>
      </c>
      <c r="L223">
        <v>-32.78</v>
      </c>
      <c r="M223">
        <v>24.37</v>
      </c>
      <c r="N223">
        <v>40.61</v>
      </c>
      <c r="O223">
        <v>27.89</v>
      </c>
      <c r="P223" t="b">
        <v>1</v>
      </c>
      <c r="Q223">
        <v>0</v>
      </c>
      <c r="R223">
        <v>7156</v>
      </c>
      <c r="S223">
        <v>5292</v>
      </c>
      <c r="T223">
        <v>-26</v>
      </c>
      <c r="U223" t="s">
        <v>2564</v>
      </c>
      <c r="V223" t="s">
        <v>3428</v>
      </c>
      <c r="W223">
        <v>2.871120421889461</v>
      </c>
      <c r="X223">
        <v>-38.700000000000003</v>
      </c>
      <c r="Y223" t="s">
        <v>4222</v>
      </c>
      <c r="Z223">
        <v>40.258209008164663</v>
      </c>
      <c r="AA223">
        <v>12844</v>
      </c>
      <c r="AB223">
        <v>51425</v>
      </c>
      <c r="AC223" t="s">
        <v>5083</v>
      </c>
      <c r="AD223">
        <v>58.82</v>
      </c>
      <c r="AE223" t="s">
        <v>5947</v>
      </c>
      <c r="AF223" t="s">
        <v>6755</v>
      </c>
      <c r="AG223">
        <v>9103</v>
      </c>
      <c r="AH223">
        <v>1507</v>
      </c>
      <c r="AI223">
        <v>79896</v>
      </c>
      <c r="AJ223">
        <v>0.89</v>
      </c>
    </row>
    <row r="224" spans="1:36">
      <c r="A224" s="1" t="s">
        <v>571</v>
      </c>
      <c r="B224" t="s">
        <v>1435</v>
      </c>
      <c r="C224" t="str">
        <f>HYPERLINK("https://finance.naver.com/item/coinfo.nhn?code=069730", "A069730")</f>
        <v>A069730</v>
      </c>
      <c r="D224" t="str">
        <f>HYPERLINK("http://comp.fnguide.com/SVO2/ASP/SVD_Consensus.asp?pGB=1&amp;gicode=A069730&amp;cID=&amp;MenuYn=Y&amp;ReportGB=&amp;NewMenuID=108&amp;stkGb=701", "DSR제강")</f>
        <v>DSR제강</v>
      </c>
      <c r="E224">
        <v>3</v>
      </c>
      <c r="F224">
        <v>4925</v>
      </c>
      <c r="G224">
        <v>0</v>
      </c>
      <c r="H224">
        <v>9.6999999999999993</v>
      </c>
      <c r="I224">
        <v>6121</v>
      </c>
      <c r="J224">
        <v>8367</v>
      </c>
      <c r="K224">
        <v>9005</v>
      </c>
      <c r="L224">
        <v>-24.28</v>
      </c>
      <c r="M224">
        <v>-69.89</v>
      </c>
      <c r="N224">
        <v>-82.85</v>
      </c>
      <c r="O224">
        <v>4.93</v>
      </c>
      <c r="P224" t="b">
        <v>1</v>
      </c>
      <c r="Q224">
        <v>0</v>
      </c>
      <c r="R224">
        <v>469</v>
      </c>
      <c r="U224" t="s">
        <v>2299</v>
      </c>
      <c r="V224" t="s">
        <v>3163</v>
      </c>
      <c r="W224">
        <v>0</v>
      </c>
      <c r="X224">
        <v>-19.600000000000001</v>
      </c>
      <c r="Y224" t="s">
        <v>3973</v>
      </c>
      <c r="Z224">
        <v>-11.26240073640721</v>
      </c>
      <c r="AA224">
        <v>709</v>
      </c>
      <c r="AB224">
        <v>401501</v>
      </c>
      <c r="AC224" t="s">
        <v>4818</v>
      </c>
      <c r="AD224">
        <v>57.18</v>
      </c>
      <c r="AE224" t="s">
        <v>5682</v>
      </c>
      <c r="AF224" t="s">
        <v>6511</v>
      </c>
      <c r="AG224">
        <v>1915</v>
      </c>
      <c r="AH224">
        <v>52</v>
      </c>
      <c r="AJ224">
        <v>0.88</v>
      </c>
    </row>
    <row r="225" spans="1:36">
      <c r="A225" s="1" t="s">
        <v>719</v>
      </c>
      <c r="B225" t="s">
        <v>1583</v>
      </c>
      <c r="C225" t="str">
        <f>HYPERLINK("https://finance.naver.com/item/coinfo.nhn?code=010040", "A010040")</f>
        <v>A010040</v>
      </c>
      <c r="D225" t="str">
        <f>HYPERLINK("http://comp.fnguide.com/SVO2/ASP/SVD_Consensus.asp?pGB=1&amp;gicode=A010040&amp;cID=&amp;MenuYn=Y&amp;ReportGB=&amp;NewMenuID=108&amp;stkGb=701", "한국내화")</f>
        <v>한국내화</v>
      </c>
      <c r="E225">
        <v>3</v>
      </c>
      <c r="F225">
        <v>3860</v>
      </c>
      <c r="G225">
        <v>0</v>
      </c>
      <c r="H225">
        <v>21.58</v>
      </c>
      <c r="I225">
        <v>4085</v>
      </c>
      <c r="J225">
        <v>5413</v>
      </c>
      <c r="K225">
        <v>5790</v>
      </c>
      <c r="L225">
        <v>-5.83</v>
      </c>
      <c r="M225">
        <v>-40.229999999999997</v>
      </c>
      <c r="N225">
        <v>-50</v>
      </c>
      <c r="O225">
        <v>5.16</v>
      </c>
      <c r="P225" t="b">
        <v>0</v>
      </c>
      <c r="Q225">
        <v>0</v>
      </c>
      <c r="R225">
        <v>187</v>
      </c>
      <c r="U225" t="s">
        <v>2447</v>
      </c>
      <c r="V225" t="s">
        <v>3311</v>
      </c>
      <c r="W225">
        <v>0</v>
      </c>
      <c r="X225">
        <v>-97.1</v>
      </c>
      <c r="Y225" t="s">
        <v>4109</v>
      </c>
      <c r="Z225">
        <v>-52.582963857738847</v>
      </c>
      <c r="AA225">
        <v>883</v>
      </c>
      <c r="AB225">
        <v>12831615</v>
      </c>
      <c r="AC225" t="s">
        <v>4966</v>
      </c>
      <c r="AD225">
        <v>55.01</v>
      </c>
      <c r="AE225" t="s">
        <v>5830</v>
      </c>
      <c r="AF225" t="s">
        <v>6648</v>
      </c>
      <c r="AG225">
        <v>2239</v>
      </c>
      <c r="AH225">
        <v>90</v>
      </c>
      <c r="AI225">
        <v>533000</v>
      </c>
      <c r="AJ225">
        <v>0.87</v>
      </c>
    </row>
    <row r="226" spans="1:36">
      <c r="A226" s="1" t="s">
        <v>511</v>
      </c>
      <c r="B226" t="s">
        <v>1375</v>
      </c>
      <c r="C226" t="str">
        <f>HYPERLINK("https://finance.naver.com/item/coinfo.nhn?code=280360", "A280360")</f>
        <v>A280360</v>
      </c>
      <c r="D226" t="str">
        <f>HYPERLINK("http://comp.fnguide.com/SVO2/ASP/SVD_Consensus.asp?pGB=1&amp;gicode=A280360&amp;cID=&amp;MenuYn=Y&amp;ReportGB=&amp;NewMenuID=108&amp;stkGb=701", "롯데제과")</f>
        <v>롯데제과</v>
      </c>
      <c r="E226">
        <v>3</v>
      </c>
      <c r="F226">
        <v>102500</v>
      </c>
      <c r="G226">
        <v>0</v>
      </c>
      <c r="H226">
        <v>25.2</v>
      </c>
      <c r="I226">
        <v>45339</v>
      </c>
      <c r="J226">
        <v>131561</v>
      </c>
      <c r="K226">
        <v>156063</v>
      </c>
      <c r="L226">
        <v>55.77</v>
      </c>
      <c r="M226">
        <v>-28.35</v>
      </c>
      <c r="N226">
        <v>-52.26</v>
      </c>
      <c r="O226">
        <v>1.91</v>
      </c>
      <c r="P226" t="b">
        <v>1</v>
      </c>
      <c r="Q226">
        <v>0</v>
      </c>
      <c r="R226">
        <v>5932</v>
      </c>
      <c r="U226" t="s">
        <v>2239</v>
      </c>
      <c r="V226" t="s">
        <v>3103</v>
      </c>
      <c r="W226">
        <v>0</v>
      </c>
      <c r="X226">
        <v>-8.6999999999999993</v>
      </c>
      <c r="Y226" t="s">
        <v>3914</v>
      </c>
      <c r="Z226">
        <v>0</v>
      </c>
      <c r="AA226">
        <v>6577</v>
      </c>
      <c r="AB226">
        <v>10124</v>
      </c>
      <c r="AC226" t="s">
        <v>4758</v>
      </c>
      <c r="AD226">
        <v>77.69</v>
      </c>
      <c r="AE226" t="s">
        <v>5622</v>
      </c>
      <c r="AF226" t="s">
        <v>6452</v>
      </c>
      <c r="AG226">
        <v>20930</v>
      </c>
      <c r="AH226">
        <v>973</v>
      </c>
      <c r="AI226">
        <v>4578</v>
      </c>
      <c r="AJ226">
        <v>0.87</v>
      </c>
    </row>
    <row r="227" spans="1:36">
      <c r="A227" s="1" t="s">
        <v>563</v>
      </c>
      <c r="B227" t="s">
        <v>1427</v>
      </c>
      <c r="C227" t="str">
        <f>HYPERLINK("https://finance.naver.com/item/coinfo.nhn?code=000590", "A000590")</f>
        <v>A000590</v>
      </c>
      <c r="D227" t="str">
        <f>HYPERLINK("http://comp.fnguide.com/SVO2/ASP/SVD_Consensus.asp?pGB=1&amp;gicode=A000590&amp;cID=&amp;MenuYn=Y&amp;ReportGB=&amp;NewMenuID=108&amp;stkGb=701", "CS홀딩스")</f>
        <v>CS홀딩스</v>
      </c>
      <c r="E227">
        <v>3</v>
      </c>
      <c r="F227">
        <v>57900</v>
      </c>
      <c r="G227">
        <v>0</v>
      </c>
      <c r="H227">
        <v>6.98</v>
      </c>
      <c r="I227">
        <v>89108</v>
      </c>
      <c r="J227">
        <v>153907</v>
      </c>
      <c r="K227">
        <v>172322</v>
      </c>
      <c r="L227">
        <v>-53.9</v>
      </c>
      <c r="M227">
        <v>-165.82</v>
      </c>
      <c r="N227">
        <v>-197.62</v>
      </c>
      <c r="O227">
        <v>3.6</v>
      </c>
      <c r="P227" t="b">
        <v>1</v>
      </c>
      <c r="Q227">
        <v>0</v>
      </c>
      <c r="R227">
        <v>8382</v>
      </c>
      <c r="U227" t="s">
        <v>2291</v>
      </c>
      <c r="V227" t="s">
        <v>3155</v>
      </c>
      <c r="W227">
        <v>0</v>
      </c>
      <c r="X227">
        <v>-6.8</v>
      </c>
      <c r="Y227" t="s">
        <v>3965</v>
      </c>
      <c r="Z227">
        <v>-16.039671437274809</v>
      </c>
      <c r="AA227">
        <v>668</v>
      </c>
      <c r="AB227">
        <v>5134</v>
      </c>
      <c r="AC227" t="s">
        <v>4810</v>
      </c>
      <c r="AD227">
        <v>73.37</v>
      </c>
      <c r="AE227" t="s">
        <v>5674</v>
      </c>
      <c r="AF227" t="s">
        <v>6503</v>
      </c>
      <c r="AG227">
        <v>1350</v>
      </c>
      <c r="AH227">
        <v>170</v>
      </c>
      <c r="AI227">
        <v>7161</v>
      </c>
      <c r="AJ227">
        <v>0.85</v>
      </c>
    </row>
    <row r="228" spans="1:36">
      <c r="A228" s="1" t="s">
        <v>64</v>
      </c>
      <c r="B228" t="s">
        <v>928</v>
      </c>
      <c r="C228" t="str">
        <f>HYPERLINK("https://finance.naver.com/item/coinfo.nhn?code=008830", "A008830")</f>
        <v>A008830</v>
      </c>
      <c r="D228" t="str">
        <f>HYPERLINK("http://comp.fnguide.com/SVO2/ASP/SVD_Consensus.asp?pGB=1&amp;gicode=A008830&amp;cID=&amp;MenuYn=Y&amp;ReportGB=&amp;NewMenuID=108&amp;stkGb=701", "대동기어")</f>
        <v>대동기어</v>
      </c>
      <c r="E228">
        <v>3</v>
      </c>
      <c r="F228">
        <v>3165</v>
      </c>
      <c r="G228">
        <v>0</v>
      </c>
      <c r="I228">
        <v>110</v>
      </c>
      <c r="J228">
        <v>3886</v>
      </c>
      <c r="K228">
        <v>4960</v>
      </c>
      <c r="L228">
        <v>96.53</v>
      </c>
      <c r="M228">
        <v>-22.79</v>
      </c>
      <c r="N228">
        <v>-56.7</v>
      </c>
      <c r="O228">
        <v>0.14000000000000001</v>
      </c>
      <c r="P228" t="b">
        <v>0</v>
      </c>
      <c r="Q228">
        <v>0</v>
      </c>
      <c r="R228">
        <v>-62</v>
      </c>
      <c r="U228" t="s">
        <v>1792</v>
      </c>
      <c r="V228" t="s">
        <v>2656</v>
      </c>
      <c r="W228">
        <v>0</v>
      </c>
      <c r="X228">
        <v>841.7</v>
      </c>
      <c r="Y228" t="s">
        <v>3518</v>
      </c>
      <c r="Z228">
        <v>426.35362637679242</v>
      </c>
      <c r="AA228">
        <v>284</v>
      </c>
      <c r="AB228">
        <v>24940</v>
      </c>
      <c r="AC228" t="s">
        <v>4311</v>
      </c>
      <c r="AD228">
        <v>60.23</v>
      </c>
      <c r="AE228" t="s">
        <v>5175</v>
      </c>
      <c r="AF228" t="s">
        <v>6038</v>
      </c>
      <c r="AG228">
        <v>1431</v>
      </c>
      <c r="AH228">
        <v>32</v>
      </c>
      <c r="AJ228">
        <v>0.85</v>
      </c>
    </row>
    <row r="229" spans="1:36">
      <c r="A229" s="1" t="s">
        <v>418</v>
      </c>
      <c r="B229" t="s">
        <v>1282</v>
      </c>
      <c r="C229" t="str">
        <f>HYPERLINK("https://finance.naver.com/item/coinfo.nhn?code=072470", "A072470")</f>
        <v>A072470</v>
      </c>
      <c r="D229" t="str">
        <f>HYPERLINK("http://comp.fnguide.com/SVO2/ASP/SVD_Consensus.asp?pGB=1&amp;gicode=A072470&amp;cID=&amp;MenuYn=Y&amp;ReportGB=&amp;NewMenuID=108&amp;stkGb=701", "우리산업홀딩스")</f>
        <v>우리산업홀딩스</v>
      </c>
      <c r="E229">
        <v>3</v>
      </c>
      <c r="F229">
        <v>5140</v>
      </c>
      <c r="G229">
        <v>0</v>
      </c>
      <c r="H229">
        <v>314.95</v>
      </c>
      <c r="I229">
        <v>766</v>
      </c>
      <c r="J229">
        <v>4419</v>
      </c>
      <c r="K229">
        <v>5457</v>
      </c>
      <c r="L229">
        <v>85.09</v>
      </c>
      <c r="M229">
        <v>14.03</v>
      </c>
      <c r="N229">
        <v>-6.16</v>
      </c>
      <c r="O229">
        <v>0.89</v>
      </c>
      <c r="P229" t="b">
        <v>0</v>
      </c>
      <c r="Q229">
        <v>0</v>
      </c>
      <c r="R229">
        <v>10</v>
      </c>
      <c r="U229" t="s">
        <v>2146</v>
      </c>
      <c r="V229" t="s">
        <v>3010</v>
      </c>
      <c r="W229">
        <v>0</v>
      </c>
      <c r="X229">
        <v>-53.5</v>
      </c>
      <c r="Y229" t="s">
        <v>3827</v>
      </c>
      <c r="Z229">
        <v>-69.752492497476453</v>
      </c>
      <c r="AA229">
        <v>971</v>
      </c>
      <c r="AB229">
        <v>51581</v>
      </c>
      <c r="AC229" t="s">
        <v>4665</v>
      </c>
      <c r="AD229">
        <v>78.63</v>
      </c>
      <c r="AE229" t="s">
        <v>5529</v>
      </c>
      <c r="AF229" t="s">
        <v>6362</v>
      </c>
      <c r="AG229">
        <v>3782</v>
      </c>
      <c r="AH229">
        <v>74</v>
      </c>
      <c r="AI229">
        <v>3612</v>
      </c>
      <c r="AJ229">
        <v>0.83</v>
      </c>
    </row>
    <row r="230" spans="1:36">
      <c r="A230" s="1" t="s">
        <v>883</v>
      </c>
      <c r="B230" t="s">
        <v>1747</v>
      </c>
      <c r="C230" t="str">
        <f>HYPERLINK("https://finance.naver.com/item/coinfo.nhn?code=312610", "A312610")</f>
        <v>A312610</v>
      </c>
      <c r="D230" t="str">
        <f>HYPERLINK("http://comp.fnguide.com/SVO2/ASP/SVD_Consensus.asp?pGB=1&amp;gicode=A312610&amp;cID=&amp;MenuYn=Y&amp;ReportGB=&amp;NewMenuID=108&amp;stkGb=701", "에이에프더블류")</f>
        <v>에이에프더블류</v>
      </c>
      <c r="E230">
        <v>1</v>
      </c>
      <c r="F230">
        <v>14550</v>
      </c>
      <c r="G230">
        <v>0</v>
      </c>
      <c r="H230">
        <v>21.02</v>
      </c>
      <c r="I230">
        <v>20655</v>
      </c>
      <c r="J230">
        <v>12546</v>
      </c>
      <c r="K230">
        <v>10242</v>
      </c>
      <c r="L230">
        <v>-41.96</v>
      </c>
      <c r="M230">
        <v>13.77</v>
      </c>
      <c r="N230">
        <v>29.61</v>
      </c>
      <c r="O230">
        <v>22.85</v>
      </c>
      <c r="P230" t="b">
        <v>1</v>
      </c>
      <c r="Q230">
        <v>0</v>
      </c>
      <c r="R230">
        <v>602</v>
      </c>
      <c r="U230" t="s">
        <v>2611</v>
      </c>
      <c r="V230" t="s">
        <v>3475</v>
      </c>
      <c r="W230">
        <v>0</v>
      </c>
      <c r="X230">
        <v>-74</v>
      </c>
      <c r="Y230" t="s">
        <v>4267</v>
      </c>
      <c r="Z230">
        <v>0</v>
      </c>
      <c r="AA230">
        <v>1474</v>
      </c>
      <c r="AB230">
        <v>97049</v>
      </c>
      <c r="AC230" t="s">
        <v>5130</v>
      </c>
      <c r="AD230">
        <v>52.75</v>
      </c>
      <c r="AE230" t="s">
        <v>5994</v>
      </c>
      <c r="AF230" t="s">
        <v>6800</v>
      </c>
      <c r="AG230">
        <v>260</v>
      </c>
      <c r="AH230">
        <v>72</v>
      </c>
      <c r="AJ230">
        <v>0.79</v>
      </c>
    </row>
    <row r="231" spans="1:36">
      <c r="A231" s="1" t="s">
        <v>493</v>
      </c>
      <c r="B231" t="s">
        <v>1357</v>
      </c>
      <c r="C231" t="str">
        <f>HYPERLINK("https://finance.naver.com/item/coinfo.nhn?code=006660", "A006660")</f>
        <v>A006660</v>
      </c>
      <c r="D231" t="str">
        <f>HYPERLINK("http://comp.fnguide.com/SVO2/ASP/SVD_Consensus.asp?pGB=1&amp;gicode=A006660&amp;cID=&amp;MenuYn=Y&amp;ReportGB=&amp;NewMenuID=108&amp;stkGb=701", "삼성공조")</f>
        <v>삼성공조</v>
      </c>
      <c r="E231">
        <v>3</v>
      </c>
      <c r="F231">
        <v>7100</v>
      </c>
      <c r="G231">
        <v>0</v>
      </c>
      <c r="H231">
        <v>13.65</v>
      </c>
      <c r="I231">
        <v>10320</v>
      </c>
      <c r="J231">
        <v>20400</v>
      </c>
      <c r="K231">
        <v>23264</v>
      </c>
      <c r="L231">
        <v>-45.35</v>
      </c>
      <c r="M231">
        <v>-187.32</v>
      </c>
      <c r="N231">
        <v>-227.67</v>
      </c>
      <c r="O231">
        <v>3.03</v>
      </c>
      <c r="P231" t="b">
        <v>1</v>
      </c>
      <c r="Q231">
        <v>0</v>
      </c>
      <c r="R231">
        <v>585</v>
      </c>
      <c r="U231" t="s">
        <v>2221</v>
      </c>
      <c r="V231" t="s">
        <v>3085</v>
      </c>
      <c r="W231">
        <v>0</v>
      </c>
      <c r="X231">
        <v>-64.7</v>
      </c>
      <c r="Y231" t="s">
        <v>3898</v>
      </c>
      <c r="Z231">
        <v>-27.917714501647911</v>
      </c>
      <c r="AA231">
        <v>577</v>
      </c>
      <c r="AB231">
        <v>17161</v>
      </c>
      <c r="AC231" t="s">
        <v>4740</v>
      </c>
      <c r="AD231">
        <v>51.23</v>
      </c>
      <c r="AE231" t="s">
        <v>5604</v>
      </c>
      <c r="AF231" t="s">
        <v>6435</v>
      </c>
      <c r="AG231">
        <v>752</v>
      </c>
      <c r="AH231">
        <v>-41</v>
      </c>
      <c r="AI231">
        <v>107310</v>
      </c>
      <c r="AJ231">
        <v>0.75</v>
      </c>
    </row>
    <row r="232" spans="1:36">
      <c r="A232" s="1" t="s">
        <v>866</v>
      </c>
      <c r="B232" t="s">
        <v>1730</v>
      </c>
      <c r="C232" t="str">
        <f>HYPERLINK("https://finance.naver.com/item/coinfo.nhn?code=306040", "A306040")</f>
        <v>A306040</v>
      </c>
      <c r="D232" t="str">
        <f>HYPERLINK("http://comp.fnguide.com/SVO2/ASP/SVD_Consensus.asp?pGB=1&amp;gicode=A306040&amp;cID=&amp;MenuYn=Y&amp;ReportGB=&amp;NewMenuID=108&amp;stkGb=701", "에스제이그룹")</f>
        <v>에스제이그룹</v>
      </c>
      <c r="E232">
        <v>1</v>
      </c>
      <c r="F232">
        <v>15850</v>
      </c>
      <c r="G232">
        <v>0.06</v>
      </c>
      <c r="H232">
        <v>11.28</v>
      </c>
      <c r="I232">
        <v>27497</v>
      </c>
      <c r="J232">
        <v>15219</v>
      </c>
      <c r="K232">
        <v>11730</v>
      </c>
      <c r="L232">
        <v>-73.48</v>
      </c>
      <c r="M232">
        <v>3.98</v>
      </c>
      <c r="N232">
        <v>25.99</v>
      </c>
      <c r="O232">
        <v>30.79</v>
      </c>
      <c r="P232" t="b">
        <v>1</v>
      </c>
      <c r="Q232">
        <v>0</v>
      </c>
      <c r="R232">
        <v>1785</v>
      </c>
      <c r="S232">
        <v>1594</v>
      </c>
      <c r="T232">
        <v>-10.7</v>
      </c>
      <c r="U232" t="s">
        <v>2594</v>
      </c>
      <c r="V232" t="s">
        <v>3458</v>
      </c>
      <c r="W232">
        <v>182.1016182239818</v>
      </c>
      <c r="X232">
        <v>-14.7</v>
      </c>
      <c r="Y232" t="s">
        <v>4251</v>
      </c>
      <c r="Z232">
        <v>0</v>
      </c>
      <c r="AA232">
        <v>1564</v>
      </c>
      <c r="AB232">
        <v>62262</v>
      </c>
      <c r="AC232" t="s">
        <v>5113</v>
      </c>
      <c r="AD232">
        <v>51.79</v>
      </c>
      <c r="AE232" t="s">
        <v>5977</v>
      </c>
      <c r="AF232" t="s">
        <v>6783</v>
      </c>
      <c r="AG232">
        <v>1095</v>
      </c>
      <c r="AH232">
        <v>164</v>
      </c>
      <c r="AI232">
        <v>78094</v>
      </c>
      <c r="AJ232">
        <v>0.66</v>
      </c>
    </row>
    <row r="233" spans="1:36">
      <c r="A233" s="1" t="s">
        <v>641</v>
      </c>
      <c r="B233" t="s">
        <v>1505</v>
      </c>
      <c r="C233" t="str">
        <f>HYPERLINK("https://finance.naver.com/item/coinfo.nhn?code=013870", "A013870")</f>
        <v>A013870</v>
      </c>
      <c r="D233" t="str">
        <f>HYPERLINK("http://comp.fnguide.com/SVO2/ASP/SVD_Consensus.asp?pGB=1&amp;gicode=A013870&amp;cID=&amp;MenuYn=Y&amp;ReportGB=&amp;NewMenuID=108&amp;stkGb=701", "지엠비코리아")</f>
        <v>지엠비코리아</v>
      </c>
      <c r="E233">
        <v>3</v>
      </c>
      <c r="F233">
        <v>7370</v>
      </c>
      <c r="G233">
        <v>0</v>
      </c>
      <c r="H233">
        <v>34.270000000000003</v>
      </c>
      <c r="I233">
        <v>2206</v>
      </c>
      <c r="J233">
        <v>8015</v>
      </c>
      <c r="K233">
        <v>9665</v>
      </c>
      <c r="L233">
        <v>70.069999999999993</v>
      </c>
      <c r="M233">
        <v>-8.75</v>
      </c>
      <c r="N233">
        <v>-31.14</v>
      </c>
      <c r="O233">
        <v>1.48</v>
      </c>
      <c r="P233" t="b">
        <v>0</v>
      </c>
      <c r="Q233">
        <v>0</v>
      </c>
      <c r="R233">
        <v>143</v>
      </c>
      <c r="U233" t="s">
        <v>2369</v>
      </c>
      <c r="V233" t="s">
        <v>3233</v>
      </c>
      <c r="W233">
        <v>0</v>
      </c>
      <c r="X233">
        <v>0</v>
      </c>
      <c r="Y233" t="s">
        <v>4040</v>
      </c>
      <c r="Z233">
        <v>-31.13461144130849</v>
      </c>
      <c r="AA233">
        <v>1406</v>
      </c>
      <c r="AB233">
        <v>105665</v>
      </c>
      <c r="AC233" t="s">
        <v>4888</v>
      </c>
      <c r="AD233">
        <v>58.98</v>
      </c>
      <c r="AE233" t="s">
        <v>5752</v>
      </c>
      <c r="AF233" t="s">
        <v>6578</v>
      </c>
      <c r="AG233">
        <v>4775</v>
      </c>
      <c r="AH233">
        <v>85</v>
      </c>
      <c r="AJ233">
        <v>0.61</v>
      </c>
    </row>
    <row r="234" spans="1:36">
      <c r="A234" s="1" t="s">
        <v>820</v>
      </c>
      <c r="B234" t="s">
        <v>1684</v>
      </c>
      <c r="C234" t="str">
        <f>HYPERLINK("https://finance.naver.com/item/coinfo.nhn?code=248170", "A248170")</f>
        <v>A248170</v>
      </c>
      <c r="D234" t="str">
        <f>HYPERLINK("http://comp.fnguide.com/SVO2/ASP/SVD_Consensus.asp?pGB=1&amp;gicode=A248170&amp;cID=&amp;MenuYn=Y&amp;ReportGB=&amp;NewMenuID=108&amp;stkGb=701", "샘표식품")</f>
        <v>샘표식품</v>
      </c>
      <c r="E234">
        <v>1</v>
      </c>
      <c r="F234">
        <v>51700</v>
      </c>
      <c r="G234">
        <v>0</v>
      </c>
      <c r="H234">
        <v>5.79</v>
      </c>
      <c r="I234">
        <v>68832</v>
      </c>
      <c r="J234">
        <v>48103</v>
      </c>
      <c r="K234">
        <v>42213</v>
      </c>
      <c r="L234">
        <v>-33.14</v>
      </c>
      <c r="M234">
        <v>6.96</v>
      </c>
      <c r="N234">
        <v>18.350000000000001</v>
      </c>
      <c r="O234">
        <v>15.9</v>
      </c>
      <c r="P234" t="b">
        <v>1</v>
      </c>
      <c r="Q234">
        <v>0</v>
      </c>
      <c r="R234">
        <v>5870</v>
      </c>
      <c r="U234" t="s">
        <v>2548</v>
      </c>
      <c r="V234" t="s">
        <v>3412</v>
      </c>
      <c r="W234">
        <v>0</v>
      </c>
      <c r="X234">
        <v>48.1</v>
      </c>
      <c r="Y234" t="s">
        <v>4206</v>
      </c>
      <c r="Z234">
        <v>0</v>
      </c>
      <c r="AA234">
        <v>2362</v>
      </c>
      <c r="AB234">
        <v>192633</v>
      </c>
      <c r="AC234" t="s">
        <v>5067</v>
      </c>
      <c r="AD234">
        <v>60.02</v>
      </c>
      <c r="AE234" t="s">
        <v>5931</v>
      </c>
      <c r="AF234" t="s">
        <v>6739</v>
      </c>
      <c r="AG234">
        <v>2808</v>
      </c>
      <c r="AH234">
        <v>310</v>
      </c>
      <c r="AI234">
        <v>1690</v>
      </c>
      <c r="AJ234">
        <v>0.59</v>
      </c>
    </row>
    <row r="235" spans="1:36">
      <c r="A235" s="1" t="s">
        <v>63</v>
      </c>
      <c r="B235" t="s">
        <v>927</v>
      </c>
      <c r="C235" t="str">
        <f>HYPERLINK("https://finance.naver.com/item/coinfo.nhn?code=020400", "A020400")</f>
        <v>A020400</v>
      </c>
      <c r="D235" t="str">
        <f>HYPERLINK("http://comp.fnguide.com/SVO2/ASP/SVD_Consensus.asp?pGB=1&amp;gicode=A020400&amp;cID=&amp;MenuYn=Y&amp;ReportGB=&amp;NewMenuID=108&amp;stkGb=701", "대동금속")</f>
        <v>대동금속</v>
      </c>
      <c r="E235">
        <v>3</v>
      </c>
      <c r="F235">
        <v>9000</v>
      </c>
      <c r="G235">
        <v>0</v>
      </c>
      <c r="H235">
        <v>34191.360000000001</v>
      </c>
      <c r="I235">
        <v>2440</v>
      </c>
      <c r="J235">
        <v>8955</v>
      </c>
      <c r="K235">
        <v>10807</v>
      </c>
      <c r="L235">
        <v>72.89</v>
      </c>
      <c r="M235">
        <v>0.5</v>
      </c>
      <c r="N235">
        <v>-20.07</v>
      </c>
      <c r="O235">
        <v>1.46</v>
      </c>
      <c r="P235" t="b">
        <v>0</v>
      </c>
      <c r="Q235">
        <v>0</v>
      </c>
      <c r="R235">
        <v>0</v>
      </c>
      <c r="T235">
        <v>-100</v>
      </c>
      <c r="U235" t="s">
        <v>1791</v>
      </c>
      <c r="V235" t="s">
        <v>2655</v>
      </c>
      <c r="W235">
        <v>0</v>
      </c>
      <c r="X235">
        <v>201.8</v>
      </c>
      <c r="Y235" t="s">
        <v>3517</v>
      </c>
      <c r="Z235">
        <v>-85.415077803953338</v>
      </c>
      <c r="AA235">
        <v>235</v>
      </c>
      <c r="AB235">
        <v>7591</v>
      </c>
      <c r="AC235" t="s">
        <v>4310</v>
      </c>
      <c r="AD235">
        <v>64.540000000000006</v>
      </c>
      <c r="AE235" t="s">
        <v>5174</v>
      </c>
      <c r="AF235" t="s">
        <v>6037</v>
      </c>
      <c r="AG235">
        <v>885</v>
      </c>
      <c r="AH235">
        <v>33</v>
      </c>
      <c r="AJ235">
        <v>0.59</v>
      </c>
    </row>
    <row r="236" spans="1:36">
      <c r="A236" s="1" t="s">
        <v>322</v>
      </c>
      <c r="B236" t="s">
        <v>1186</v>
      </c>
      <c r="C236" t="str">
        <f>HYPERLINK("https://finance.naver.com/item/coinfo.nhn?code=003380", "A003380")</f>
        <v>A003380</v>
      </c>
      <c r="D236" t="str">
        <f>HYPERLINK("http://comp.fnguide.com/SVO2/ASP/SVD_Consensus.asp?pGB=1&amp;gicode=A003380&amp;cID=&amp;MenuYn=Y&amp;ReportGB=&amp;NewMenuID=108&amp;stkGb=701", "하림지주")</f>
        <v>하림지주</v>
      </c>
      <c r="E236">
        <v>3</v>
      </c>
      <c r="F236">
        <v>8280</v>
      </c>
      <c r="G236">
        <v>0</v>
      </c>
      <c r="H236">
        <v>14.43</v>
      </c>
      <c r="I236">
        <v>17828</v>
      </c>
      <c r="J236">
        <v>20996</v>
      </c>
      <c r="K236">
        <v>21896</v>
      </c>
      <c r="L236">
        <v>-115.32</v>
      </c>
      <c r="M236">
        <v>-153.57</v>
      </c>
      <c r="N236">
        <v>-164.44</v>
      </c>
      <c r="O236">
        <v>6.13</v>
      </c>
      <c r="P236" t="b">
        <v>1</v>
      </c>
      <c r="Q236">
        <v>0</v>
      </c>
      <c r="R236">
        <v>594</v>
      </c>
      <c r="U236" t="s">
        <v>2050</v>
      </c>
      <c r="V236" t="s">
        <v>2914</v>
      </c>
      <c r="W236">
        <v>0</v>
      </c>
      <c r="X236">
        <v>10.8</v>
      </c>
      <c r="Y236" t="s">
        <v>3747</v>
      </c>
      <c r="Z236">
        <v>-12.144249207381669</v>
      </c>
      <c r="AA236">
        <v>7646</v>
      </c>
      <c r="AB236">
        <v>735424</v>
      </c>
      <c r="AC236" t="s">
        <v>4569</v>
      </c>
      <c r="AD236">
        <v>51.5</v>
      </c>
      <c r="AE236" t="s">
        <v>5433</v>
      </c>
      <c r="AF236" t="s">
        <v>6281</v>
      </c>
      <c r="AG236">
        <v>73503</v>
      </c>
      <c r="AH236">
        <v>3065</v>
      </c>
      <c r="AI236">
        <v>16832117</v>
      </c>
      <c r="AJ236">
        <v>0.57999999999999996</v>
      </c>
    </row>
    <row r="237" spans="1:36">
      <c r="A237" s="1" t="s">
        <v>724</v>
      </c>
      <c r="B237" t="s">
        <v>1588</v>
      </c>
      <c r="C237" t="str">
        <f>HYPERLINK("https://finance.naver.com/item/coinfo.nhn?code=136490", "A136490")</f>
        <v>A136490</v>
      </c>
      <c r="D237" t="str">
        <f>HYPERLINK("http://comp.fnguide.com/SVO2/ASP/SVD_Consensus.asp?pGB=1&amp;gicode=A136490&amp;cID=&amp;MenuYn=Y&amp;ReportGB=&amp;NewMenuID=108&amp;stkGb=701", "선진")</f>
        <v>선진</v>
      </c>
      <c r="E237">
        <v>3</v>
      </c>
      <c r="F237">
        <v>10900</v>
      </c>
      <c r="G237">
        <v>0</v>
      </c>
      <c r="H237">
        <v>10.45</v>
      </c>
      <c r="I237">
        <v>14772</v>
      </c>
      <c r="J237">
        <v>13971</v>
      </c>
      <c r="K237">
        <v>13743</v>
      </c>
      <c r="L237">
        <v>-35.520000000000003</v>
      </c>
      <c r="M237">
        <v>-28.17</v>
      </c>
      <c r="N237">
        <v>-26.08</v>
      </c>
      <c r="O237">
        <v>8.73</v>
      </c>
      <c r="P237" t="b">
        <v>1</v>
      </c>
      <c r="Q237">
        <v>0</v>
      </c>
      <c r="R237">
        <v>899</v>
      </c>
      <c r="U237" t="s">
        <v>2452</v>
      </c>
      <c r="V237" t="s">
        <v>3316</v>
      </c>
      <c r="W237">
        <v>0</v>
      </c>
      <c r="X237">
        <v>869.3</v>
      </c>
      <c r="Y237" t="s">
        <v>4114</v>
      </c>
      <c r="Z237">
        <v>50.763587130089419</v>
      </c>
      <c r="AA237">
        <v>2592</v>
      </c>
      <c r="AB237">
        <v>104990</v>
      </c>
      <c r="AC237" t="s">
        <v>4971</v>
      </c>
      <c r="AD237">
        <v>50.05</v>
      </c>
      <c r="AE237" t="s">
        <v>5835</v>
      </c>
      <c r="AF237" t="s">
        <v>6653</v>
      </c>
      <c r="AG237">
        <v>10140</v>
      </c>
      <c r="AH237">
        <v>401</v>
      </c>
      <c r="AI237">
        <v>396</v>
      </c>
      <c r="AJ237">
        <v>0.53</v>
      </c>
    </row>
    <row r="238" spans="1:36">
      <c r="A238" s="1" t="s">
        <v>727</v>
      </c>
      <c r="B238" t="s">
        <v>1591</v>
      </c>
      <c r="C238" t="str">
        <f>HYPERLINK("https://finance.naver.com/item/coinfo.nhn?code=071090", "A071090")</f>
        <v>A071090</v>
      </c>
      <c r="D238" t="str">
        <f>HYPERLINK("http://comp.fnguide.com/SVO2/ASP/SVD_Consensus.asp?pGB=1&amp;gicode=A071090&amp;cID=&amp;MenuYn=Y&amp;ReportGB=&amp;NewMenuID=108&amp;stkGb=701", "하이스틸")</f>
        <v>하이스틸</v>
      </c>
      <c r="E238">
        <v>3</v>
      </c>
      <c r="F238">
        <v>19100</v>
      </c>
      <c r="G238">
        <v>0</v>
      </c>
      <c r="H238">
        <v>1214.3699999999999</v>
      </c>
      <c r="I238">
        <v>8648</v>
      </c>
      <c r="J238">
        <v>41878</v>
      </c>
      <c r="K238">
        <v>51321</v>
      </c>
      <c r="L238">
        <v>54.72</v>
      </c>
      <c r="M238">
        <v>-119.26</v>
      </c>
      <c r="N238">
        <v>-168.7</v>
      </c>
      <c r="O238">
        <v>1.07</v>
      </c>
      <c r="P238" t="b">
        <v>0</v>
      </c>
      <c r="Q238">
        <v>0</v>
      </c>
      <c r="R238">
        <v>16</v>
      </c>
      <c r="U238" t="s">
        <v>2455</v>
      </c>
      <c r="V238" t="s">
        <v>3319</v>
      </c>
      <c r="W238">
        <v>0</v>
      </c>
      <c r="X238">
        <v>0</v>
      </c>
      <c r="Y238" t="s">
        <v>4116</v>
      </c>
      <c r="Z238">
        <v>114.7</v>
      </c>
      <c r="AA238">
        <v>382</v>
      </c>
      <c r="AB238">
        <v>4032</v>
      </c>
      <c r="AC238" t="s">
        <v>4974</v>
      </c>
      <c r="AD238">
        <v>53.05</v>
      </c>
      <c r="AE238" t="s">
        <v>5838</v>
      </c>
      <c r="AF238" t="s">
        <v>6654</v>
      </c>
      <c r="AG238">
        <v>2143</v>
      </c>
      <c r="AH238">
        <v>11</v>
      </c>
      <c r="AI238">
        <v>792</v>
      </c>
      <c r="AJ238">
        <v>0.52</v>
      </c>
    </row>
    <row r="239" spans="1:36">
      <c r="A239" s="1" t="s">
        <v>659</v>
      </c>
      <c r="B239" t="s">
        <v>1523</v>
      </c>
      <c r="C239" t="str">
        <f>HYPERLINK("https://finance.naver.com/item/coinfo.nhn?code=001770", "A001770")</f>
        <v>A001770</v>
      </c>
      <c r="D239" t="str">
        <f>HYPERLINK("http://comp.fnguide.com/SVO2/ASP/SVD_Consensus.asp?pGB=1&amp;gicode=A001770&amp;cID=&amp;MenuYn=Y&amp;ReportGB=&amp;NewMenuID=108&amp;stkGb=701", "신화실업")</f>
        <v>신화실업</v>
      </c>
      <c r="E239">
        <v>3</v>
      </c>
      <c r="F239">
        <v>20350</v>
      </c>
      <c r="G239">
        <v>0</v>
      </c>
      <c r="H239">
        <v>24.08</v>
      </c>
      <c r="I239">
        <v>16386</v>
      </c>
      <c r="J239">
        <v>23465</v>
      </c>
      <c r="K239">
        <v>25476</v>
      </c>
      <c r="L239">
        <v>19.48</v>
      </c>
      <c r="M239">
        <v>-15.31</v>
      </c>
      <c r="N239">
        <v>-25.19</v>
      </c>
      <c r="O239">
        <v>4.62</v>
      </c>
      <c r="P239" t="b">
        <v>0</v>
      </c>
      <c r="Q239">
        <v>0</v>
      </c>
      <c r="R239">
        <v>793</v>
      </c>
      <c r="U239" t="s">
        <v>2387</v>
      </c>
      <c r="V239" t="s">
        <v>3251</v>
      </c>
      <c r="W239">
        <v>0</v>
      </c>
      <c r="X239">
        <v>-82.4</v>
      </c>
      <c r="Y239" t="s">
        <v>4057</v>
      </c>
      <c r="Z239">
        <v>-38.538991903008238</v>
      </c>
      <c r="AA239">
        <v>247</v>
      </c>
      <c r="AB239">
        <v>7642</v>
      </c>
      <c r="AC239" t="s">
        <v>4906</v>
      </c>
      <c r="AD239">
        <v>51.86</v>
      </c>
      <c r="AE239" t="s">
        <v>5770</v>
      </c>
      <c r="AF239" t="s">
        <v>6595</v>
      </c>
      <c r="AG239">
        <v>741</v>
      </c>
      <c r="AH239">
        <v>10</v>
      </c>
      <c r="AJ239">
        <v>0.52</v>
      </c>
    </row>
    <row r="240" spans="1:36">
      <c r="A240" s="1" t="s">
        <v>336</v>
      </c>
      <c r="B240" t="s">
        <v>1200</v>
      </c>
      <c r="C240" t="str">
        <f>HYPERLINK("https://finance.naver.com/item/coinfo.nhn?code=030960", "A030960")</f>
        <v>A030960</v>
      </c>
      <c r="D240" t="str">
        <f>HYPERLINK("http://comp.fnguide.com/SVO2/ASP/SVD_Consensus.asp?pGB=1&amp;gicode=A030960&amp;cID=&amp;MenuYn=Y&amp;ReportGB=&amp;NewMenuID=108&amp;stkGb=701", "양지사")</f>
        <v>양지사</v>
      </c>
      <c r="E240">
        <v>3</v>
      </c>
      <c r="F240">
        <v>9600</v>
      </c>
      <c r="G240">
        <v>0</v>
      </c>
      <c r="H240">
        <v>1.28</v>
      </c>
      <c r="I240">
        <v>84479</v>
      </c>
      <c r="J240">
        <v>41924</v>
      </c>
      <c r="K240">
        <v>29831</v>
      </c>
      <c r="L240">
        <v>-779.98</v>
      </c>
      <c r="M240">
        <v>-336.71</v>
      </c>
      <c r="N240">
        <v>-210.74</v>
      </c>
      <c r="O240">
        <v>48.77</v>
      </c>
      <c r="P240" t="b">
        <v>1</v>
      </c>
      <c r="Q240">
        <v>0</v>
      </c>
      <c r="R240">
        <v>7553</v>
      </c>
      <c r="U240" t="s">
        <v>2064</v>
      </c>
      <c r="V240" t="s">
        <v>2928</v>
      </c>
      <c r="W240">
        <v>0</v>
      </c>
      <c r="X240">
        <v>-25.1</v>
      </c>
      <c r="Y240" t="s">
        <v>3759</v>
      </c>
      <c r="Z240">
        <v>99.765843568621392</v>
      </c>
      <c r="AA240">
        <v>1534</v>
      </c>
      <c r="AB240">
        <v>14447</v>
      </c>
      <c r="AC240" t="s">
        <v>4583</v>
      </c>
      <c r="AD240">
        <v>75.53</v>
      </c>
      <c r="AE240" t="s">
        <v>5447</v>
      </c>
      <c r="AF240" t="s">
        <v>6293</v>
      </c>
      <c r="AG240">
        <v>489</v>
      </c>
      <c r="AH240">
        <v>17</v>
      </c>
      <c r="AI240">
        <v>2243930</v>
      </c>
      <c r="AJ240">
        <v>0.52</v>
      </c>
    </row>
    <row r="241" spans="1:36">
      <c r="A241" s="1" t="s">
        <v>634</v>
      </c>
      <c r="B241" t="s">
        <v>1498</v>
      </c>
      <c r="C241" t="str">
        <f>HYPERLINK("https://finance.naver.com/item/coinfo.nhn?code=004440", "A004440")</f>
        <v>A004440</v>
      </c>
      <c r="D241" t="str">
        <f>HYPERLINK("http://comp.fnguide.com/SVO2/ASP/SVD_Consensus.asp?pGB=1&amp;gicode=A004440&amp;cID=&amp;MenuYn=Y&amp;ReportGB=&amp;NewMenuID=108&amp;stkGb=701", "삼일씨엔에스")</f>
        <v>삼일씨엔에스</v>
      </c>
      <c r="E241">
        <v>3</v>
      </c>
      <c r="F241">
        <v>9160</v>
      </c>
      <c r="G241">
        <v>0</v>
      </c>
      <c r="H241">
        <v>36.159999999999997</v>
      </c>
      <c r="I241">
        <v>2041</v>
      </c>
      <c r="J241">
        <v>13988</v>
      </c>
      <c r="K241">
        <v>17383</v>
      </c>
      <c r="L241">
        <v>77.72</v>
      </c>
      <c r="M241">
        <v>-52.71</v>
      </c>
      <c r="N241">
        <v>-89.77</v>
      </c>
      <c r="O241">
        <v>0.74</v>
      </c>
      <c r="P241" t="b">
        <v>0</v>
      </c>
      <c r="Q241">
        <v>0</v>
      </c>
      <c r="R241">
        <v>211</v>
      </c>
      <c r="U241" t="s">
        <v>2362</v>
      </c>
      <c r="V241" t="s">
        <v>3226</v>
      </c>
      <c r="W241">
        <v>0</v>
      </c>
      <c r="X241">
        <v>0</v>
      </c>
      <c r="Y241" t="s">
        <v>4035</v>
      </c>
      <c r="Z241">
        <v>-67.968140859450571</v>
      </c>
      <c r="AA241">
        <v>1166</v>
      </c>
      <c r="AB241">
        <v>75316</v>
      </c>
      <c r="AC241" t="s">
        <v>4881</v>
      </c>
      <c r="AD241">
        <v>54.34</v>
      </c>
      <c r="AE241" t="s">
        <v>5745</v>
      </c>
      <c r="AF241" t="s">
        <v>6573</v>
      </c>
      <c r="AG241">
        <v>1955</v>
      </c>
      <c r="AH241">
        <v>36</v>
      </c>
      <c r="AJ241">
        <v>0.5</v>
      </c>
    </row>
    <row r="242" spans="1:36">
      <c r="A242" s="1" t="s">
        <v>561</v>
      </c>
      <c r="B242" t="s">
        <v>1425</v>
      </c>
      <c r="C242" t="str">
        <f>HYPERLINK("https://finance.naver.com/item/coinfo.nhn?code=001460", "A001460")</f>
        <v>A001460</v>
      </c>
      <c r="D242" t="str">
        <f>HYPERLINK("http://comp.fnguide.com/SVO2/ASP/SVD_Consensus.asp?pGB=1&amp;gicode=A001460&amp;cID=&amp;MenuYn=Y&amp;ReportGB=&amp;NewMenuID=108&amp;stkGb=701", "BYC")</f>
        <v>BYC</v>
      </c>
      <c r="E242">
        <v>3</v>
      </c>
      <c r="F242">
        <v>284000</v>
      </c>
      <c r="G242">
        <v>0</v>
      </c>
      <c r="H242">
        <v>7.15</v>
      </c>
      <c r="I242">
        <v>377725</v>
      </c>
      <c r="J242">
        <v>568811</v>
      </c>
      <c r="K242">
        <v>623114</v>
      </c>
      <c r="L242">
        <v>-33</v>
      </c>
      <c r="M242">
        <v>-100.29</v>
      </c>
      <c r="N242">
        <v>-119.41</v>
      </c>
      <c r="O242">
        <v>4.3099999999999996</v>
      </c>
      <c r="P242" t="b">
        <v>1</v>
      </c>
      <c r="Q242">
        <v>0</v>
      </c>
      <c r="R242">
        <v>33063</v>
      </c>
      <c r="U242" t="s">
        <v>2289</v>
      </c>
      <c r="V242" t="s">
        <v>3153</v>
      </c>
      <c r="W242">
        <v>0</v>
      </c>
      <c r="X242">
        <v>-47.7</v>
      </c>
      <c r="Y242" t="s">
        <v>3963</v>
      </c>
      <c r="Z242">
        <v>1.926643763763747</v>
      </c>
      <c r="AA242">
        <v>1774</v>
      </c>
      <c r="AB242">
        <v>1322</v>
      </c>
      <c r="AC242" t="s">
        <v>4808</v>
      </c>
      <c r="AD242">
        <v>61.5</v>
      </c>
      <c r="AE242" t="s">
        <v>5672</v>
      </c>
      <c r="AF242" t="s">
        <v>6501</v>
      </c>
      <c r="AG242">
        <v>1706</v>
      </c>
      <c r="AH242">
        <v>234</v>
      </c>
      <c r="AI242">
        <v>8</v>
      </c>
      <c r="AJ242">
        <v>0.47</v>
      </c>
    </row>
    <row r="243" spans="1:36">
      <c r="A243" s="1" t="s">
        <v>466</v>
      </c>
      <c r="B243" t="s">
        <v>1330</v>
      </c>
      <c r="C243" t="str">
        <f>HYPERLINK("https://finance.naver.com/item/coinfo.nhn?code=003830", "A003830")</f>
        <v>A003830</v>
      </c>
      <c r="D243" t="str">
        <f>HYPERLINK("http://comp.fnguide.com/SVO2/ASP/SVD_Consensus.asp?pGB=1&amp;gicode=A003830&amp;cID=&amp;MenuYn=Y&amp;ReportGB=&amp;NewMenuID=108&amp;stkGb=701", "대한화섬")</f>
        <v>대한화섬</v>
      </c>
      <c r="E243">
        <v>3</v>
      </c>
      <c r="F243">
        <v>101000</v>
      </c>
      <c r="G243">
        <v>0</v>
      </c>
      <c r="H243">
        <v>5.28</v>
      </c>
      <c r="I243">
        <v>359625</v>
      </c>
      <c r="J243">
        <v>428952</v>
      </c>
      <c r="K243">
        <v>448653</v>
      </c>
      <c r="L243">
        <v>-256.06</v>
      </c>
      <c r="M243">
        <v>-324.7</v>
      </c>
      <c r="N243">
        <v>-344.21</v>
      </c>
      <c r="O243">
        <v>6.01</v>
      </c>
      <c r="P243" t="b">
        <v>1</v>
      </c>
      <c r="Q243">
        <v>0</v>
      </c>
      <c r="R243">
        <v>16958</v>
      </c>
      <c r="U243" t="s">
        <v>2194</v>
      </c>
      <c r="V243" t="s">
        <v>3058</v>
      </c>
      <c r="W243">
        <v>0</v>
      </c>
      <c r="X243">
        <v>-15.8</v>
      </c>
      <c r="Y243" t="s">
        <v>3872</v>
      </c>
      <c r="Z243">
        <v>5.4549091300193808</v>
      </c>
      <c r="AA243">
        <v>1341</v>
      </c>
      <c r="AB243">
        <v>1692</v>
      </c>
      <c r="AC243" t="s">
        <v>4713</v>
      </c>
      <c r="AD243">
        <v>61</v>
      </c>
      <c r="AE243" t="s">
        <v>5577</v>
      </c>
      <c r="AF243" t="s">
        <v>6409</v>
      </c>
      <c r="AG243">
        <v>1142</v>
      </c>
      <c r="AH243">
        <v>49</v>
      </c>
      <c r="AI243">
        <v>204695</v>
      </c>
      <c r="AJ243">
        <v>0.46</v>
      </c>
    </row>
    <row r="244" spans="1:36">
      <c r="A244" s="1" t="s">
        <v>700</v>
      </c>
      <c r="B244" t="s">
        <v>1564</v>
      </c>
      <c r="C244" t="str">
        <f>HYPERLINK("https://finance.naver.com/item/coinfo.nhn?code=002620", "A002620")</f>
        <v>A002620</v>
      </c>
      <c r="D244" t="str">
        <f>HYPERLINK("http://comp.fnguide.com/SVO2/ASP/SVD_Consensus.asp?pGB=1&amp;gicode=A002620&amp;cID=&amp;MenuYn=Y&amp;ReportGB=&amp;NewMenuID=108&amp;stkGb=701", "제일파마홀딩스")</f>
        <v>제일파마홀딩스</v>
      </c>
      <c r="E244">
        <v>3</v>
      </c>
      <c r="F244">
        <v>21450</v>
      </c>
      <c r="G244">
        <v>0</v>
      </c>
      <c r="I244">
        <v>126090</v>
      </c>
      <c r="J244">
        <v>65648</v>
      </c>
      <c r="K244">
        <v>48471</v>
      </c>
      <c r="L244">
        <v>-487.83</v>
      </c>
      <c r="M244">
        <v>-206.05</v>
      </c>
      <c r="N244">
        <v>-125.97</v>
      </c>
      <c r="O244">
        <v>39.06</v>
      </c>
      <c r="P244" t="b">
        <v>0</v>
      </c>
      <c r="Q244">
        <v>0</v>
      </c>
      <c r="R244">
        <v>-5676</v>
      </c>
      <c r="U244" t="s">
        <v>2428</v>
      </c>
      <c r="V244" t="s">
        <v>3292</v>
      </c>
      <c r="W244">
        <v>0</v>
      </c>
      <c r="X244">
        <v>39.4</v>
      </c>
      <c r="Y244" t="s">
        <v>4093</v>
      </c>
      <c r="Z244">
        <v>27.35199296967718</v>
      </c>
      <c r="AA244">
        <v>3426</v>
      </c>
      <c r="AB244">
        <v>189237</v>
      </c>
      <c r="AC244" t="s">
        <v>4947</v>
      </c>
      <c r="AD244">
        <v>73.16</v>
      </c>
      <c r="AE244" t="s">
        <v>5811</v>
      </c>
      <c r="AF244" t="s">
        <v>6632</v>
      </c>
      <c r="AG244">
        <v>7311</v>
      </c>
      <c r="AH244">
        <v>90</v>
      </c>
      <c r="AI244">
        <v>622230</v>
      </c>
      <c r="AJ244">
        <v>0.41</v>
      </c>
    </row>
    <row r="245" spans="1:36">
      <c r="A245" s="1" t="s">
        <v>444</v>
      </c>
      <c r="B245" t="s">
        <v>1308</v>
      </c>
      <c r="C245" t="str">
        <f>HYPERLINK("https://finance.naver.com/item/coinfo.nhn?code=002690", "A002690")</f>
        <v>A002690</v>
      </c>
      <c r="D245" t="str">
        <f>HYPERLINK("http://comp.fnguide.com/SVO2/ASP/SVD_Consensus.asp?pGB=1&amp;gicode=A002690&amp;cID=&amp;MenuYn=Y&amp;ReportGB=&amp;NewMenuID=108&amp;stkGb=701", "동일제강")</f>
        <v>동일제강</v>
      </c>
      <c r="E245">
        <v>3</v>
      </c>
      <c r="F245">
        <v>2390</v>
      </c>
      <c r="G245">
        <v>0</v>
      </c>
      <c r="H245">
        <v>33.369999999999997</v>
      </c>
      <c r="I245">
        <v>719</v>
      </c>
      <c r="J245">
        <v>5707</v>
      </c>
      <c r="K245">
        <v>7124</v>
      </c>
      <c r="L245">
        <v>69.930000000000007</v>
      </c>
      <c r="M245">
        <v>-138.78</v>
      </c>
      <c r="N245">
        <v>-198.09</v>
      </c>
      <c r="O245">
        <v>0.63</v>
      </c>
      <c r="P245" t="b">
        <v>0</v>
      </c>
      <c r="Q245">
        <v>0</v>
      </c>
      <c r="R245">
        <v>74</v>
      </c>
      <c r="U245" t="s">
        <v>2172</v>
      </c>
      <c r="V245" t="s">
        <v>3036</v>
      </c>
      <c r="W245">
        <v>0</v>
      </c>
      <c r="X245">
        <v>0</v>
      </c>
      <c r="Y245" t="s">
        <v>3852</v>
      </c>
      <c r="Z245">
        <v>-40.034370434392073</v>
      </c>
      <c r="AA245">
        <v>359</v>
      </c>
      <c r="AB245">
        <v>64652</v>
      </c>
      <c r="AC245" t="s">
        <v>4691</v>
      </c>
      <c r="AD245">
        <v>60.13</v>
      </c>
      <c r="AE245" t="s">
        <v>5555</v>
      </c>
      <c r="AF245" t="s">
        <v>6388</v>
      </c>
      <c r="AG245">
        <v>1274</v>
      </c>
      <c r="AH245">
        <v>10</v>
      </c>
      <c r="AI245">
        <v>514900</v>
      </c>
      <c r="AJ245">
        <v>0.4</v>
      </c>
    </row>
    <row r="246" spans="1:36">
      <c r="A246" s="1" t="s">
        <v>104</v>
      </c>
      <c r="B246" t="s">
        <v>968</v>
      </c>
      <c r="C246" t="str">
        <f>HYPERLINK("https://finance.naver.com/item/coinfo.nhn?code=024830", "A024830")</f>
        <v>A024830</v>
      </c>
      <c r="D246" t="str">
        <f>HYPERLINK("http://comp.fnguide.com/SVO2/ASP/SVD_Consensus.asp?pGB=1&amp;gicode=A024830&amp;cID=&amp;MenuYn=Y&amp;ReportGB=&amp;NewMenuID=108&amp;stkGb=701", "세원물산")</f>
        <v>세원물산</v>
      </c>
      <c r="E246">
        <v>3</v>
      </c>
      <c r="F246">
        <v>6280</v>
      </c>
      <c r="G246">
        <v>0</v>
      </c>
      <c r="H246">
        <v>4</v>
      </c>
      <c r="I246">
        <v>14979</v>
      </c>
      <c r="J246">
        <v>19592</v>
      </c>
      <c r="K246">
        <v>20903</v>
      </c>
      <c r="L246">
        <v>-138.52000000000001</v>
      </c>
      <c r="M246">
        <v>-211.98</v>
      </c>
      <c r="N246">
        <v>-232.86</v>
      </c>
      <c r="O246">
        <v>5.25</v>
      </c>
      <c r="P246" t="b">
        <v>1</v>
      </c>
      <c r="Q246">
        <v>0</v>
      </c>
      <c r="R246">
        <v>1572</v>
      </c>
      <c r="U246" t="s">
        <v>1832</v>
      </c>
      <c r="V246" t="s">
        <v>2696</v>
      </c>
      <c r="W246">
        <v>0</v>
      </c>
      <c r="X246">
        <v>14.6</v>
      </c>
      <c r="Y246" t="s">
        <v>3553</v>
      </c>
      <c r="Z246">
        <v>11.44965905981017</v>
      </c>
      <c r="AA246">
        <v>524</v>
      </c>
      <c r="AB246">
        <v>0</v>
      </c>
      <c r="AC246" t="s">
        <v>4351</v>
      </c>
      <c r="AD246">
        <v>78.430000000000007</v>
      </c>
      <c r="AE246" t="s">
        <v>5215</v>
      </c>
      <c r="AF246" t="s">
        <v>6075</v>
      </c>
      <c r="AG246">
        <v>1153</v>
      </c>
      <c r="AH246">
        <v>126</v>
      </c>
      <c r="AJ246">
        <v>0.4</v>
      </c>
    </row>
    <row r="247" spans="1:36">
      <c r="A247" s="1" t="s">
        <v>390</v>
      </c>
      <c r="B247" t="s">
        <v>1254</v>
      </c>
      <c r="C247" t="str">
        <f>HYPERLINK("https://finance.naver.com/item/coinfo.nhn?code=053350", "A053350")</f>
        <v>A053350</v>
      </c>
      <c r="D247" t="str">
        <f>HYPERLINK("http://comp.fnguide.com/SVO2/ASP/SVD_Consensus.asp?pGB=1&amp;gicode=A053350&amp;cID=&amp;MenuYn=Y&amp;ReportGB=&amp;NewMenuID=108&amp;stkGb=701", "이니텍")</f>
        <v>이니텍</v>
      </c>
      <c r="E247">
        <v>3</v>
      </c>
      <c r="F247">
        <v>4615</v>
      </c>
      <c r="G247">
        <v>0</v>
      </c>
      <c r="I247">
        <v>985</v>
      </c>
      <c r="J247">
        <v>3988</v>
      </c>
      <c r="K247">
        <v>4842</v>
      </c>
      <c r="L247">
        <v>78.66</v>
      </c>
      <c r="M247">
        <v>13.58</v>
      </c>
      <c r="N247">
        <v>-4.92</v>
      </c>
      <c r="O247">
        <v>1.31</v>
      </c>
      <c r="P247" t="b">
        <v>0</v>
      </c>
      <c r="Q247">
        <v>0</v>
      </c>
      <c r="R247">
        <v>-443</v>
      </c>
      <c r="U247" t="s">
        <v>2118</v>
      </c>
      <c r="V247" t="s">
        <v>2982</v>
      </c>
      <c r="W247">
        <v>0</v>
      </c>
      <c r="X247">
        <v>-72.3</v>
      </c>
      <c r="Y247" t="s">
        <v>3801</v>
      </c>
      <c r="Z247">
        <v>-38.478461902978978</v>
      </c>
      <c r="AA247">
        <v>913</v>
      </c>
      <c r="AB247">
        <v>23071</v>
      </c>
      <c r="AC247" t="s">
        <v>4637</v>
      </c>
      <c r="AD247">
        <v>57.01</v>
      </c>
      <c r="AE247" t="s">
        <v>5501</v>
      </c>
      <c r="AF247" t="s">
        <v>6337</v>
      </c>
      <c r="AG247">
        <v>2880</v>
      </c>
      <c r="AH247">
        <v>58</v>
      </c>
      <c r="AI247">
        <v>399280</v>
      </c>
      <c r="AJ247">
        <v>0.4</v>
      </c>
    </row>
    <row r="248" spans="1:36">
      <c r="A248" s="1" t="s">
        <v>490</v>
      </c>
      <c r="B248" t="s">
        <v>1354</v>
      </c>
      <c r="C248" t="str">
        <f>HYPERLINK("https://finance.naver.com/item/coinfo.nhn?code=007160", "A007160")</f>
        <v>A007160</v>
      </c>
      <c r="D248" t="str">
        <f>HYPERLINK("http://comp.fnguide.com/SVO2/ASP/SVD_Consensus.asp?pGB=1&amp;gicode=A007160&amp;cID=&amp;MenuYn=Y&amp;ReportGB=&amp;NewMenuID=108&amp;stkGb=701", "사조산업")</f>
        <v>사조산업</v>
      </c>
      <c r="E248">
        <v>3</v>
      </c>
      <c r="F248">
        <v>31050</v>
      </c>
      <c r="G248">
        <v>0</v>
      </c>
      <c r="I248">
        <v>50853</v>
      </c>
      <c r="J248">
        <v>68877</v>
      </c>
      <c r="K248">
        <v>73999</v>
      </c>
      <c r="L248">
        <v>-63.78</v>
      </c>
      <c r="M248">
        <v>-121.83</v>
      </c>
      <c r="N248">
        <v>-138.32</v>
      </c>
      <c r="O248">
        <v>5</v>
      </c>
      <c r="P248" t="b">
        <v>0</v>
      </c>
      <c r="Q248">
        <v>0</v>
      </c>
      <c r="R248">
        <v>-2557</v>
      </c>
      <c r="U248" t="s">
        <v>2218</v>
      </c>
      <c r="V248" t="s">
        <v>3082</v>
      </c>
      <c r="W248">
        <v>0</v>
      </c>
      <c r="X248">
        <v>28.8</v>
      </c>
      <c r="Y248" t="s">
        <v>3895</v>
      </c>
      <c r="Z248">
        <v>24.481752864400111</v>
      </c>
      <c r="AA248">
        <v>1553</v>
      </c>
      <c r="AB248">
        <v>10172</v>
      </c>
      <c r="AC248" t="s">
        <v>4737</v>
      </c>
      <c r="AD248">
        <v>56.17</v>
      </c>
      <c r="AE248" t="s">
        <v>5601</v>
      </c>
      <c r="AF248" t="s">
        <v>6432</v>
      </c>
      <c r="AG248">
        <v>7354</v>
      </c>
      <c r="AH248">
        <v>182</v>
      </c>
      <c r="AI248">
        <v>55000</v>
      </c>
      <c r="AJ248">
        <v>0.4</v>
      </c>
    </row>
    <row r="249" spans="1:36">
      <c r="A249" s="1" t="s">
        <v>811</v>
      </c>
      <c r="B249" t="s">
        <v>1675</v>
      </c>
      <c r="C249" t="str">
        <f>HYPERLINK("https://finance.naver.com/item/coinfo.nhn?code=043150", "A043150")</f>
        <v>A043150</v>
      </c>
      <c r="D249" t="str">
        <f>HYPERLINK("http://comp.fnguide.com/SVO2/ASP/SVD_Consensus.asp?pGB=1&amp;gicode=A043150&amp;cID=&amp;MenuYn=Y&amp;ReportGB=&amp;NewMenuID=108&amp;stkGb=701", "바텍")</f>
        <v>바텍</v>
      </c>
      <c r="E249">
        <v>2</v>
      </c>
      <c r="F249">
        <v>22250</v>
      </c>
      <c r="G249">
        <v>-0.35</v>
      </c>
      <c r="H249">
        <v>12.8</v>
      </c>
      <c r="I249">
        <v>40689</v>
      </c>
      <c r="J249">
        <v>26273</v>
      </c>
      <c r="K249">
        <v>22176</v>
      </c>
      <c r="L249">
        <v>-82.87</v>
      </c>
      <c r="M249">
        <v>-18.079999999999998</v>
      </c>
      <c r="N249">
        <v>0.33</v>
      </c>
      <c r="O249">
        <v>19.309999999999999</v>
      </c>
      <c r="P249" t="b">
        <v>1</v>
      </c>
      <c r="Q249">
        <v>0</v>
      </c>
      <c r="R249">
        <v>2281</v>
      </c>
      <c r="S249">
        <v>1357</v>
      </c>
      <c r="T249">
        <v>-40.5</v>
      </c>
      <c r="U249" t="s">
        <v>2539</v>
      </c>
      <c r="V249" t="s">
        <v>3403</v>
      </c>
      <c r="W249">
        <v>-36.573745892485967</v>
      </c>
      <c r="X249">
        <v>-65</v>
      </c>
      <c r="Y249" t="s">
        <v>4197</v>
      </c>
      <c r="Z249">
        <v>-11.03332079656073</v>
      </c>
      <c r="AA249">
        <v>3305</v>
      </c>
      <c r="AB249">
        <v>47340</v>
      </c>
      <c r="AC249" t="s">
        <v>5058</v>
      </c>
      <c r="AD249">
        <v>53.65</v>
      </c>
      <c r="AE249" t="s">
        <v>5922</v>
      </c>
      <c r="AF249" t="s">
        <v>6730</v>
      </c>
      <c r="AG249">
        <v>2717</v>
      </c>
      <c r="AH249">
        <v>429</v>
      </c>
      <c r="AJ249">
        <v>0.34</v>
      </c>
    </row>
    <row r="250" spans="1:36">
      <c r="A250" s="1" t="s">
        <v>39</v>
      </c>
      <c r="B250" t="s">
        <v>903</v>
      </c>
      <c r="C250" t="str">
        <f>HYPERLINK("https://finance.naver.com/item/coinfo.nhn?code=032960", "A032960")</f>
        <v>A032960</v>
      </c>
      <c r="D250" t="str">
        <f>HYPERLINK("http://comp.fnguide.com/SVO2/ASP/SVD_Consensus.asp?pGB=1&amp;gicode=A032960&amp;cID=&amp;MenuYn=Y&amp;ReportGB=&amp;NewMenuID=108&amp;stkGb=701", "동일기연")</f>
        <v>동일기연</v>
      </c>
      <c r="E250">
        <v>3</v>
      </c>
      <c r="F250">
        <v>12400</v>
      </c>
      <c r="G250">
        <v>0</v>
      </c>
      <c r="H250">
        <v>17.05</v>
      </c>
      <c r="I250">
        <v>9492</v>
      </c>
      <c r="J250">
        <v>13578</v>
      </c>
      <c r="K250">
        <v>14739</v>
      </c>
      <c r="L250">
        <v>23.45</v>
      </c>
      <c r="M250">
        <v>-9.5</v>
      </c>
      <c r="N250">
        <v>-18.86</v>
      </c>
      <c r="O250">
        <v>4.63</v>
      </c>
      <c r="P250" t="b">
        <v>1</v>
      </c>
      <c r="Q250">
        <v>0</v>
      </c>
      <c r="R250">
        <v>727</v>
      </c>
      <c r="U250" t="s">
        <v>1767</v>
      </c>
      <c r="V250" t="s">
        <v>2631</v>
      </c>
      <c r="W250">
        <v>0</v>
      </c>
      <c r="X250">
        <v>-51.8</v>
      </c>
      <c r="Y250" t="s">
        <v>3495</v>
      </c>
      <c r="Z250">
        <v>-4.6659975324213949</v>
      </c>
      <c r="AA250">
        <v>423</v>
      </c>
      <c r="AB250">
        <v>12824</v>
      </c>
      <c r="AC250" t="s">
        <v>4286</v>
      </c>
      <c r="AD250">
        <v>67.650000000000006</v>
      </c>
      <c r="AE250" t="s">
        <v>5150</v>
      </c>
      <c r="AF250" t="s">
        <v>6014</v>
      </c>
      <c r="AG250">
        <v>290</v>
      </c>
      <c r="AH250">
        <v>9</v>
      </c>
      <c r="AI250">
        <v>207667</v>
      </c>
      <c r="AJ250">
        <v>0.31</v>
      </c>
    </row>
    <row r="251" spans="1:36">
      <c r="A251" s="1" t="s">
        <v>599</v>
      </c>
      <c r="B251" t="s">
        <v>1463</v>
      </c>
      <c r="C251" t="str">
        <f>HYPERLINK("https://finance.naver.com/item/coinfo.nhn?code=003920", "A003920")</f>
        <v>A003920</v>
      </c>
      <c r="D251" t="str">
        <f>HYPERLINK("http://comp.fnguide.com/SVO2/ASP/SVD_Consensus.asp?pGB=1&amp;gicode=A003920&amp;cID=&amp;MenuYn=Y&amp;ReportGB=&amp;NewMenuID=108&amp;stkGb=701", "남양유업")</f>
        <v>남양유업</v>
      </c>
      <c r="E251">
        <v>3</v>
      </c>
      <c r="F251">
        <v>284500</v>
      </c>
      <c r="G251">
        <v>0</v>
      </c>
      <c r="H251">
        <v>13.33</v>
      </c>
      <c r="I251">
        <v>303395</v>
      </c>
      <c r="J251">
        <v>928318</v>
      </c>
      <c r="K251">
        <v>1105909</v>
      </c>
      <c r="L251">
        <v>-6.64</v>
      </c>
      <c r="M251">
        <v>-226.3</v>
      </c>
      <c r="N251">
        <v>-288.72000000000003</v>
      </c>
      <c r="O251">
        <v>1.79</v>
      </c>
      <c r="P251" t="b">
        <v>1</v>
      </c>
      <c r="Q251">
        <v>0</v>
      </c>
      <c r="R251">
        <v>32968</v>
      </c>
      <c r="U251" t="s">
        <v>2327</v>
      </c>
      <c r="V251" t="s">
        <v>3191</v>
      </c>
      <c r="W251">
        <v>0</v>
      </c>
      <c r="X251">
        <v>0</v>
      </c>
      <c r="Y251" t="s">
        <v>4001</v>
      </c>
      <c r="Z251">
        <v>2.3039778274023259</v>
      </c>
      <c r="AA251">
        <v>2048</v>
      </c>
      <c r="AB251">
        <v>895</v>
      </c>
      <c r="AC251" t="s">
        <v>4846</v>
      </c>
      <c r="AD251">
        <v>53.08</v>
      </c>
      <c r="AE251" t="s">
        <v>5710</v>
      </c>
      <c r="AF251" t="s">
        <v>6539</v>
      </c>
      <c r="AG251">
        <v>10308</v>
      </c>
      <c r="AH251">
        <v>4</v>
      </c>
      <c r="AI251">
        <v>40288</v>
      </c>
      <c r="AJ251">
        <v>0.23</v>
      </c>
    </row>
    <row r="252" spans="1:36">
      <c r="A252" s="1" t="s">
        <v>768</v>
      </c>
      <c r="B252" t="s">
        <v>1632</v>
      </c>
      <c r="C252" t="str">
        <f>HYPERLINK("https://finance.naver.com/item/coinfo.nhn?code=003240", "A003240")</f>
        <v>A003240</v>
      </c>
      <c r="D252" t="str">
        <f>HYPERLINK("http://comp.fnguide.com/SVO2/ASP/SVD_Consensus.asp?pGB=1&amp;gicode=A003240&amp;cID=&amp;MenuYn=Y&amp;ReportGB=&amp;NewMenuID=108&amp;stkGb=701", "태광산업")</f>
        <v>태광산업</v>
      </c>
      <c r="E252">
        <v>3</v>
      </c>
      <c r="F252">
        <v>781000</v>
      </c>
      <c r="G252">
        <v>0</v>
      </c>
      <c r="H252">
        <v>8.67</v>
      </c>
      <c r="I252">
        <v>2623577</v>
      </c>
      <c r="J252">
        <v>3317674</v>
      </c>
      <c r="K252">
        <v>3514922</v>
      </c>
      <c r="L252">
        <v>-235.93</v>
      </c>
      <c r="M252">
        <v>-324.8</v>
      </c>
      <c r="N252">
        <v>-350.05</v>
      </c>
      <c r="O252">
        <v>5.52</v>
      </c>
      <c r="P252" t="b">
        <v>1</v>
      </c>
      <c r="Q252">
        <v>0</v>
      </c>
      <c r="R252">
        <v>122200</v>
      </c>
      <c r="U252" t="s">
        <v>2496</v>
      </c>
      <c r="V252" t="s">
        <v>3360</v>
      </c>
      <c r="W252">
        <v>0</v>
      </c>
      <c r="X252">
        <v>-18.2</v>
      </c>
      <c r="Y252" t="s">
        <v>4154</v>
      </c>
      <c r="Z252">
        <v>8.132256201578425</v>
      </c>
      <c r="AA252">
        <v>8696</v>
      </c>
      <c r="AB252">
        <v>1378</v>
      </c>
      <c r="AC252" t="s">
        <v>5015</v>
      </c>
      <c r="AD252">
        <v>55.01</v>
      </c>
      <c r="AE252" t="s">
        <v>5879</v>
      </c>
      <c r="AF252" t="s">
        <v>6689</v>
      </c>
      <c r="AG252">
        <v>29180</v>
      </c>
      <c r="AH252">
        <v>2914</v>
      </c>
      <c r="AI252">
        <v>271769</v>
      </c>
      <c r="AJ252">
        <v>0.15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rim</vt:lpstr>
      <vt:lpstr>pick</vt:lpstr>
      <vt:lpstr>dividend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2020-12-28T02:18:13Z</dcterms:created>
  <dcterms:modified xsi:type="dcterms:W3CDTF">2020-12-28T13:06:58Z</dcterms:modified>
</cp:coreProperties>
</file>