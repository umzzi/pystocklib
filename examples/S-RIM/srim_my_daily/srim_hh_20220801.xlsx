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im" sheetId="1" r:id="rId1"/>
    <sheet name="dividend" sheetId="2" r:id="rId2"/>
  </sheets>
  <calcPr calcId="124519" fullCalcOnLoad="1"/>
</workbook>
</file>

<file path=xl/sharedStrings.xml><?xml version="1.0" encoding="utf-8"?>
<sst xmlns="http://schemas.openxmlformats.org/spreadsheetml/2006/main" count="3874" uniqueCount="2969">
  <si>
    <t>name</t>
  </si>
  <si>
    <t>naverlink</t>
  </si>
  <si>
    <t>fnlink</t>
  </si>
  <si>
    <t>est_level</t>
  </si>
  <si>
    <t>price</t>
  </si>
  <si>
    <t>pegr</t>
  </si>
  <si>
    <t>cur_per</t>
  </si>
  <si>
    <t>est_price</t>
  </si>
  <si>
    <t>est_price1</t>
  </si>
  <si>
    <t>est_price2</t>
  </si>
  <si>
    <t>disparity</t>
  </si>
  <si>
    <t>disparity1</t>
  </si>
  <si>
    <t>disparity2</t>
  </si>
  <si>
    <t>rep_roe</t>
  </si>
  <si>
    <t>is_cheap_comp_per</t>
  </si>
  <si>
    <t>eps_level</t>
  </si>
  <si>
    <t>eps</t>
  </si>
  <si>
    <t>eps_expect</t>
  </si>
  <si>
    <t>eps_expect_this_year_ratio</t>
  </si>
  <si>
    <t>eps_list</t>
  </si>
  <si>
    <t>eps증가율</t>
  </si>
  <si>
    <t>eps증가율기하평균</t>
  </si>
  <si>
    <t>EPS최근증가율</t>
  </si>
  <si>
    <t>EPS증가율_ORG</t>
  </si>
  <si>
    <t>EPS증가율_AVG</t>
  </si>
  <si>
    <t>market_cap</t>
  </si>
  <si>
    <t>trading_cnt</t>
  </si>
  <si>
    <t>지배주주자본</t>
  </si>
  <si>
    <t>최대주주지분율</t>
  </si>
  <si>
    <t>ROE</t>
  </si>
  <si>
    <t>PER</t>
  </si>
  <si>
    <t>매출액</t>
  </si>
  <si>
    <t>영업이익</t>
  </si>
  <si>
    <t>자기주식수</t>
  </si>
  <si>
    <t>배당수익률</t>
  </si>
  <si>
    <t>code</t>
  </si>
  <si>
    <t>A095570</t>
  </si>
  <si>
    <t>A050760</t>
  </si>
  <si>
    <t>A035890</t>
  </si>
  <si>
    <t>A065710</t>
  </si>
  <si>
    <t>A140070</t>
  </si>
  <si>
    <t>A038540</t>
  </si>
  <si>
    <t>A017480</t>
  </si>
  <si>
    <t>A032750</t>
  </si>
  <si>
    <t>A037460</t>
  </si>
  <si>
    <t>A023600</t>
  </si>
  <si>
    <t>A093190</t>
  </si>
  <si>
    <t>A318410</t>
  </si>
  <si>
    <t>A121800</t>
  </si>
  <si>
    <t>A066410</t>
  </si>
  <si>
    <t>A950190</t>
  </si>
  <si>
    <t>A100790</t>
  </si>
  <si>
    <t>A058110</t>
  </si>
  <si>
    <t>A037350</t>
  </si>
  <si>
    <t>A024830</t>
  </si>
  <si>
    <t>A036830</t>
  </si>
  <si>
    <t>A127710</t>
  </si>
  <si>
    <t>A031330</t>
  </si>
  <si>
    <t>A260970</t>
  </si>
  <si>
    <t>A121890</t>
  </si>
  <si>
    <t>A030960</t>
  </si>
  <si>
    <t>A052790</t>
  </si>
  <si>
    <t>A031310</t>
  </si>
  <si>
    <t>A083930</t>
  </si>
  <si>
    <t>A236200</t>
  </si>
  <si>
    <t>A096530</t>
  </si>
  <si>
    <t>A376290</t>
  </si>
  <si>
    <t>A352700</t>
  </si>
  <si>
    <t>A160980</t>
  </si>
  <si>
    <t>A036710</t>
  </si>
  <si>
    <t>A192440</t>
  </si>
  <si>
    <t>A014100</t>
  </si>
  <si>
    <t>A041920</t>
  </si>
  <si>
    <t>A093520</t>
  </si>
  <si>
    <t>A121440</t>
  </si>
  <si>
    <t>A137940</t>
  </si>
  <si>
    <t>A042420</t>
  </si>
  <si>
    <t>A036800</t>
  </si>
  <si>
    <t>A293580</t>
  </si>
  <si>
    <t>A036190</t>
  </si>
  <si>
    <t>A066620</t>
  </si>
  <si>
    <t>A040300</t>
  </si>
  <si>
    <t>A270870</t>
  </si>
  <si>
    <t>A016250</t>
  </si>
  <si>
    <t>A035600</t>
  </si>
  <si>
    <t>A021320</t>
  </si>
  <si>
    <t>A036640</t>
  </si>
  <si>
    <t>A900290</t>
  </si>
  <si>
    <t>A068790</t>
  </si>
  <si>
    <t>A217270</t>
  </si>
  <si>
    <t>A144960</t>
  </si>
  <si>
    <t>A267980</t>
  </si>
  <si>
    <t>A187870</t>
  </si>
  <si>
    <t>A147760</t>
  </si>
  <si>
    <t>A042500</t>
  </si>
  <si>
    <t>A377450</t>
  </si>
  <si>
    <t>A012700</t>
  </si>
  <si>
    <t>A016100</t>
  </si>
  <si>
    <t>A084650</t>
  </si>
  <si>
    <t>A013120</t>
  </si>
  <si>
    <t>A298870</t>
  </si>
  <si>
    <t>A060380</t>
  </si>
  <si>
    <t>A067990</t>
  </si>
  <si>
    <t>A023910</t>
  </si>
  <si>
    <t>A290120</t>
  </si>
  <si>
    <t>A097950</t>
  </si>
  <si>
    <t>A032190</t>
  </si>
  <si>
    <t>A041910</t>
  </si>
  <si>
    <t>A003800</t>
  </si>
  <si>
    <t>A081660</t>
  </si>
  <si>
    <t>A072990</t>
  </si>
  <si>
    <t>A170790</t>
  </si>
  <si>
    <t>A104480</t>
  </si>
  <si>
    <t>A124560</t>
  </si>
  <si>
    <t>A110790</t>
  </si>
  <si>
    <t>A049430</t>
  </si>
  <si>
    <t>A190650</t>
  </si>
  <si>
    <t>A064820</t>
  </si>
  <si>
    <t>A083550</t>
  </si>
  <si>
    <t>A307930</t>
  </si>
  <si>
    <t>A078340</t>
  </si>
  <si>
    <t>A900310</t>
  </si>
  <si>
    <t>A052300</t>
  </si>
  <si>
    <t>A007370</t>
  </si>
  <si>
    <t>A064800</t>
  </si>
  <si>
    <t>A199820</t>
  </si>
  <si>
    <t>A091700</t>
  </si>
  <si>
    <t>A225590</t>
  </si>
  <si>
    <t>A251970</t>
  </si>
  <si>
    <t>A021650</t>
  </si>
  <si>
    <t>A353190</t>
  </si>
  <si>
    <t>A290270</t>
  </si>
  <si>
    <t>A039010</t>
  </si>
  <si>
    <t>A034810</t>
  </si>
  <si>
    <t>A007770</t>
  </si>
  <si>
    <t>A045100</t>
  </si>
  <si>
    <t>A054040</t>
  </si>
  <si>
    <t>A005670</t>
  </si>
  <si>
    <t>A023760</t>
  </si>
  <si>
    <t>A017890</t>
  </si>
  <si>
    <t>A039340</t>
  </si>
  <si>
    <t>A004590</t>
  </si>
  <si>
    <t>A031980</t>
  </si>
  <si>
    <t>A053610</t>
  </si>
  <si>
    <t>A094970</t>
  </si>
  <si>
    <t>A026040</t>
  </si>
  <si>
    <t>A204270</t>
  </si>
  <si>
    <t>A131030</t>
  </si>
  <si>
    <t>A037400</t>
  </si>
  <si>
    <t>A073560</t>
  </si>
  <si>
    <t>A082850</t>
  </si>
  <si>
    <t>A046970</t>
  </si>
  <si>
    <t>A041190</t>
  </si>
  <si>
    <t>A067900</t>
  </si>
  <si>
    <t>A143540</t>
  </si>
  <si>
    <t>A032940</t>
  </si>
  <si>
    <t>A090740</t>
  </si>
  <si>
    <t>A009780</t>
  </si>
  <si>
    <t>A376190</t>
  </si>
  <si>
    <t>A092870</t>
  </si>
  <si>
    <t>A950130</t>
  </si>
  <si>
    <t>A021080</t>
  </si>
  <si>
    <t>A153490</t>
  </si>
  <si>
    <t>A104830</t>
  </si>
  <si>
    <t>A033320</t>
  </si>
  <si>
    <t>A088390</t>
  </si>
  <si>
    <t>A225220</t>
  </si>
  <si>
    <t>A101930</t>
  </si>
  <si>
    <t>A049070</t>
  </si>
  <si>
    <t>A211050</t>
  </si>
  <si>
    <t>A079950</t>
  </si>
  <si>
    <t>A078020</t>
  </si>
  <si>
    <t>A067920</t>
  </si>
  <si>
    <t>A095270</t>
  </si>
  <si>
    <t>A024800</t>
  </si>
  <si>
    <t>A036200</t>
  </si>
  <si>
    <t>A900340</t>
  </si>
  <si>
    <t>A044340</t>
  </si>
  <si>
    <t>A377460</t>
  </si>
  <si>
    <t>A069080</t>
  </si>
  <si>
    <t>A023460</t>
  </si>
  <si>
    <t>A048470</t>
  </si>
  <si>
    <t>A298020</t>
  </si>
  <si>
    <t>A003960</t>
  </si>
  <si>
    <t>A006800</t>
  </si>
  <si>
    <t>A007120</t>
  </si>
  <si>
    <t>A008420</t>
  </si>
  <si>
    <t>A008560</t>
  </si>
  <si>
    <t>A138040</t>
  </si>
  <si>
    <t>A004000</t>
  </si>
  <si>
    <t>A210540</t>
  </si>
  <si>
    <t>A024090</t>
  </si>
  <si>
    <t>A006040</t>
  </si>
  <si>
    <t>A018500</t>
  </si>
  <si>
    <t>A000640</t>
  </si>
  <si>
    <t>A005960</t>
  </si>
  <si>
    <t>A001230</t>
  </si>
  <si>
    <t>A192080</t>
  </si>
  <si>
    <t>A005880</t>
  </si>
  <si>
    <t>A001270</t>
  </si>
  <si>
    <t>A002170</t>
  </si>
  <si>
    <t>A015230</t>
  </si>
  <si>
    <t>A272550</t>
  </si>
  <si>
    <t>A009970</t>
  </si>
  <si>
    <t>A111770</t>
  </si>
  <si>
    <t>A137310</t>
  </si>
  <si>
    <t>A161000</t>
  </si>
  <si>
    <t>A002310</t>
  </si>
  <si>
    <t>A002870</t>
  </si>
  <si>
    <t>A035510</t>
  </si>
  <si>
    <t>A016590</t>
  </si>
  <si>
    <t>A134790</t>
  </si>
  <si>
    <t>A004430</t>
  </si>
  <si>
    <t>A027970</t>
  </si>
  <si>
    <t>A011300</t>
  </si>
  <si>
    <t>A136490</t>
  </si>
  <si>
    <t>A008490</t>
  </si>
  <si>
    <t>A248170</t>
  </si>
  <si>
    <t>A084010</t>
  </si>
  <si>
    <t>A047040</t>
  </si>
  <si>
    <t>A049800</t>
  </si>
  <si>
    <t>A008260</t>
  </si>
  <si>
    <t>A035420</t>
  </si>
  <si>
    <t>A001120</t>
  </si>
  <si>
    <t>A044450</t>
  </si>
  <si>
    <t>A092230</t>
  </si>
  <si>
    <t>A025000</t>
  </si>
  <si>
    <t>A001390</t>
  </si>
  <si>
    <t>A175330</t>
  </si>
  <si>
    <t>A011200</t>
  </si>
  <si>
    <t>A007070</t>
  </si>
  <si>
    <t>A007700</t>
  </si>
  <si>
    <t>A007340</t>
  </si>
  <si>
    <t>A001880</t>
  </si>
  <si>
    <t>A000210</t>
  </si>
  <si>
    <t>A005830</t>
  </si>
  <si>
    <t>A016610</t>
  </si>
  <si>
    <t>A005940</t>
  </si>
  <si>
    <t>A010060</t>
  </si>
  <si>
    <t>A003540</t>
  </si>
  <si>
    <t>A004060</t>
  </si>
  <si>
    <t>A084690</t>
  </si>
  <si>
    <t>A001680</t>
  </si>
  <si>
    <t>A023590</t>
  </si>
  <si>
    <t>A030210</t>
  </si>
  <si>
    <t>A001260</t>
  </si>
  <si>
    <t>A000270</t>
  </si>
  <si>
    <t>A011780</t>
  </si>
  <si>
    <t>A002990</t>
  </si>
  <si>
    <t>A007690</t>
  </si>
  <si>
    <t>A013580</t>
  </si>
  <si>
    <t>A285130</t>
  </si>
  <si>
    <t>A210980</t>
  </si>
  <si>
    <t>A006120</t>
  </si>
  <si>
    <t>A018670</t>
  </si>
  <si>
    <t>A009160</t>
  </si>
  <si>
    <t>A002630</t>
  </si>
  <si>
    <t>A016360</t>
  </si>
  <si>
    <t>A123890</t>
  </si>
  <si>
    <t>A002020</t>
  </si>
  <si>
    <t>A192400</t>
  </si>
  <si>
    <t>A284740</t>
  </si>
  <si>
    <t>A264900</t>
  </si>
  <si>
    <t>A039490</t>
  </si>
  <si>
    <t>A009410</t>
  </si>
  <si>
    <t>A019180</t>
  </si>
  <si>
    <t>A004720</t>
  </si>
  <si>
    <t>A028670</t>
  </si>
  <si>
    <t>A058430</t>
  </si>
  <si>
    <t>A005810</t>
  </si>
  <si>
    <t>A071050</t>
  </si>
  <si>
    <t>A006200</t>
  </si>
  <si>
    <t>A000970</t>
  </si>
  <si>
    <t>A024720</t>
  </si>
  <si>
    <t>A034830</t>
  </si>
  <si>
    <t>A007280</t>
  </si>
  <si>
    <t>A014790</t>
  </si>
  <si>
    <t>A053690</t>
  </si>
  <si>
    <t>A016450</t>
  </si>
  <si>
    <t>A009180</t>
  </si>
  <si>
    <t>A004960</t>
  </si>
  <si>
    <t>A001750</t>
  </si>
  <si>
    <t>A009460</t>
  </si>
  <si>
    <t>A000880</t>
  </si>
  <si>
    <t>A042670</t>
  </si>
  <si>
    <t>A004560</t>
  </si>
  <si>
    <t>A011760</t>
  </si>
  <si>
    <t>A003070</t>
  </si>
  <si>
    <t>A010240</t>
  </si>
  <si>
    <t>A281820</t>
  </si>
  <si>
    <t>A101140</t>
  </si>
  <si>
    <t>A002780</t>
  </si>
  <si>
    <t>A194370</t>
  </si>
  <si>
    <t>A317400</t>
  </si>
  <si>
    <t>A077500</t>
  </si>
  <si>
    <t>A000700</t>
  </si>
  <si>
    <t>A118000</t>
  </si>
  <si>
    <t>A072130</t>
  </si>
  <si>
    <t>A000760</t>
  </si>
  <si>
    <t>A014830</t>
  </si>
  <si>
    <t>A008350</t>
  </si>
  <si>
    <t>A264450</t>
  </si>
  <si>
    <t>A033780</t>
  </si>
  <si>
    <t>A006390</t>
  </si>
  <si>
    <t>A229000</t>
  </si>
  <si>
    <t>A089790</t>
  </si>
  <si>
    <t>A095610</t>
  </si>
  <si>
    <t>A136540</t>
  </si>
  <si>
    <t>A323280</t>
  </si>
  <si>
    <t>A206640</t>
  </si>
  <si>
    <t>A244920</t>
  </si>
  <si>
    <t>A092730</t>
  </si>
  <si>
    <t>A033290</t>
  </si>
  <si>
    <t>A000660</t>
  </si>
  <si>
    <t>A119860</t>
  </si>
  <si>
    <t>A330730</t>
  </si>
  <si>
    <t>A052400</t>
  </si>
  <si>
    <t>A123570</t>
  </si>
  <si>
    <t>A382800</t>
  </si>
  <si>
    <t>A357230</t>
  </si>
  <si>
    <t>A100030</t>
  </si>
  <si>
    <t>A263690</t>
  </si>
  <si>
    <t>A241520</t>
  </si>
  <si>
    <t>A038290</t>
  </si>
  <si>
    <t>A205470</t>
  </si>
  <si>
    <t>A265520</t>
  </si>
  <si>
    <t>A126700</t>
  </si>
  <si>
    <t>A000990</t>
  </si>
  <si>
    <t>A083450</t>
  </si>
  <si>
    <t>A014940</t>
  </si>
  <si>
    <t>A259960</t>
  </si>
  <si>
    <t>A036670</t>
  </si>
  <si>
    <t>A089600</t>
  </si>
  <si>
    <t>A005950</t>
  </si>
  <si>
    <t>A130580</t>
  </si>
  <si>
    <t>A023770</t>
  </si>
  <si>
    <t>A214180</t>
  </si>
  <si>
    <t>A095660</t>
  </si>
  <si>
    <t>A293490</t>
  </si>
  <si>
    <t>A094280</t>
  </si>
  <si>
    <t>A009450</t>
  </si>
  <si>
    <t>A243070</t>
  </si>
  <si>
    <t>A234340</t>
  </si>
  <si>
    <t>A010050</t>
  </si>
  <si>
    <t>A137080</t>
  </si>
  <si>
    <t>A034120</t>
  </si>
  <si>
    <t>A122450</t>
  </si>
  <si>
    <t>A200130</t>
  </si>
  <si>
    <t>A086280</t>
  </si>
  <si>
    <t>A097520</t>
  </si>
  <si>
    <t>A151860</t>
  </si>
  <si>
    <t>A119650</t>
  </si>
  <si>
    <t>A016380</t>
  </si>
  <si>
    <t>A032680</t>
  </si>
  <si>
    <t>A347770</t>
  </si>
  <si>
    <t>A036930</t>
  </si>
  <si>
    <t>A128660</t>
  </si>
  <si>
    <t>A108320</t>
  </si>
  <si>
    <t>A246690</t>
  </si>
  <si>
    <t>A122310</t>
  </si>
  <si>
    <t>A131090</t>
  </si>
  <si>
    <t>A134380</t>
  </si>
  <si>
    <t>A361570</t>
  </si>
  <si>
    <t>A068930</t>
  </si>
  <si>
    <t>A123750</t>
  </si>
  <si>
    <t>A000060</t>
  </si>
  <si>
    <t>A232140</t>
  </si>
  <si>
    <t>A310200</t>
  </si>
  <si>
    <t>A241790</t>
  </si>
  <si>
    <t>A060850</t>
  </si>
  <si>
    <t>A065150</t>
  </si>
  <si>
    <t>A058630</t>
  </si>
  <si>
    <t>A131970</t>
  </si>
  <si>
    <t>A002410</t>
  </si>
  <si>
    <t>A129890</t>
  </si>
  <si>
    <t>A036810</t>
  </si>
  <si>
    <t>A086520</t>
  </si>
  <si>
    <t>A089970</t>
  </si>
  <si>
    <t>A028050</t>
  </si>
  <si>
    <t>A239610</t>
  </si>
  <si>
    <t>A068290</t>
  </si>
  <si>
    <t>A021240</t>
  </si>
  <si>
    <t>A092200</t>
  </si>
  <si>
    <t>A027360</t>
  </si>
  <si>
    <t>A339770</t>
  </si>
  <si>
    <t>A277410</t>
  </si>
  <si>
    <t>A139990</t>
  </si>
  <si>
    <t>A194700</t>
  </si>
  <si>
    <t>A137950</t>
  </si>
  <si>
    <t>A285490</t>
  </si>
  <si>
    <t>A306040</t>
  </si>
  <si>
    <t>A950140</t>
  </si>
  <si>
    <t>A071200</t>
  </si>
  <si>
    <t>A216050</t>
  </si>
  <si>
    <t>A161890</t>
  </si>
  <si>
    <t>A064260</t>
  </si>
  <si>
    <t>A114840</t>
  </si>
  <si>
    <t>A340360</t>
  </si>
  <si>
    <t>A340930</t>
  </si>
  <si>
    <t>A038070</t>
  </si>
  <si>
    <t>A389260</t>
  </si>
  <si>
    <t>A112040</t>
  </si>
  <si>
    <t>A298540</t>
  </si>
  <si>
    <t>A363260</t>
  </si>
  <si>
    <t>A101160</t>
  </si>
  <si>
    <t>A376980</t>
  </si>
  <si>
    <t>A016880</t>
  </si>
  <si>
    <t>AJ네트웍스</t>
  </si>
  <si>
    <t>에스폴리텍</t>
  </si>
  <si>
    <t>서희건설</t>
  </si>
  <si>
    <t>서호전기</t>
  </si>
  <si>
    <t>서플러스글로벌</t>
  </si>
  <si>
    <t>상상인</t>
  </si>
  <si>
    <t>삼현철강</t>
  </si>
  <si>
    <t>삼진</t>
  </si>
  <si>
    <t>삼지전자</t>
  </si>
  <si>
    <t>삼보판지</t>
  </si>
  <si>
    <t>빅솔론</t>
  </si>
  <si>
    <t>비비씨</t>
  </si>
  <si>
    <t>비덴트</t>
  </si>
  <si>
    <t>버킷스튜디오</t>
  </si>
  <si>
    <t>미투젠</t>
  </si>
  <si>
    <t>미래에셋벤처투자</t>
  </si>
  <si>
    <t>멕아이씨에스</t>
  </si>
  <si>
    <t>성도이엔지</t>
  </si>
  <si>
    <t>세원물산</t>
  </si>
  <si>
    <t>솔브레인홀딩스</t>
  </si>
  <si>
    <t>아시아경제</t>
  </si>
  <si>
    <t>에스에이엠티</t>
  </si>
  <si>
    <t>에스앤디</t>
  </si>
  <si>
    <t>에스디시스템</t>
  </si>
  <si>
    <t>양지사</t>
  </si>
  <si>
    <t>액토즈소프트</t>
  </si>
  <si>
    <t>아이즈비전</t>
  </si>
  <si>
    <t>아바코</t>
  </si>
  <si>
    <t>슈프리마</t>
  </si>
  <si>
    <t>씨젠</t>
  </si>
  <si>
    <t>씨유테크</t>
  </si>
  <si>
    <t>씨앤투스성진</t>
  </si>
  <si>
    <t>싸이맥스</t>
  </si>
  <si>
    <t>심텍홀딩스</t>
  </si>
  <si>
    <t>슈피겐코리아</t>
  </si>
  <si>
    <t>메디앙스</t>
  </si>
  <si>
    <t>메디아나</t>
  </si>
  <si>
    <t>매커스</t>
  </si>
  <si>
    <t>골프존뉴딘홀딩스</t>
  </si>
  <si>
    <t>넥스트아이</t>
  </si>
  <si>
    <t>네오위즈홀딩스</t>
  </si>
  <si>
    <t>나이스정보통신</t>
  </si>
  <si>
    <t>나우IB</t>
  </si>
  <si>
    <t>금화피에스시</t>
  </si>
  <si>
    <t>국보디자인</t>
  </si>
  <si>
    <t>YTN</t>
  </si>
  <si>
    <t>뉴트리</t>
  </si>
  <si>
    <t>SGC이테크건설</t>
  </si>
  <si>
    <t>KG이니시스</t>
  </si>
  <si>
    <t>KCC건설</t>
  </si>
  <si>
    <t>HRS</t>
  </si>
  <si>
    <t>GRT</t>
  </si>
  <si>
    <t>DMS</t>
  </si>
  <si>
    <t>넵튠</t>
  </si>
  <si>
    <t>뉴파워프라즈마</t>
  </si>
  <si>
    <t>매일유업</t>
  </si>
  <si>
    <t>디바이스이엔지</t>
  </si>
  <si>
    <t>마이크로프랜드</t>
  </si>
  <si>
    <t>링네트</t>
  </si>
  <si>
    <t>리파인</t>
  </si>
  <si>
    <t>리드코프</t>
  </si>
  <si>
    <t>리더스코스메틱</t>
  </si>
  <si>
    <t>랩지노믹스</t>
  </si>
  <si>
    <t>동원개발</t>
  </si>
  <si>
    <t>다올인베스트먼트</t>
  </si>
  <si>
    <t>동양에스텍</t>
  </si>
  <si>
    <t>도이치모터스</t>
  </si>
  <si>
    <t>대한약품</t>
  </si>
  <si>
    <t>대유에이피</t>
  </si>
  <si>
    <t>CJ제일제당</t>
  </si>
  <si>
    <t>다우데이타</t>
  </si>
  <si>
    <t>에스텍파마</t>
  </si>
  <si>
    <t>에이스침대</t>
  </si>
  <si>
    <t>휠라홀딩스</t>
  </si>
  <si>
    <t>에이치시티</t>
  </si>
  <si>
    <t>파이오링크</t>
  </si>
  <si>
    <t>티케이케미칼</t>
  </si>
  <si>
    <t>태웅로직스</t>
  </si>
  <si>
    <t>크리스에프앤씨</t>
  </si>
  <si>
    <t>코메론</t>
  </si>
  <si>
    <t>코리아에셋투자증권</t>
  </si>
  <si>
    <t>케이프</t>
  </si>
  <si>
    <t>케이엠</t>
  </si>
  <si>
    <t>컴퍼니케이</t>
  </si>
  <si>
    <t>컴투스</t>
  </si>
  <si>
    <t>컬러레이</t>
  </si>
  <si>
    <t>초록뱀컴퍼니</t>
  </si>
  <si>
    <t>진양제약</t>
  </si>
  <si>
    <t>젬백스링크</t>
  </si>
  <si>
    <t>제일전기공업</t>
  </si>
  <si>
    <t>파트론</t>
  </si>
  <si>
    <t>패션플랫폼</t>
  </si>
  <si>
    <t>펌텍코리아</t>
  </si>
  <si>
    <t>한국큐빅</t>
  </si>
  <si>
    <t>휴럼</t>
  </si>
  <si>
    <t>휴네시온</t>
  </si>
  <si>
    <t>현대에이치티</t>
  </si>
  <si>
    <t>해성산업</t>
  </si>
  <si>
    <t>한일화학</t>
  </si>
  <si>
    <t>한양이엔지</t>
  </si>
  <si>
    <t>한국컴퓨터</t>
  </si>
  <si>
    <t>푸드웰</t>
  </si>
  <si>
    <t>한국캐피탈</t>
  </si>
  <si>
    <t>한국알콜</t>
  </si>
  <si>
    <t>한국경제TV</t>
  </si>
  <si>
    <t>한국가구</t>
  </si>
  <si>
    <t>피에스케이홀딩스</t>
  </si>
  <si>
    <t>프로텍</t>
  </si>
  <si>
    <t>제이엠티</t>
  </si>
  <si>
    <t>제이에스티나</t>
  </si>
  <si>
    <t>제이앤티씨</t>
  </si>
  <si>
    <t>옵투스제약</t>
  </si>
  <si>
    <t>우리엔터프라이즈</t>
  </si>
  <si>
    <t>우리손에프앤지</t>
  </si>
  <si>
    <t>우리바이오</t>
  </si>
  <si>
    <t>우리로</t>
  </si>
  <si>
    <t>우리기술투자</t>
  </si>
  <si>
    <t>와이엔텍</t>
  </si>
  <si>
    <t>영우디에스피</t>
  </si>
  <si>
    <t>원익</t>
  </si>
  <si>
    <t>연이비앤티</t>
  </si>
  <si>
    <t>엠에스씨</t>
  </si>
  <si>
    <t>엘비루셈</t>
  </si>
  <si>
    <t>엑시콘</t>
  </si>
  <si>
    <t>엑세스바이오</t>
  </si>
  <si>
    <t>에이티넘인베스트</t>
  </si>
  <si>
    <t>우리이앤엘</t>
  </si>
  <si>
    <t>원익머트리얼즈</t>
  </si>
  <si>
    <t>제이씨현시스템</t>
  </si>
  <si>
    <t>이녹스</t>
  </si>
  <si>
    <t>제놀루션</t>
  </si>
  <si>
    <t>인화정공</t>
  </si>
  <si>
    <t>인탑스</t>
  </si>
  <si>
    <t>인카금융서비스</t>
  </si>
  <si>
    <t>인베니아</t>
  </si>
  <si>
    <t>이베스트투자증권</t>
  </si>
  <si>
    <t>이글루</t>
  </si>
  <si>
    <t>웨이브일렉트로</t>
  </si>
  <si>
    <t>유성티엔에스</t>
  </si>
  <si>
    <t>유니셈</t>
  </si>
  <si>
    <t>윙입푸드</t>
  </si>
  <si>
    <t>위닉스</t>
  </si>
  <si>
    <t>위니아에이드</t>
  </si>
  <si>
    <t>웹젠</t>
  </si>
  <si>
    <t>CNH</t>
  </si>
  <si>
    <t>대동스틸</t>
  </si>
  <si>
    <t>효성티앤씨</t>
  </si>
  <si>
    <t>사조대림</t>
  </si>
  <si>
    <t>미래에셋증권</t>
  </si>
  <si>
    <t>미래아이앤지</t>
  </si>
  <si>
    <t>문배철강</t>
  </si>
  <si>
    <t>메리츠증권</t>
  </si>
  <si>
    <t>메리츠금융지주</t>
  </si>
  <si>
    <t>롯데정밀화학</t>
  </si>
  <si>
    <t>디와이파워</t>
  </si>
  <si>
    <t>디씨엠</t>
  </si>
  <si>
    <t>동원산업</t>
  </si>
  <si>
    <t>동원금속</t>
  </si>
  <si>
    <t>동아쏘시오홀딩스</t>
  </si>
  <si>
    <t>동부건설</t>
  </si>
  <si>
    <t>동국제강</t>
  </si>
  <si>
    <t>더블유게임즈</t>
  </si>
  <si>
    <t>대한해운</t>
  </si>
  <si>
    <t>부국증권</t>
  </si>
  <si>
    <t>삼양통상</t>
  </si>
  <si>
    <t>대창단조</t>
  </si>
  <si>
    <t>삼양패키징</t>
  </si>
  <si>
    <t>영원무역홀딩스</t>
  </si>
  <si>
    <t>영원무역</t>
  </si>
  <si>
    <t>에스디바이오센서</t>
  </si>
  <si>
    <t>애경케미칼</t>
  </si>
  <si>
    <t>아세아제지</t>
  </si>
  <si>
    <t>신풍제지</t>
  </si>
  <si>
    <t>신세계 I&amp;C</t>
  </si>
  <si>
    <t>신대양제지</t>
  </si>
  <si>
    <t>시디즈</t>
  </si>
  <si>
    <t>송원산업</t>
  </si>
  <si>
    <t>세하</t>
  </si>
  <si>
    <t>성안</t>
  </si>
  <si>
    <t>선진</t>
  </si>
  <si>
    <t>서흥</t>
  </si>
  <si>
    <t>샘표식품</t>
  </si>
  <si>
    <t>대한제강</t>
  </si>
  <si>
    <t>대우건설</t>
  </si>
  <si>
    <t>우진플라임</t>
  </si>
  <si>
    <t>NI스틸</t>
  </si>
  <si>
    <t>NAVER</t>
  </si>
  <si>
    <t>LX인터내셔널</t>
  </si>
  <si>
    <t>KSS해운</t>
  </si>
  <si>
    <t>KPX홀딩스</t>
  </si>
  <si>
    <t>KPX케미칼</t>
  </si>
  <si>
    <t>KG케미칼</t>
  </si>
  <si>
    <t>JB금융지주</t>
  </si>
  <si>
    <t>HMM</t>
  </si>
  <si>
    <t>GS리테일</t>
  </si>
  <si>
    <t>F&amp;F홀딩스</t>
  </si>
  <si>
    <t>DN오토모티브</t>
  </si>
  <si>
    <t>DL건설</t>
  </si>
  <si>
    <t>DL</t>
  </si>
  <si>
    <t>DB손해보험</t>
  </si>
  <si>
    <t>DB금융투자</t>
  </si>
  <si>
    <t>NH투자증권</t>
  </si>
  <si>
    <t>OCI</t>
  </si>
  <si>
    <t>대신증권</t>
  </si>
  <si>
    <t>SG세계물산</t>
  </si>
  <si>
    <t>대상홀딩스</t>
  </si>
  <si>
    <t>대상</t>
  </si>
  <si>
    <t>다우기술</t>
  </si>
  <si>
    <t>다올투자증권</t>
  </si>
  <si>
    <t>남광토건</t>
  </si>
  <si>
    <t>기아</t>
  </si>
  <si>
    <t>금호석유</t>
  </si>
  <si>
    <t>금호건설</t>
  </si>
  <si>
    <t>국도화학</t>
  </si>
  <si>
    <t>계룡건설</t>
  </si>
  <si>
    <t>SK케미칼</t>
  </si>
  <si>
    <t>SK디앤디</t>
  </si>
  <si>
    <t>SK디스커버리</t>
  </si>
  <si>
    <t>SK가스</t>
  </si>
  <si>
    <t>SIMPAC</t>
  </si>
  <si>
    <t>오리엔트바이오</t>
  </si>
  <si>
    <t>삼성증권</t>
  </si>
  <si>
    <t>한국자산신탁</t>
  </si>
  <si>
    <t>코오롱</t>
  </si>
  <si>
    <t>쿠쿠홀딩스</t>
  </si>
  <si>
    <t>쿠쿠홈시스</t>
  </si>
  <si>
    <t>크라운제과</t>
  </si>
  <si>
    <t>키움증권</t>
  </si>
  <si>
    <t>태영건설</t>
  </si>
  <si>
    <t>티에이치엔</t>
  </si>
  <si>
    <t>팜젠사이언스</t>
  </si>
  <si>
    <t>팬오션</t>
  </si>
  <si>
    <t>포스코스틸리온</t>
  </si>
  <si>
    <t>풍산홀딩스</t>
  </si>
  <si>
    <t>한국금융지주</t>
  </si>
  <si>
    <t>한국전자홀딩스</t>
  </si>
  <si>
    <t>한국주철관</t>
  </si>
  <si>
    <t>한국콜마홀딩스</t>
  </si>
  <si>
    <t>한국토지신탁</t>
  </si>
  <si>
    <t>한국특강</t>
  </si>
  <si>
    <t>한라</t>
  </si>
  <si>
    <t>한미글로벌</t>
  </si>
  <si>
    <t>한세예스24홀딩스</t>
  </si>
  <si>
    <t>한솔로지스틱스</t>
  </si>
  <si>
    <t>한신공영</t>
  </si>
  <si>
    <t>한양증권</t>
  </si>
  <si>
    <t>한창제지</t>
  </si>
  <si>
    <t>한화</t>
  </si>
  <si>
    <t>현대두산인프라코어</t>
  </si>
  <si>
    <t>현대비앤지스틸</t>
  </si>
  <si>
    <t>현대코퍼레이션</t>
  </si>
  <si>
    <t>코오롱글로벌</t>
  </si>
  <si>
    <t>흥국</t>
  </si>
  <si>
    <t>케이씨텍</t>
  </si>
  <si>
    <t>인바이오젠</t>
  </si>
  <si>
    <t>진흥기업</t>
  </si>
  <si>
    <t>제이에스코퍼레이션</t>
  </si>
  <si>
    <t>자이에스앤디</t>
  </si>
  <si>
    <t>유니퀘스트</t>
  </si>
  <si>
    <t>유수홀딩스</t>
  </si>
  <si>
    <t>초록뱀헬스케어</t>
  </si>
  <si>
    <t>유엔젤</t>
  </si>
  <si>
    <t>이화산업</t>
  </si>
  <si>
    <t>유니드</t>
  </si>
  <si>
    <t>남선알미늄</t>
  </si>
  <si>
    <t>유비쿼스</t>
  </si>
  <si>
    <t>KT&amp;G</t>
  </si>
  <si>
    <t>한일현대시멘트</t>
  </si>
  <si>
    <t>젠큐릭스</t>
  </si>
  <si>
    <t>제이티</t>
  </si>
  <si>
    <t>테스</t>
  </si>
  <si>
    <t>윈스</t>
  </si>
  <si>
    <t>태성</t>
  </si>
  <si>
    <t>바디텍메드</t>
  </si>
  <si>
    <t>에이플러스에셋</t>
  </si>
  <si>
    <t>네오팜</t>
  </si>
  <si>
    <t>코웰패션</t>
  </si>
  <si>
    <t>SK하이닉스</t>
  </si>
  <si>
    <t>다나와</t>
  </si>
  <si>
    <t>스톤브릿지벤처스</t>
  </si>
  <si>
    <t>코나아이</t>
  </si>
  <si>
    <t>이엠넷</t>
  </si>
  <si>
    <t>지앤비에스엔지니어링</t>
  </si>
  <si>
    <t>에이치피오</t>
  </si>
  <si>
    <t>모바일리더</t>
  </si>
  <si>
    <t>디알젬</t>
  </si>
  <si>
    <t>DSC인베스트먼트</t>
  </si>
  <si>
    <t>마크로젠</t>
  </si>
  <si>
    <t>휴마시스</t>
  </si>
  <si>
    <t>AP시스템</t>
  </si>
  <si>
    <t>하이비젼시스템</t>
  </si>
  <si>
    <t>DB하이텍</t>
  </si>
  <si>
    <t>GST</t>
  </si>
  <si>
    <t>오리엔탈정공</t>
  </si>
  <si>
    <t>크래프톤</t>
  </si>
  <si>
    <t>KCI</t>
  </si>
  <si>
    <t>나스미디어</t>
  </si>
  <si>
    <t>이수화학</t>
  </si>
  <si>
    <t>나이스디앤비</t>
  </si>
  <si>
    <t>플레이위드</t>
  </si>
  <si>
    <t>헥토이노베이션</t>
  </si>
  <si>
    <t>네오위즈</t>
  </si>
  <si>
    <t>카카오게임즈</t>
  </si>
  <si>
    <t>효성ITX</t>
  </si>
  <si>
    <t>경동나비엔</t>
  </si>
  <si>
    <t>휴온스</t>
  </si>
  <si>
    <t>헥토파이낸셜</t>
  </si>
  <si>
    <t>우리종금</t>
  </si>
  <si>
    <t>나래나노텍</t>
  </si>
  <si>
    <t>SBS</t>
  </si>
  <si>
    <t>KX</t>
  </si>
  <si>
    <t>콜마비앤에이치</t>
  </si>
  <si>
    <t>현대글로비스</t>
  </si>
  <si>
    <t>엠씨넥스</t>
  </si>
  <si>
    <t>KG ETS</t>
  </si>
  <si>
    <t>KC코트렐</t>
  </si>
  <si>
    <t>KG스틸</t>
  </si>
  <si>
    <t>소프트센</t>
  </si>
  <si>
    <t>핌스</t>
  </si>
  <si>
    <t>주성엔지니어링</t>
  </si>
  <si>
    <t>피제이메탈</t>
  </si>
  <si>
    <t>LX세미콘</t>
  </si>
  <si>
    <t>TS인베스트먼트</t>
  </si>
  <si>
    <t>제노레이</t>
  </si>
  <si>
    <t>시큐브</t>
  </si>
  <si>
    <t>미원화학</t>
  </si>
  <si>
    <t>알비더블유</t>
  </si>
  <si>
    <t>디지털대성</t>
  </si>
  <si>
    <t>알톤스포츠</t>
  </si>
  <si>
    <t>메리츠화재</t>
  </si>
  <si>
    <t>와이아이케이</t>
  </si>
  <si>
    <t>애니플러스</t>
  </si>
  <si>
    <t>오션브릿지</t>
  </si>
  <si>
    <t>영림원소프트랩</t>
  </si>
  <si>
    <t>엠피대산</t>
  </si>
  <si>
    <t>엠게임</t>
  </si>
  <si>
    <t>두산테스나</t>
  </si>
  <si>
    <t>범양건영</t>
  </si>
  <si>
    <t>앱코</t>
  </si>
  <si>
    <t>에프에스티</t>
  </si>
  <si>
    <t>에코프로</t>
  </si>
  <si>
    <t>에이피티씨</t>
  </si>
  <si>
    <t>삼성엔지니어링</t>
  </si>
  <si>
    <t>에이치엘사이언스</t>
  </si>
  <si>
    <t>삼성출판사</t>
  </si>
  <si>
    <t>코웨이</t>
  </si>
  <si>
    <t>디아이씨</t>
  </si>
  <si>
    <t>아주IB투자</t>
  </si>
  <si>
    <t>교촌에프앤비</t>
  </si>
  <si>
    <t>인산가</t>
  </si>
  <si>
    <t>아주스틸</t>
  </si>
  <si>
    <t>노바렉스</t>
  </si>
  <si>
    <t>제이씨케미칼</t>
  </si>
  <si>
    <t>노바텍</t>
  </si>
  <si>
    <t>에스제이그룹</t>
  </si>
  <si>
    <t>잉글우드랩</t>
  </si>
  <si>
    <t>인피니트헬스케어</t>
  </si>
  <si>
    <t>인크로스</t>
  </si>
  <si>
    <t>한국콜마</t>
  </si>
  <si>
    <t>다날</t>
  </si>
  <si>
    <t>아이패밀리에스씨</t>
  </si>
  <si>
    <t>다보링크</t>
  </si>
  <si>
    <t>유일에너테크</t>
  </si>
  <si>
    <t>서린바이오</t>
  </si>
  <si>
    <t>대명에너지</t>
  </si>
  <si>
    <t>위메이드</t>
  </si>
  <si>
    <t>더네이쳐홀딩스</t>
  </si>
  <si>
    <t>모비데이즈</t>
  </si>
  <si>
    <t>월덱스</t>
  </si>
  <si>
    <t>원티드랩</t>
  </si>
  <si>
    <t>웅진</t>
  </si>
  <si>
    <t>1583</t>
  </si>
  <si>
    <t>[982.0, -84.0, 1640.0, 927.0]</t>
  </si>
  <si>
    <t>[658.0, 473.0, 315.0, nan]</t>
  </si>
  <si>
    <t>[296.0, 543.0, 631.0, nan]</t>
  </si>
  <si>
    <t>[2973.0, 1317.0, 3374.0, nan]</t>
  </si>
  <si>
    <t>[43.0, 311.0, 749.0, nan]</t>
  </si>
  <si>
    <t>[2254.0, 1121.0, 1828.0, nan]</t>
  </si>
  <si>
    <t>[417.0, 492.0, 1617.0, nan]</t>
  </si>
  <si>
    <t>[1683.0, 918.0, 1337.0, nan]</t>
  </si>
  <si>
    <t>[849.0, 1649.0, 1874.0, nan]</t>
  </si>
  <si>
    <t>[1779.0, 2241.0, 3286.0, nan]</t>
  </si>
  <si>
    <t>[499.0, 291.0, 1340.0, nan]</t>
  </si>
  <si>
    <t>[1183.0, 1829.0, 686.0, nan]</t>
  </si>
  <si>
    <t>[-258.0, 465.0, 4405.0, nan]</t>
  </si>
  <si>
    <t>[-118.0, -147.0, 947.0, nan]</t>
  </si>
  <si>
    <t>[3166.0, 3271.0, 2243.0, nan]</t>
  </si>
  <si>
    <t>[243.0, 626.0, 1657.0, 1960.0]</t>
  </si>
  <si>
    <t>[-134.0, 1751.0, 603.0, nan]</t>
  </si>
  <si>
    <t>[-4159.0, 5770.0, 1380.0, nan]</t>
  </si>
  <si>
    <t>[1572.0, 2199.0, 3231.0, nan]</t>
  </si>
  <si>
    <t>[6737.0, 103627.0, 1501.0, nan]</t>
  </si>
  <si>
    <t>[146.0, 141.0, 840.0, nan]</t>
  </si>
  <si>
    <t>[376.0, 434.0, 601.0, nan]</t>
  </si>
  <si>
    <t>[1602.0, 2424.0, 2310.0, nan]</t>
  </si>
  <si>
    <t>[-1515.0, -299.0, 251.0, nan]</t>
  </si>
  <si>
    <t>[145.0, 7553.0, 83.0, nan]</t>
  </si>
  <si>
    <t>[1833.0, 1376.0, 3302.0, nan]</t>
  </si>
  <si>
    <t>[-63.0, 770.0, 1070.0, nan]</t>
  </si>
  <si>
    <t>[1225.0, 921.0, 813.0, nan]</t>
  </si>
  <si>
    <t>[3643.0, 1310.0, 3149.0, nan]</t>
  </si>
  <si>
    <t>[511.0, 9617.0, 10274.0, 6818.0]</t>
  </si>
  <si>
    <t>[1225.0, 757.0, 1026.0, nan]</t>
  </si>
  <si>
    <t>[-24.0, 1418.0, 1597.0, 1427.0]</t>
  </si>
  <si>
    <t>[401.0, 2113.0, 2233.0, nan]</t>
  </si>
  <si>
    <t>[-378.0, 582.0, 619.0, nan]</t>
  </si>
  <si>
    <t>[6489.0, 8603.0, 7269.0, nan]</t>
  </si>
  <si>
    <t>[2765.0, 342.0, 370.0, nan]</t>
  </si>
  <si>
    <t>[422.0, 703.0, 548.0, nan]</t>
  </si>
  <si>
    <t>[296.0, 493.0, 1545.0, nan]</t>
  </si>
  <si>
    <t>[-733.0, 658.0, 3146.0, nan]</t>
  </si>
  <si>
    <t>[-77.0, 557.0, -233.0, nan]</t>
  </si>
  <si>
    <t>[2345.0, 5841.0, 7343.0, nan]</t>
  </si>
  <si>
    <t>[3011.0, 1351.0, 3980.0, 3715.0]</t>
  </si>
  <si>
    <t>[311.0, 805.0, 1325.0, nan]</t>
  </si>
  <si>
    <t>[4614.0, 4993.0, 3858.0, nan]</t>
  </si>
  <si>
    <t>[2126.0, 2680.0, 2606.0, nan]</t>
  </si>
  <si>
    <t>[-78.0, 186.0, 1228.0, nan]</t>
  </si>
  <si>
    <t>[1056.0, 2114.0, 2161.0, nan]</t>
  </si>
  <si>
    <t>[4212.0, 40893.0, 26905.0, 22428.0]</t>
  </si>
  <si>
    <t>[1792.0, 1521.0, 1725.0, 1912.0]</t>
  </si>
  <si>
    <t>[1319.0, 1759.0, 2205.0, nan]</t>
  </si>
  <si>
    <t>[60.0, 563.0, 1273.0, 984.0]</t>
  </si>
  <si>
    <t>[964.0, 766.0, 658.0, nan]</t>
  </si>
  <si>
    <t>[749.0, 1653.0, 1347.0, nan]</t>
  </si>
  <si>
    <t>[-796.0, 1955.0, 2508.0, nan]</t>
  </si>
  <si>
    <t>[133.0, 997.0, 531.0, nan]</t>
  </si>
  <si>
    <t>[8202.0, 7350.0, 9466.0, 8461.0]</t>
  </si>
  <si>
    <t>[661.0, 4320.0, 4470.0, nan]</t>
  </si>
  <si>
    <t>[-429.0, 595.0, 726.0, nan]</t>
  </si>
  <si>
    <t>[466.0, 498.0, 565.0, nan]</t>
  </si>
  <si>
    <t>[416.0, 1236.0, 1224.0, nan]</t>
  </si>
  <si>
    <t>[1531.0, 1735.0, 1520.0, nan]</t>
  </si>
  <si>
    <t>[-3046.0, 1247.0, -208.0, nan]</t>
  </si>
  <si>
    <t>[33.0, 1246.0, 2441.0, 2906.0]</t>
  </si>
  <si>
    <t>[933.0, 1590.0, 799.0, nan]</t>
  </si>
  <si>
    <t>[189.0, 447.0, 797.0, nan]</t>
  </si>
  <si>
    <t>[99.0, 268.0, 918.0, nan]</t>
  </si>
  <si>
    <t>[1960.0, 492.0, 1175.0, 1357.0]</t>
  </si>
  <si>
    <t>[4694.0, 2897.0, 3778.0, nan]</t>
  </si>
  <si>
    <t>[733.0, 530.0, 736.0, nan]</t>
  </si>
  <si>
    <t>[9312.0, 41851.0, 37413.0, 45968.0]</t>
  </si>
  <si>
    <t>[1782.0, 2510.0, 3838.0, nan]</t>
  </si>
  <si>
    <t>[1280.0, 1322.0, 578.0, nan]</t>
  </si>
  <si>
    <t>[3987.0, 4448.0, 5761.0, nan]</t>
  </si>
  <si>
    <t>[4365.0, 2286.0, 3872.0, 4458.0]</t>
  </si>
  <si>
    <t>[868.0, 1461.0, 1476.0, 1718.0]</t>
  </si>
  <si>
    <t>[820.0, 1557.0, 1629.0, nan]</t>
  </si>
  <si>
    <t>[104.0, -15.0, 3860.0, nan]</t>
  </si>
  <si>
    <t>[321.0, 204.0, 1658.0, nan]</t>
  </si>
  <si>
    <t>[2119.0, 3301.0, 5829.0, nan]</t>
  </si>
  <si>
    <t>[1581.0, 1344.0, 2187.0, nan]</t>
  </si>
  <si>
    <t>[1207.0, 1816.0, 2612.0, nan]</t>
  </si>
  <si>
    <t>[252.0, 299.0, 931.0, nan]</t>
  </si>
  <si>
    <t>[583.0, 2908.0, 667.0, nan]</t>
  </si>
  <si>
    <t>[605.0, 632.0, 1210.0, nan]</t>
  </si>
  <si>
    <t>[8693.0, 6246.0, 10060.0, 3790.0]</t>
  </si>
  <si>
    <t>[448.0, 408.0, 449.0, nan]</t>
  </si>
  <si>
    <t>[-471.0, 284.0, 772.0, nan]</t>
  </si>
  <si>
    <t>[137.0, 436.0, 795.0, nan]</t>
  </si>
  <si>
    <t>[47.0, 127.0, 415.0, nan]</t>
  </si>
  <si>
    <t>[1472.0, 1473.0, 1162.0, nan]</t>
  </si>
  <si>
    <t>[1126.0, 404.0, 1334.0, 831.0]</t>
  </si>
  <si>
    <t>[209.0, 41.0, 578.0, nan]</t>
  </si>
  <si>
    <t>[1661.0, 1577.0, 1430.0, nan]</t>
  </si>
  <si>
    <t>[205.0, 643.0, 461.0, nan]</t>
  </si>
  <si>
    <t>[92.0, 66.0, -204.0, nan]</t>
  </si>
  <si>
    <t>[187.0, 349.0, 1551.0, nan]</t>
  </si>
  <si>
    <t>[1236.0, 1059.0, 1048.0, nan]</t>
  </si>
  <si>
    <t>[238.0, 24709.0, 1987.0, nan]</t>
  </si>
  <si>
    <t>[475.0, -374.0, 6465.0, nan]</t>
  </si>
  <si>
    <t>[1641.0, 2674.0, 2547.0, nan]</t>
  </si>
  <si>
    <t>[472.0, 544.0, 945.0, nan]</t>
  </si>
  <si>
    <t>[3109.0, 411.0, 593.0, nan]</t>
  </si>
  <si>
    <t>[109.0, 102.0, 168.0, nan]</t>
  </si>
  <si>
    <t>[1472.0, 2360.0, 2125.0, nan]</t>
  </si>
  <si>
    <t>[653.0, 827.0, 1103.0, nan]</t>
  </si>
  <si>
    <t>[405.0, 617.0, 1459.0, nan]</t>
  </si>
  <si>
    <t>[1370.0, 2942.0, 2162.0, nan]</t>
  </si>
  <si>
    <t>[3502.0, 1040.0, 4288.0, 4436.0]</t>
  </si>
  <si>
    <t>[57.0, 317.0, 906.0, nan]</t>
  </si>
  <si>
    <t>[-2026.0, -836.0, 1067.0, nan]</t>
  </si>
  <si>
    <t>[1691.0, 1043.0, -581.0, 27.0]</t>
  </si>
  <si>
    <t>[881.0, 870.0, 597.0, nan]</t>
  </si>
  <si>
    <t>[48.0, 230.0, 818.0, nan]</t>
  </si>
  <si>
    <t>[61.0, 315.0, 399.0, nan]</t>
  </si>
  <si>
    <t>[101.0, 375.0, 709.0, nan]</t>
  </si>
  <si>
    <t>[-338.0, -300.0, 428.0, nan]</t>
  </si>
  <si>
    <t>[127.0, 341.0, 7374.0, nan]</t>
  </si>
  <si>
    <t>[1012.0, 1203.0, 1277.0, 1420.0]</t>
  </si>
  <si>
    <t>[-53.0, 181.0, 198.0, nan]</t>
  </si>
  <si>
    <t>[2037.0, 4364.0, 1566.0, nan]</t>
  </si>
  <si>
    <t>[399.0, -4082.0, 1371.0, nan]</t>
  </si>
  <si>
    <t>[659.0, 508.0, 874.0, nan]</t>
  </si>
  <si>
    <t>[753.0, 830.0, 817.0, nan]</t>
  </si>
  <si>
    <t>[-515.0, 1152.0, 3169.0, 1304.0]</t>
  </si>
  <si>
    <t>[-602.0, 1330.0, 5223.0, nan]</t>
  </si>
  <si>
    <t>[141.0, 305.0, 1375.0, nan]</t>
  </si>
  <si>
    <t>[97.0, -31.0, 351.0, nan]</t>
  </si>
  <si>
    <t>[2229.0, 2628.0, 4188.0, 5072.0]</t>
  </si>
  <si>
    <t>[37.0, 546.0, 792.0, nan]</t>
  </si>
  <si>
    <t>[-1246.0, 1003.0, 5580.0, nan]</t>
  </si>
  <si>
    <t>[-41.0, 3927.0, 3595.0, nan]</t>
  </si>
  <si>
    <t>[-907.0, 3410.0, 1636.0, nan]</t>
  </si>
  <si>
    <t>[2073.0, 2347.0, 4371.0, 6186.0]</t>
  </si>
  <si>
    <t>[379.0, 1256.0, 1824.0, nan]</t>
  </si>
  <si>
    <t>[50.0, -206.0, 533.0, nan]</t>
  </si>
  <si>
    <t>[1020.0, 1921.0, 2233.0, nan]</t>
  </si>
  <si>
    <t>[187.0, 445.0, 664.0, nan]</t>
  </si>
  <si>
    <t>[-3245.0, -1962.0, 4040.0, nan]</t>
  </si>
  <si>
    <t>[780.0, 1793.0, 1055.0, nan]</t>
  </si>
  <si>
    <t>[718.0, 686.0, 1244.0, 1207.0]</t>
  </si>
  <si>
    <t>[236.0, 272.0, 396.0, nan]</t>
  </si>
  <si>
    <t>[2266.0, 2373.0, 1118.0, nan]</t>
  </si>
  <si>
    <t>[1412.0, 2498.0, 2501.0, nan]</t>
  </si>
  <si>
    <t>[1207.0, 2441.0, 2460.0, 2142.0]</t>
  </si>
  <si>
    <t>[383.0, 785.0, 43.0, nan]</t>
  </si>
  <si>
    <t>[31.0, 20.0, 1452.0, nan]</t>
  </si>
  <si>
    <t>[21510.0, 31610.0, 178008.0, 87734.0]</t>
  </si>
  <si>
    <t>[10553.0, 3691.0, 6840.0, nan]</t>
  </si>
  <si>
    <t>[811.0, 1021.0, 1457.0, 1005.0]</t>
  </si>
  <si>
    <t>[108.0, 152.0, -140.0, nan]</t>
  </si>
  <si>
    <t>[116.0, 420.0, 1238.0, nan]</t>
  </si>
  <si>
    <t>[789.0, 773.0, 1058.0, 1094.0]</t>
  </si>
  <si>
    <t>[2841.0, 3587.0, 5889.0, 6578.0]</t>
  </si>
  <si>
    <t>[6526.0, 7705.0, 22692.0, 14921.0]</t>
  </si>
  <si>
    <t>[1728.0, 2301.0, 2813.0, nan]</t>
  </si>
  <si>
    <t>[2005.0, 1706.0, 4338.0, nan]</t>
  </si>
  <si>
    <t>[12632.0, 65430.0, 46009.0, nan]</t>
  </si>
  <si>
    <t>[364.0, -601.0, 485.0, nan]</t>
  </si>
  <si>
    <t>[3220.0, 26439.0, 9615.0, 10041.0]</t>
  </si>
  <si>
    <t>[2803.0, 1973.0, 5102.0, nan]</t>
  </si>
  <si>
    <t>[-718.0, 682.0, 5769.0, 7182.0]</t>
  </si>
  <si>
    <t>[6040.0, 6127.0, 6828.0, 5883.0]</t>
  </si>
  <si>
    <t>[343.0, 33.0, 838.0, 642.0]</t>
  </si>
  <si>
    <t>[2055.0, 4529.0, 5786.0, nan]</t>
  </si>
  <si>
    <t>[14733.0, 16637.0, 11047.0, nan]</t>
  </si>
  <si>
    <t>[505.0, 465.0, 932.0, nan]</t>
  </si>
  <si>
    <t>[1998.0, 2273.0, 2132.0, nan]</t>
  </si>
  <si>
    <t>[8870.0, 7690.0, 16192.0, 20094.0]</t>
  </si>
  <si>
    <t>[3753.0, 3332.0, 6727.0, 9150.0]</t>
  </si>
  <si>
    <t>[38.0, 6597.0, 10867.0, 9325.0]</t>
  </si>
  <si>
    <t>[952.0, 1386.0, 2225.0, nan]</t>
  </si>
  <si>
    <t>[6860.0, 6057.0, 10160.0, nan]</t>
  </si>
  <si>
    <t>[562.0, 943.0, -287.0, nan]</t>
  </si>
  <si>
    <t>[620.0, 4045.0, 2268.0, nan]</t>
  </si>
  <si>
    <t>[13849.0, 10529.0, 13429.0, nan]</t>
  </si>
  <si>
    <t>[3907.0, 8672.0, 6468.0, nan]</t>
  </si>
  <si>
    <t>[1448.0, 1144.0, 3011.0, nan]</t>
  </si>
  <si>
    <t>[347.0, 310.0, 178.0, nan]</t>
  </si>
  <si>
    <t>[-203.0, -632.0, 381.0, nan]</t>
  </si>
  <si>
    <t>[899.0, 3516.0, 1804.0, nan]</t>
  </si>
  <si>
    <t>[2742.0, 4581.0, 4641.0, 4473.0]</t>
  </si>
  <si>
    <t>[5870.0, 7892.0, 5186.0, nan]</t>
  </si>
  <si>
    <t>[1223.0, 1977.0, 5744.0, 7058.0]</t>
  </si>
  <si>
    <t>[502.0, 683.0, 1166.0, 1126.0]</t>
  </si>
  <si>
    <t>[-680.0, 389.0, 1126.0, 900.0]</t>
  </si>
  <si>
    <t>[224.0, 424.0, 771.0, nan]</t>
  </si>
  <si>
    <t>[3538.0, 6097.0, 100400.0, 8162.0]</t>
  </si>
  <si>
    <t>[737.0, 7678.0, 9032.0, 12747.0]</t>
  </si>
  <si>
    <t>[1009.0, 566.0, 2418.0, 2387.0]</t>
  </si>
  <si>
    <t>[8130.0, 33268.0, 10928.0, nan]</t>
  </si>
  <si>
    <t>[8606.0, 13074.0, 9946.0, 9215.0]</t>
  </si>
  <si>
    <t>[7569.0, 3319.0, 5389.0, nan]</t>
  </si>
  <si>
    <t>[1736.0, 1845.0, 2572.0, 2950.0]</t>
  </si>
  <si>
    <t>[-1853.0, 384.0, 10913.0, 20953.0]</t>
  </si>
  <si>
    <t>[1729.0, 2187.0, 8961.0, 1588.0]</t>
  </si>
  <si>
    <t>[7156.0, 5571.0, 87636.0, nan]</t>
  </si>
  <si>
    <t>[6584.0, 4596.0, 8088.0, nan]</t>
  </si>
  <si>
    <t>[6265.0, 7750.0, 7532.0, nan]</t>
  </si>
  <si>
    <t>[17228.0, 13082.0, 41558.0, 12977.0]</t>
  </si>
  <si>
    <t>[5311.0, 7801.0, 12281.0, 11970.0]</t>
  </si>
  <si>
    <t>[1144.0, 2271.0, 2763.0, nan]</t>
  </si>
  <si>
    <t>[1584.0, 1921.0, 3067.0, 1494.0]</t>
  </si>
  <si>
    <t>[-33308.0, -10321.0, 27156.0, 27456.0]</t>
  </si>
  <si>
    <t>[1092.0, 1707.0, 7106.0, 3146.0]</t>
  </si>
  <si>
    <t>[48.0, -51.0, 232.0, nan]</t>
  </si>
  <si>
    <t>[1946.0, 2360.0, 1451.0, nan]</t>
  </si>
  <si>
    <t>[2976.0, 3473.0, 4002.0, 3071.0]</t>
  </si>
  <si>
    <t>[4130.0, 6143.0, 8383.0, nan]</t>
  </si>
  <si>
    <t>[710.0, 1103.0, 2459.0, 1877.0]</t>
  </si>
  <si>
    <t>[393.0, 1400.0, 2206.0, nan]</t>
  </si>
  <si>
    <t>[4506.0, 3670.0, 11744.0, 15890.0]</t>
  </si>
  <si>
    <t>[8796.0, 17405.0, 58694.0, 35888.0]</t>
  </si>
  <si>
    <t>[323.0, 719.0, 4011.0, 2310.0]</t>
  </si>
  <si>
    <t>[4833.0, 4058.0, 19980.0, nan]</t>
  </si>
  <si>
    <t>[8013.0, 10532.0, 17457.0, nan]</t>
  </si>
  <si>
    <t>[540.0, 12896.0, 8521.0, 5016.0]</t>
  </si>
  <si>
    <t>[2365.0, 2974.0, 5510.0, 3592.0]</t>
  </si>
  <si>
    <t>[8844.0, 13091.0, 10438.0, nan]</t>
  </si>
  <si>
    <t>[17212.0, 28748.0, 27005.0, 21603.0]</t>
  </si>
  <si>
    <t>[145.0, 522.0, 1388.0, 1959.0]</t>
  </si>
  <si>
    <t>[-118.0, -139.0, 288.0, nan]</t>
  </si>
  <si>
    <t>[4388.0, 5686.0, 10810.0, 6846.0]</t>
  </si>
  <si>
    <t>[716.0, 1049.0, 867.0, 996.0]</t>
  </si>
  <si>
    <t>[-1940.0, 10892.0, 10129.0, nan]</t>
  </si>
  <si>
    <t>[2234.0, 3001.0, 4073.0, nan]</t>
  </si>
  <si>
    <t>[2890.0, 3321.0, 6780.0, nan]</t>
  </si>
  <si>
    <t>[1424.0, 1219.0, 985.0, nan]</t>
  </si>
  <si>
    <t>[14287.0, 27556.0, 32682.0, 21136.0]</t>
  </si>
  <si>
    <t>[1152.0, 8432.0, 1869.0, nan]</t>
  </si>
  <si>
    <t>[959.0, -901.0, 955.0, nan]</t>
  </si>
  <si>
    <t>[26.0, 627.0, 2200.0, nan]</t>
  </si>
  <si>
    <t>[284.0, 173.0, 1028.0, 1187.0]</t>
  </si>
  <si>
    <t>[446.0, 1056.0, 17070.0, nan]</t>
  </si>
  <si>
    <t>[2108.0, 1205.0, 16510.0, 7983.0]</t>
  </si>
  <si>
    <t>[13724.0, 14021.0, 28650.0, 17142.0]</t>
  </si>
  <si>
    <t>[-266.0, -120.0, 497.0, nan]</t>
  </si>
  <si>
    <t>[552.0, 484.0, 2883.0, nan]</t>
  </si>
  <si>
    <t>[2178.0, 5776.0, 1108.0, nan]</t>
  </si>
  <si>
    <t>[428.0, 336.0, 552.0, 400.0]</t>
  </si>
  <si>
    <t>[-665.0, 95.0, 691.0, nan]</t>
  </si>
  <si>
    <t>[51.0, 2241.0, 2022.0, 1271.0]</t>
  </si>
  <si>
    <t>[2038.0, 849.0, 1325.0, 1551.0]</t>
  </si>
  <si>
    <t>[504.0, 1359.0, 1007.0, nan]</t>
  </si>
  <si>
    <t>[215.0, 316.0, 855.0, nan]</t>
  </si>
  <si>
    <t>[6210.0, 9152.0, 4186.0, 3456.0]</t>
  </si>
  <si>
    <t>[1672.0, 3465.0, 5994.0, nan]</t>
  </si>
  <si>
    <t>[124.0, 177.0, 252.0, nan]</t>
  </si>
  <si>
    <t>[919.0, 2009.0, 9203.0, 5732.0]</t>
  </si>
  <si>
    <t>[1032.0, 633.0, 2675.0, 861.0]</t>
  </si>
  <si>
    <t>[1434.0, 1554.0, 4595.0, nan]</t>
  </si>
  <si>
    <t>[1236.0, 3727.0, 2857.0, 4082.0]</t>
  </si>
  <si>
    <t>[1411.0, 3238.0, 5436.0, 6000.0]</t>
  </si>
  <si>
    <t>[568.0, 954.0, 963.0, nan]</t>
  </si>
  <si>
    <t>[1858.0, 2133.0, 2011.0, nan]</t>
  </si>
  <si>
    <t>[397.0, -874.0, 1612.0, nan]</t>
  </si>
  <si>
    <t>[139.0, 139.0, 364.0, nan]</t>
  </si>
  <si>
    <t>[615.0, 177.0, 3619.0, 4499.0]</t>
  </si>
  <si>
    <t>[636.0, 735.0, 1036.0, 2277.0]</t>
  </si>
  <si>
    <t>[935.0, 878.0, 2289.0, nan]</t>
  </si>
  <si>
    <t>[156.0, 3071.0, 923.0, nan]</t>
  </si>
  <si>
    <t>[-123.0, 190.0, 110.0, nan]</t>
  </si>
  <si>
    <t>[-377.0, -46.0, 1113.0, nan]</t>
  </si>
  <si>
    <t>[-1615.0, -951.0, 16817.0, nan]</t>
  </si>
  <si>
    <t>[7600.0, 8656.0, 20535.0, nan]</t>
  </si>
  <si>
    <t>[131.0, 95.0, 377.0, nan]</t>
  </si>
  <si>
    <t>[1087.0, 1571.0, 2811.0, nan]</t>
  </si>
  <si>
    <t>[7539.0, 8535.0, 7118.0, 7592.0]</t>
  </si>
  <si>
    <t>[2458.0, 3732.0, 2310.0, nan]</t>
  </si>
  <si>
    <t>[-1699.0, 5607.0, -5111.0, nan]</t>
  </si>
  <si>
    <t>[367.0, 505.0, 1349.0, 1270.0]</t>
  </si>
  <si>
    <t>[493.0, 1519.0, 3743.0, 3093.0]</t>
  </si>
  <si>
    <t>[1207.0, 1499.0, 1340.0, nan]</t>
  </si>
  <si>
    <t>[-220.0, 4.0, 524.0, nan]</t>
  </si>
  <si>
    <t>[497.0, 1938.0, 1889.0, nan]</t>
  </si>
  <si>
    <t>[610.0, 977.0, 535.0, 2167.0]</t>
  </si>
  <si>
    <t>[2438.0, 2209.0, 2158.0, nan]</t>
  </si>
  <si>
    <t>[568.0, 804.0, 719.0, nan]</t>
  </si>
  <si>
    <t>[2755.0, 6532.0, 13190.0, 12735.0]</t>
  </si>
  <si>
    <t>[1804.0, 2366.0, 2216.0, 2639.0]</t>
  </si>
  <si>
    <t>[468.0, 878.0, 1513.0, nan]</t>
  </si>
  <si>
    <t>[-591.0, 1223.0, 3378.0, nan]</t>
  </si>
  <si>
    <t>[323.0, 317.0, 1157.0, nan]</t>
  </si>
  <si>
    <t>[723.0, 837.0, 1729.0, nan]</t>
  </si>
  <si>
    <t>[484.0, 1028.0, 871.0, nan]</t>
  </si>
  <si>
    <t>[-544.0, 1533.0, 2890.0, nan]</t>
  </si>
  <si>
    <t>[483.0, 1765.0, 1108.0, nan]</t>
  </si>
  <si>
    <t>[312.0, 870.0, 575.0, nan]</t>
  </si>
  <si>
    <t>[-330.0, 8324.0, 103.0, 1199.0]</t>
  </si>
  <si>
    <t>[-44.0, 612.0, 4418.0, nan]</t>
  </si>
  <si>
    <t>[618.0, 1633.0, 3741.0, 3475.0]</t>
  </si>
  <si>
    <t>[560.0, 701.0, 2896.0, nan]</t>
  </si>
  <si>
    <t>[2351.0, 3730.0, 7119.0, 13664.0]</t>
  </si>
  <si>
    <t>[1918.0, 1696.0, 4051.0, 4577.0]</t>
  </si>
  <si>
    <t>[77.0, 644.0, 100.0, nan]</t>
  </si>
  <si>
    <t>[7198.0, 13710.0, 11446.0, 13949.0]</t>
  </si>
  <si>
    <t>[1013.0, 942.0, 901.0, nan]</t>
  </si>
  <si>
    <t>[1956.0, 2172.0, 2481.0, 2688.0]</t>
  </si>
  <si>
    <t>[-589.0, -3870.0, 3363.0, 3104.0]</t>
  </si>
  <si>
    <t>[686.0, 698.0, 863.0, 792.0]</t>
  </si>
  <si>
    <t>[1086.0, 1539.0, 212.0, nan]</t>
  </si>
  <si>
    <t>[1329.0, 1532.0, 1600.0, 1923.0]</t>
  </si>
  <si>
    <t>[1104.0, 2747.0, 2577.0, 1953.0]</t>
  </si>
  <si>
    <t>[197.0, 1380.0, 7062.0, 2425.0]</t>
  </si>
  <si>
    <t>[871.0, 1026.0, 1158.0, nan]</t>
  </si>
  <si>
    <t>[2186.0, 3232.0, 5825.0, nan]</t>
  </si>
  <si>
    <t>[3201.0, 4657.0, 2577.0, 3435.0]</t>
  </si>
  <si>
    <t>[1466.0, 1227.0, 2221.0, 2174.0]</t>
  </si>
  <si>
    <t>[78.0, 89.0, 91.0, nan]</t>
  </si>
  <si>
    <t>[-1244.0, 259.0, 2028.0, nan]</t>
  </si>
  <si>
    <t>[1079.0, -3459.0, 7456.0, 8975.0]</t>
  </si>
  <si>
    <t>[333.0, 718.0, 865.0, 911.0]</t>
  </si>
  <si>
    <t>[1844.0, 2724.0, 2365.0, 2384.0]</t>
  </si>
  <si>
    <t>[13395.0, 16165.0, 20877.0, 32140.0]</t>
  </si>
  <si>
    <t>[4731.0, 2152.0, 2206.0, 3044.0]</t>
  </si>
  <si>
    <t>[2716.0, 741.0, 1331.0, nan]</t>
  </si>
  <si>
    <t>[137.0, -4572.0, 733.0, nan]</t>
  </si>
  <si>
    <t>[-939.0, 668.0, 1908.0, nan]</t>
  </si>
  <si>
    <t>[-100.0, -18.0, 407.0, nan]</t>
  </si>
  <si>
    <t>[1043.0, 787.0, 977.0, 1016.0]</t>
  </si>
  <si>
    <t>[561.0, -170.0, 3016.0, 2082.0]</t>
  </si>
  <si>
    <t>[85.0, 191.0, 740.0, nan]</t>
  </si>
  <si>
    <t>[2370.0, 4459.0, 18225.0, 23198.0]</t>
  </si>
  <si>
    <t>[135.0, 213.0, 254.0, nan]</t>
  </si>
  <si>
    <t>[950.0, 699.0, 984.0, nan]</t>
  </si>
  <si>
    <t>[117.0, 58.0, 110.0, nan]</t>
  </si>
  <si>
    <t>[6167.0, 6264.0, 5161.0, nan]</t>
  </si>
  <si>
    <t>[747.0, 659.0, 1002.0, nan]</t>
  </si>
  <si>
    <t>[662.0, 383.0, 589.0, 712.0]</t>
  </si>
  <si>
    <t>[-959.0, 436.0, 380.0, nan]</t>
  </si>
  <si>
    <t>[2643.0, 3762.0, 5471.0, nan]</t>
  </si>
  <si>
    <t>[-200.0, 240.0, 548.0, nan]</t>
  </si>
  <si>
    <t>[-55.0, -124.0, 701.0, 147.0]</t>
  </si>
  <si>
    <t>[1030.0, 1422.0, 1332.0, nan]</t>
  </si>
  <si>
    <t>[714.0, 686.0, 607.0, nan]</t>
  </si>
  <si>
    <t>[10.0, -187.0, 104.0, nan]</t>
  </si>
  <si>
    <t>[406.0, 348.0, 1097.0, nan]</t>
  </si>
  <si>
    <t>[1551.0, 2180.0, 2761.0, nan]</t>
  </si>
  <si>
    <t>[794.0, 442.0, 195.0, nan]</t>
  </si>
  <si>
    <t>[455.0, 2319.0, -727.0, 830.0]</t>
  </si>
  <si>
    <t>[903.0, 924.0, 1499.0, nan]</t>
  </si>
  <si>
    <t>[926.0, 1071.0, 11334.0, 8218.0]</t>
  </si>
  <si>
    <t>[609.0, 1003.0, 1968.0, nan]</t>
  </si>
  <si>
    <t>[1637.0, 1288.0, 1900.0, 2449.0]</t>
  </si>
  <si>
    <t>[3661.0, 3643.0, 2511.0, nan]</t>
  </si>
  <si>
    <t>[487.0, 5322.0, 316.0, nan]</t>
  </si>
  <si>
    <t>[4511.0, 5486.0, 6310.0, 6956.0]</t>
  </si>
  <si>
    <t>[-1675.0, -3134.0, 745.0, nan]</t>
  </si>
  <si>
    <t>[137.0, 416.0, 327.0, nan]</t>
  </si>
  <si>
    <t>[1411.0, 1107.0, 1195.0, 1295.0]</t>
  </si>
  <si>
    <t>[119.0, 177.0, 197.0, nan]</t>
  </si>
  <si>
    <t>[800.0, 625.0, 1413.0, nan]</t>
  </si>
  <si>
    <t>[1634.0, 2793.0, 2932.0, 3554.0]</t>
  </si>
  <si>
    <t>[513.0, 352.0, 1471.0, nan]</t>
  </si>
  <si>
    <t>[488.0, 2087.0, 3836.0, 3309.0]</t>
  </si>
  <si>
    <t>[1785.0, 1587.0, 2347.0, 2929.0]</t>
  </si>
  <si>
    <t>[114.0, 155.0, 755.0, nan]</t>
  </si>
  <si>
    <t>[297.0, 274.0, 929.0, nan]</t>
  </si>
  <si>
    <t>[726.0, 958.0, 1644.0, 1098.0]</t>
  </si>
  <si>
    <t>[1285.0, 7004.0, 1565.0, 2524.0]</t>
  </si>
  <si>
    <t>[410.0, 244.0, 817.0, nan]</t>
  </si>
  <si>
    <t>[680.0, 1335.0, 530.0, nan]</t>
  </si>
  <si>
    <t>[21.0, 157.0, -333.0, nan]</t>
  </si>
  <si>
    <t>[1052.0, 543.0, -228.0, nan]</t>
  </si>
  <si>
    <t>[1059.0, 576.0, 1834.0, nan]</t>
  </si>
  <si>
    <t>[937.0, 2066.0, 1583.0, nan]</t>
  </si>
  <si>
    <t>[-301.0, -209.0, 9218.0, -648.0]</t>
  </si>
  <si>
    <t>[1498.0, 2879.0, 4009.0, 4806.0]</t>
  </si>
  <si>
    <t>[-9.0, 28.0, 55.0, nan]</t>
  </si>
  <si>
    <t>[1180.0, 1321.0, 2026.0, 2489.0]</t>
  </si>
  <si>
    <t>[-1500.0, -1596.0, 382.0, 1080.0]</t>
  </si>
  <si>
    <t>[-2287.0, -295.0, 289.0, nan]</t>
  </si>
  <si>
    <t>[-108.6, -2052.4, -43.5]</t>
  </si>
  <si>
    <t>[-28.1, -33.4, nan]</t>
  </si>
  <si>
    <t>[83.4, 16.2, nan]</t>
  </si>
  <si>
    <t>[-55.7, 156.2, nan]</t>
  </si>
  <si>
    <t>[623.3, 140.8, nan]</t>
  </si>
  <si>
    <t>[-50.3, 63.1, nan]</t>
  </si>
  <si>
    <t>[18.0, 228.7, nan]</t>
  </si>
  <si>
    <t>[-45.5, 45.6, nan]</t>
  </si>
  <si>
    <t>[94.2, 13.6, nan]</t>
  </si>
  <si>
    <t>[26.0, 46.6, nan]</t>
  </si>
  <si>
    <t>[-41.7, 360.5, nan]</t>
  </si>
  <si>
    <t>[54.6, -62.5, nan]</t>
  </si>
  <si>
    <t>[-280.2, 847.3, nan]</t>
  </si>
  <si>
    <t>[24.6, -744.2, nan]</t>
  </si>
  <si>
    <t>[3.3, -31.4, nan]</t>
  </si>
  <si>
    <t>[157.6, 164.7, 18.3]</t>
  </si>
  <si>
    <t>[-1406.7, -65.6, nan]</t>
  </si>
  <si>
    <t>[-238.7, -76.1, nan]</t>
  </si>
  <si>
    <t>[39.9, 46.9, nan]</t>
  </si>
  <si>
    <t>[1438.2, -98.6, nan]</t>
  </si>
  <si>
    <t>[-3.4, 495.7, nan]</t>
  </si>
  <si>
    <t>[15.4, 38.5, nan]</t>
  </si>
  <si>
    <t>[51.3, -4.7, nan]</t>
  </si>
  <si>
    <t>[-80.3, -183.9, nan]</t>
  </si>
  <si>
    <t>[5109.0, -98.9, nan]</t>
  </si>
  <si>
    <t>[-24.9, 140.0, nan]</t>
  </si>
  <si>
    <t>[-1322.2, 39.0, nan]</t>
  </si>
  <si>
    <t>[-24.8, -11.7, nan]</t>
  </si>
  <si>
    <t>[-64.0, 140.4, nan]</t>
  </si>
  <si>
    <t>[1782.0, 6.8, -33.6]</t>
  </si>
  <si>
    <t>[-38.2, 35.5, nan]</t>
  </si>
  <si>
    <t>[-6008.3, 12.6, -10.6]</t>
  </si>
  <si>
    <t>[426.9, 5.7, nan]</t>
  </si>
  <si>
    <t>[-254.0, 6.4, nan]</t>
  </si>
  <si>
    <t>[32.6, -15.5, nan]</t>
  </si>
  <si>
    <t>[-87.6, 8.2, nan]</t>
  </si>
  <si>
    <t>[66.6, -22.0, nan]</t>
  </si>
  <si>
    <t>[66.6, 213.4, nan]</t>
  </si>
  <si>
    <t>[-189.8, 378.1, nan]</t>
  </si>
  <si>
    <t>[-823.4, -141.8, nan]</t>
  </si>
  <si>
    <t>[149.1, 25.7, nan]</t>
  </si>
  <si>
    <t>[-55.1, 194.6, -6.7]</t>
  </si>
  <si>
    <t>[158.8, 64.6, nan]</t>
  </si>
  <si>
    <t>[8.2, -22.7, nan]</t>
  </si>
  <si>
    <t>[26.1, -2.8, nan]</t>
  </si>
  <si>
    <t>[-338.5, 560.2, nan]</t>
  </si>
  <si>
    <t>[100.2, 2.2, nan]</t>
  </si>
  <si>
    <t>[870.9, -34.2, -16.6]</t>
  </si>
  <si>
    <t>[-15.1, 13.4, 10.8]</t>
  </si>
  <si>
    <t>[33.4, 25.4, nan]</t>
  </si>
  <si>
    <t>[838.3, 126.1, -22.7]</t>
  </si>
  <si>
    <t>[-20.5, -14.1, nan]</t>
  </si>
  <si>
    <t>[120.7, -18.5, nan]</t>
  </si>
  <si>
    <t>[-345.6, 28.3, nan]</t>
  </si>
  <si>
    <t>[649.6, -46.7, nan]</t>
  </si>
  <si>
    <t>[-10.4, 28.8, -10.6]</t>
  </si>
  <si>
    <t>[553.6, 3.5, nan]</t>
  </si>
  <si>
    <t>[-238.7, 22.0, nan]</t>
  </si>
  <si>
    <t>[6.9, 13.5, nan]</t>
  </si>
  <si>
    <t>[197.1, -1.0, nan]</t>
  </si>
  <si>
    <t>[13.3, -12.4, nan]</t>
  </si>
  <si>
    <t>[-140.9, -116.7, nan]</t>
  </si>
  <si>
    <t>[3675.8, 95.9, 19.0]</t>
  </si>
  <si>
    <t>[70.4, -49.7, nan]</t>
  </si>
  <si>
    <t>[136.5, 78.3, nan]</t>
  </si>
  <si>
    <t>[170.7, 242.5, nan]</t>
  </si>
  <si>
    <t>[-74.9, 138.8, 15.5]</t>
  </si>
  <si>
    <t>[-38.3, 30.4, nan]</t>
  </si>
  <si>
    <t>[-27.7, 38.9, nan]</t>
  </si>
  <si>
    <t>[349.4, -10.6, 22.9]</t>
  </si>
  <si>
    <t>[40.9, 52.9, nan]</t>
  </si>
  <si>
    <t>[3.3, -56.3, nan]</t>
  </si>
  <si>
    <t>[11.6, 29.5, nan]</t>
  </si>
  <si>
    <t>[-47.6, 69.4, 15.1]</t>
  </si>
  <si>
    <t>[68.3, 1.0, 16.4]</t>
  </si>
  <si>
    <t>[89.9, 4.6, nan]</t>
  </si>
  <si>
    <t>[-114.4, -25833.3, nan]</t>
  </si>
  <si>
    <t>[-36.4, 712.7, nan]</t>
  </si>
  <si>
    <t>[55.8, 76.6, nan]</t>
  </si>
  <si>
    <t>[-15.0, 62.7, nan]</t>
  </si>
  <si>
    <t>[50.5, 43.8, nan]</t>
  </si>
  <si>
    <t>[18.7, 211.4, nan]</t>
  </si>
  <si>
    <t>[398.8, -77.1, nan]</t>
  </si>
  <si>
    <t>[4.5, 91.5, nan]</t>
  </si>
  <si>
    <t>[-28.1, 61.1, -62.3]</t>
  </si>
  <si>
    <t>[-8.9, 10.0, nan]</t>
  </si>
  <si>
    <t>[-160.3, 171.8, nan]</t>
  </si>
  <si>
    <t>[218.2, 82.3, nan]</t>
  </si>
  <si>
    <t>[170.2, 226.8, nan]</t>
  </si>
  <si>
    <t>[0.1, -21.1, nan]</t>
  </si>
  <si>
    <t>[-64.1, 230.2, -37.7]</t>
  </si>
  <si>
    <t>[-80.4, 1309.8, nan]</t>
  </si>
  <si>
    <t>[-5.1, -9.3, nan]</t>
  </si>
  <si>
    <t>[213.7, -28.3, nan]</t>
  </si>
  <si>
    <t>[-28.3, -409.1, nan]</t>
  </si>
  <si>
    <t>[86.6, 344.4, nan]</t>
  </si>
  <si>
    <t>[-14.3, -1.0, nan]</t>
  </si>
  <si>
    <t>[10281.9, -92.0, nan]</t>
  </si>
  <si>
    <t>[-178.7, -1828.6, nan]</t>
  </si>
  <si>
    <t>[62.9, -4.7, nan]</t>
  </si>
  <si>
    <t>[15.3, 73.7, nan]</t>
  </si>
  <si>
    <t>[-86.8, 44.3, nan]</t>
  </si>
  <si>
    <t>[-6.4, 64.7, nan]</t>
  </si>
  <si>
    <t>[60.3, -10.0, nan]</t>
  </si>
  <si>
    <t>[26.6, 33.4, nan]</t>
  </si>
  <si>
    <t>[52.3, 136.5, nan]</t>
  </si>
  <si>
    <t>[114.7, -26.5, nan]</t>
  </si>
  <si>
    <t>[-70.3, 312.3, 3.5]</t>
  </si>
  <si>
    <t>[456.1, 185.8, nan]</t>
  </si>
  <si>
    <t>[-58.7, -227.6, nan]</t>
  </si>
  <si>
    <t>[-38.3, -155.7, -104.6]</t>
  </si>
  <si>
    <t>[-1.2, -31.4, nan]</t>
  </si>
  <si>
    <t>[379.2, 255.7, nan]</t>
  </si>
  <si>
    <t>[416.4, 26.7, nan]</t>
  </si>
  <si>
    <t>[271.3, 89.1, nan]</t>
  </si>
  <si>
    <t>[-11.2, -242.7, nan]</t>
  </si>
  <si>
    <t>[168.5, 2062.5, nan]</t>
  </si>
  <si>
    <t>[18.9, 6.2, 11.2]</t>
  </si>
  <si>
    <t>[-441.5, 9.4, nan]</t>
  </si>
  <si>
    <t>[114.2, -64.1, nan]</t>
  </si>
  <si>
    <t>[-1123.1, -133.6, nan]</t>
  </si>
  <si>
    <t>[-22.9, 72.0, nan]</t>
  </si>
  <si>
    <t>[10.2, -1.6, nan]</t>
  </si>
  <si>
    <t>[-323.7, 175.1, -58.9]</t>
  </si>
  <si>
    <t>[-320.9, 292.7, nan]</t>
  </si>
  <si>
    <t>[116.3, 350.8, nan]</t>
  </si>
  <si>
    <t>[-132.0, -1232.3, nan]</t>
  </si>
  <si>
    <t>[17.9, 59.4, 21.1]</t>
  </si>
  <si>
    <t>[1375.7, 45.1, nan]</t>
  </si>
  <si>
    <t>[-180.5, 456.3, nan]</t>
  </si>
  <si>
    <t>[-9678.0, -8.5, nan]</t>
  </si>
  <si>
    <t>[-476.0, -52.0, nan]</t>
  </si>
  <si>
    <t>[13.2, 86.2, 41.5]</t>
  </si>
  <si>
    <t>[231.4, 45.2, nan]</t>
  </si>
  <si>
    <t>[-512.0, -358.7, nan]</t>
  </si>
  <si>
    <t>[88.3, 16.2, nan]</t>
  </si>
  <si>
    <t>[138.0, 49.2, nan]</t>
  </si>
  <si>
    <t>[-39.5, -305.9, nan]</t>
  </si>
  <si>
    <t>[129.9, -41.2, nan]</t>
  </si>
  <si>
    <t>[-4.5, 81.3, -3.0]</t>
  </si>
  <si>
    <t>[15.3, 45.6, nan]</t>
  </si>
  <si>
    <t>[4.7, -52.9, nan]</t>
  </si>
  <si>
    <t>[76.9, 0.1, nan]</t>
  </si>
  <si>
    <t>[102.2, 0.8, -12.9]</t>
  </si>
  <si>
    <t>[105.0, -94.5, nan]</t>
  </si>
  <si>
    <t>[-35.5, 7160.0, nan]</t>
  </si>
  <si>
    <t>[47.0, 463.1, -50.7]</t>
  </si>
  <si>
    <t>[-65.0, 85.3, nan]</t>
  </si>
  <si>
    <t>[25.9, 42.7, -31.0]</t>
  </si>
  <si>
    <t>[40.7, -192.1, nan]</t>
  </si>
  <si>
    <t>[262.1, 194.8, nan]</t>
  </si>
  <si>
    <t>[-2.0, 36.9, 3.4]</t>
  </si>
  <si>
    <t>[26.3, 64.2, 11.7]</t>
  </si>
  <si>
    <t>[18.1, 194.5, -34.2]</t>
  </si>
  <si>
    <t>[33.2, 22.3, nan]</t>
  </si>
  <si>
    <t>[-14.9, 154.3, nan]</t>
  </si>
  <si>
    <t>[418.0, -29.7, nan]</t>
  </si>
  <si>
    <t>[-265.1, -180.7, nan]</t>
  </si>
  <si>
    <t>[721.1, -63.6, 4.4]</t>
  </si>
  <si>
    <t>[-29.6, 158.6, nan]</t>
  </si>
  <si>
    <t>[-195.0, 745.9, 24.5]</t>
  </si>
  <si>
    <t>[1.4, 11.4, -13.8]</t>
  </si>
  <si>
    <t>[-90.4, 2439.4, -23.4]</t>
  </si>
  <si>
    <t>[120.4, 27.8, nan]</t>
  </si>
  <si>
    <t>[12.9, -33.6, nan]</t>
  </si>
  <si>
    <t>[-7.9, 100.4, nan]</t>
  </si>
  <si>
    <t>[13.8, -6.2, nan]</t>
  </si>
  <si>
    <t>[-13.3, 110.6, 24.1]</t>
  </si>
  <si>
    <t>[-11.2, 101.9, 36.0]</t>
  </si>
  <si>
    <t>[17260.5, 64.7, -14.2]</t>
  </si>
  <si>
    <t>[45.6, 60.5, nan]</t>
  </si>
  <si>
    <t>[-11.7, 67.7, nan]</t>
  </si>
  <si>
    <t>[67.8, -130.4, nan]</t>
  </si>
  <si>
    <t>[552.4, -43.9, nan]</t>
  </si>
  <si>
    <t>[-24.0, 27.5, nan]</t>
  </si>
  <si>
    <t>[122.0, -25.4, nan]</t>
  </si>
  <si>
    <t>[-21.0, 163.2, nan]</t>
  </si>
  <si>
    <t>[-10.7, -42.6, nan]</t>
  </si>
  <si>
    <t>[211.3, -160.3, nan]</t>
  </si>
  <si>
    <t>[291.1, -48.7, nan]</t>
  </si>
  <si>
    <t>[67.1, 1.3, -3.6]</t>
  </si>
  <si>
    <t>[34.4, -34.3, nan]</t>
  </si>
  <si>
    <t>[61.7, 190.5, 22.9]</t>
  </si>
  <si>
    <t>[36.1, 70.7, -3.4]</t>
  </si>
  <si>
    <t>[-157.2, 189.5, -20.1]</t>
  </si>
  <si>
    <t>[89.3, 81.8, nan]</t>
  </si>
  <si>
    <t>[72.3, 1546.7, -91.9]</t>
  </si>
  <si>
    <t>[941.8, 17.6, 41.1]</t>
  </si>
  <si>
    <t>[-43.9, 327.2, -1.3]</t>
  </si>
  <si>
    <t>[309.2, -67.2, nan]</t>
  </si>
  <si>
    <t>[51.9, -23.9, -7.3]</t>
  </si>
  <si>
    <t>[-56.2, 62.4, nan]</t>
  </si>
  <si>
    <t>[6.3, 39.4, 14.7]</t>
  </si>
  <si>
    <t>[-120.7, 2741.9, 92.0]</t>
  </si>
  <si>
    <t>[26.5, 309.7, -82.3]</t>
  </si>
  <si>
    <t>[-22.1, 1473.1, nan]</t>
  </si>
  <si>
    <t>[-30.2, 76.0, nan]</t>
  </si>
  <si>
    <t>[23.7, -2.8, nan]</t>
  </si>
  <si>
    <t>[-24.1, 217.7, -68.8]</t>
  </si>
  <si>
    <t>[46.9, 57.4, -2.5]</t>
  </si>
  <si>
    <t>[98.5, 21.7, nan]</t>
  </si>
  <si>
    <t>[21.3, 59.7, -51.3]</t>
  </si>
  <si>
    <t>[-69.0, -363.1, 1.1]</t>
  </si>
  <si>
    <t>[56.3, 316.3, -55.7]</t>
  </si>
  <si>
    <t>[-206.2, -554.9, nan]</t>
  </si>
  <si>
    <t>[21.3, -38.5, nan]</t>
  </si>
  <si>
    <t>[16.7, 15.2, -23.3]</t>
  </si>
  <si>
    <t>[48.7, 36.5, nan]</t>
  </si>
  <si>
    <t>[55.4, 122.9, -23.7]</t>
  </si>
  <si>
    <t>[256.2, 57.6, nan]</t>
  </si>
  <si>
    <t>[-18.6, 220.0, 35.3]</t>
  </si>
  <si>
    <t>[97.9, 237.2, -38.9]</t>
  </si>
  <si>
    <t>[122.6, 457.9, -42.4]</t>
  </si>
  <si>
    <t>[-16.0, 392.4, nan]</t>
  </si>
  <si>
    <t>[31.4, 65.8, nan]</t>
  </si>
  <si>
    <t>[2288.1, -33.9, -41.1]</t>
  </si>
  <si>
    <t>[25.8, 85.3, -34.8]</t>
  </si>
  <si>
    <t>[48.0, -20.3, nan]</t>
  </si>
  <si>
    <t>[67.0, -6.1, -20.0]</t>
  </si>
  <si>
    <t>[260.0, 165.9, 41.1]</t>
  </si>
  <si>
    <t>[17.8, -307.2, nan]</t>
  </si>
  <si>
    <t>[29.6, 90.1, -36.7]</t>
  </si>
  <si>
    <t>[46.5, -17.3, 14.9]</t>
  </si>
  <si>
    <t>[-661.4, -7.0, nan]</t>
  </si>
  <si>
    <t>[34.3, 35.7, nan]</t>
  </si>
  <si>
    <t>[14.9, 104.2, nan]</t>
  </si>
  <si>
    <t>[-14.4, -19.2, nan]</t>
  </si>
  <si>
    <t>[92.9, 18.6, -35.3]</t>
  </si>
  <si>
    <t>[631.9, -77.8, nan]</t>
  </si>
  <si>
    <t>[-194.0, -206.0, nan]</t>
  </si>
  <si>
    <t>[2311.5, 250.9, nan]</t>
  </si>
  <si>
    <t>[-39.1, 494.2, 15.5]</t>
  </si>
  <si>
    <t>[136.8, 1516.5, nan]</t>
  </si>
  <si>
    <t>[-42.8, 1270.1, -51.6]</t>
  </si>
  <si>
    <t>[2.2, 104.3, -40.2]</t>
  </si>
  <si>
    <t>[-54.9, -514.2, nan]</t>
  </si>
  <si>
    <t>[-12.3, 495.7, nan]</t>
  </si>
  <si>
    <t>[165.2, -80.8, nan]</t>
  </si>
  <si>
    <t>[-21.5, 64.3, -27.5]</t>
  </si>
  <si>
    <t>[-114.3, 627.4, nan]</t>
  </si>
  <si>
    <t>[4294.1, -9.8, -37.1]</t>
  </si>
  <si>
    <t>[-58.3, 56.1, 17.1]</t>
  </si>
  <si>
    <t>[169.6, -25.9, nan]</t>
  </si>
  <si>
    <t>[47.0, 170.6, nan]</t>
  </si>
  <si>
    <t>[47.4, -54.3, -17.4]</t>
  </si>
  <si>
    <t>[107.2, 73.0, nan]</t>
  </si>
  <si>
    <t>[42.7, 42.4, nan]</t>
  </si>
  <si>
    <t>[118.6, 358.1, -37.7]</t>
  </si>
  <si>
    <t>[-38.7, 322.6, -67.8]</t>
  </si>
  <si>
    <t>[8.4, 195.7, nan]</t>
  </si>
  <si>
    <t>[201.5, -23.3, 42.9]</t>
  </si>
  <si>
    <t>[129.5, 67.9, 10.4]</t>
  </si>
  <si>
    <t>[68.0, 0.9, nan]</t>
  </si>
  <si>
    <t>[14.8, -5.7, nan]</t>
  </si>
  <si>
    <t>[-320.2, -284.4, nan]</t>
  </si>
  <si>
    <t>[0.0, 161.9, nan]</t>
  </si>
  <si>
    <t>[-71.2, 1944.6, 24.3]</t>
  </si>
  <si>
    <t>[15.6, 41.0, 119.8]</t>
  </si>
  <si>
    <t>[-6.1, 160.7, nan]</t>
  </si>
  <si>
    <t>[1868.6, -69.9, nan]</t>
  </si>
  <si>
    <t>[-254.5, -42.1, nan]</t>
  </si>
  <si>
    <t>[-87.8, -2519.6, nan]</t>
  </si>
  <si>
    <t>[-41.1, -1868.3, nan]</t>
  </si>
  <si>
    <t>[13.9, 137.2, nan]</t>
  </si>
  <si>
    <t>[-27.5, 296.8, nan]</t>
  </si>
  <si>
    <t>[44.5, 78.9, nan]</t>
  </si>
  <si>
    <t>[13.2, -16.6, 6.7]</t>
  </si>
  <si>
    <t>[51.8, -38.1, nan]</t>
  </si>
  <si>
    <t>[-430.0, -191.2, nan]</t>
  </si>
  <si>
    <t>[37.6, 167.1, -5.9]</t>
  </si>
  <si>
    <t>[208.1, 146.4, -17.4]</t>
  </si>
  <si>
    <t>[24.2, -10.6, nan]</t>
  </si>
  <si>
    <t>[-101.8, 13000.0, nan]</t>
  </si>
  <si>
    <t>[289.9, -2.5, nan]</t>
  </si>
  <si>
    <t>[60.2, -45.2, 305.0]</t>
  </si>
  <si>
    <t>[-9.4, -2.3, nan]</t>
  </si>
  <si>
    <t>[41.5, -10.6, nan]</t>
  </si>
  <si>
    <t>[137.1, 101.9, -3.4]</t>
  </si>
  <si>
    <t>[31.2, -6.3, 19.1]</t>
  </si>
  <si>
    <t>[87.6, 72.3, nan]</t>
  </si>
  <si>
    <t>[-306.9, 176.2, nan]</t>
  </si>
  <si>
    <t>[-1.9, 265.0, nan]</t>
  </si>
  <si>
    <t>[15.8, 106.6, nan]</t>
  </si>
  <si>
    <t>[112.4, -15.3, nan]</t>
  </si>
  <si>
    <t>[-381.8, 88.5, nan]</t>
  </si>
  <si>
    <t>[265.4, -37.2, nan]</t>
  </si>
  <si>
    <t>[178.8, -33.9, nan]</t>
  </si>
  <si>
    <t>[-2622.4, -98.8, 1064.1]</t>
  </si>
  <si>
    <t>[-1490.9, 621.9, nan]</t>
  </si>
  <si>
    <t>[164.2, 129.1, -7.1]</t>
  </si>
  <si>
    <t>[25.2, 313.1, nan]</t>
  </si>
  <si>
    <t>[58.7, 90.9, 91.9]</t>
  </si>
  <si>
    <t>[-11.6, 138.9, 13.0]</t>
  </si>
  <si>
    <t>[736.4, -84.5, nan]</t>
  </si>
  <si>
    <t>[90.5, -16.5, 21.9]</t>
  </si>
  <si>
    <t>[-7.0, -4.4, nan]</t>
  </si>
  <si>
    <t>[11.0, 14.2, 8.3]</t>
  </si>
  <si>
    <t>[557.0, -186.9, -7.7]</t>
  </si>
  <si>
    <t>[1.7, 23.6, -8.2]</t>
  </si>
  <si>
    <t>[41.7, -86.2, nan]</t>
  </si>
  <si>
    <t>[15.3, 4.4, 20.2]</t>
  </si>
  <si>
    <t>[148.8, -6.2, -24.2]</t>
  </si>
  <si>
    <t>[600.5, 411.7, -65.7]</t>
  </si>
  <si>
    <t>[17.8, 12.9, nan]</t>
  </si>
  <si>
    <t>[47.8, 80.2, nan]</t>
  </si>
  <si>
    <t>[45.5, -44.7, 33.3]</t>
  </si>
  <si>
    <t>[-16.3, 81.0, -2.1]</t>
  </si>
  <si>
    <t>[14.1, 2.2, nan]</t>
  </si>
  <si>
    <t>[-120.8, 683.0, nan]</t>
  </si>
  <si>
    <t>[-420.6, -315.6, 20.4]</t>
  </si>
  <si>
    <t>[115.6, 20.5, 5.3]</t>
  </si>
  <si>
    <t>[47.7, -13.2, 0.8]</t>
  </si>
  <si>
    <t>[20.7, 29.1, 53.9]</t>
  </si>
  <si>
    <t>[-54.5, 2.5, 38.0]</t>
  </si>
  <si>
    <t>[-72.7, 79.6, nan]</t>
  </si>
  <si>
    <t>[-3437.2, -116.0, nan]</t>
  </si>
  <si>
    <t>[-171.1, 185.6, nan]</t>
  </si>
  <si>
    <t>[-82.0, -2361.1, nan]</t>
  </si>
  <si>
    <t>[-24.5, 24.1, 4.0]</t>
  </si>
  <si>
    <t>[-130.3, -1874.1, -31.0]</t>
  </si>
  <si>
    <t>[124.7, 287.4, nan]</t>
  </si>
  <si>
    <t>[88.1, 308.7, 27.3]</t>
  </si>
  <si>
    <t>[57.8, 19.2, nan]</t>
  </si>
  <si>
    <t>[-26.4, 40.8, nan]</t>
  </si>
  <si>
    <t>[-50.4, 89.7, nan]</t>
  </si>
  <si>
    <t>[1.6, -17.6, nan]</t>
  </si>
  <si>
    <t>[-11.8, 52.0, nan]</t>
  </si>
  <si>
    <t>[-42.1, 53.8, 20.9]</t>
  </si>
  <si>
    <t>[-145.5, -12.8, nan]</t>
  </si>
  <si>
    <t>[42.3, 45.4, nan]</t>
  </si>
  <si>
    <t>[-220.0, 128.3, nan]</t>
  </si>
  <si>
    <t>[125.5, -665.3, -79.0]</t>
  </si>
  <si>
    <t>[38.1, -6.3, nan]</t>
  </si>
  <si>
    <t>[-3.9, -11.5, nan]</t>
  </si>
  <si>
    <t>[-1970.0, -155.6, nan]</t>
  </si>
  <si>
    <t>[-14.3, 215.2, nan]</t>
  </si>
  <si>
    <t>[40.6, 26.7, nan]</t>
  </si>
  <si>
    <t>[-44.3, -55.9, nan]</t>
  </si>
  <si>
    <t>[409.7, -131.3, -214.2]</t>
  </si>
  <si>
    <t>[2.3, 62.2, nan]</t>
  </si>
  <si>
    <t>[15.7, 958.3, -27.5]</t>
  </si>
  <si>
    <t>[64.7, 96.2, nan]</t>
  </si>
  <si>
    <t>[-21.3, 47.5, 28.9]</t>
  </si>
  <si>
    <t>[-0.5, -31.1, nan]</t>
  </si>
  <si>
    <t>[992.8, -94.1, nan]</t>
  </si>
  <si>
    <t>[21.6, 15.0, 10.2]</t>
  </si>
  <si>
    <t>[87.1, -123.8, nan]</t>
  </si>
  <si>
    <t>[203.6, -21.4, nan]</t>
  </si>
  <si>
    <t>[-21.5, 7.9, 8.4]</t>
  </si>
  <si>
    <t>[48.7, 11.3, nan]</t>
  </si>
  <si>
    <t>[-21.9, 126.1, nan]</t>
  </si>
  <si>
    <t>[70.9, 5.0, 21.2]</t>
  </si>
  <si>
    <t>[-31.4, 317.9, nan]</t>
  </si>
  <si>
    <t>[327.7, 83.8, -13.7]</t>
  </si>
  <si>
    <t>[-11.1, 47.9, 24.8]</t>
  </si>
  <si>
    <t>[36.0, 387.1, nan]</t>
  </si>
  <si>
    <t>[-7.7, 239.1, nan]</t>
  </si>
  <si>
    <t>[32.0, 71.6, -33.2]</t>
  </si>
  <si>
    <t>[445.1, -77.7, 61.3]</t>
  </si>
  <si>
    <t>[-40.5, 234.8, nan]</t>
  </si>
  <si>
    <t>[96.3, -60.3, nan]</t>
  </si>
  <si>
    <t>[647.6, -312.1, nan]</t>
  </si>
  <si>
    <t>[-48.4, -142.0, nan]</t>
  </si>
  <si>
    <t>[-45.6, 218.4, nan]</t>
  </si>
  <si>
    <t>[120.5, -23.4, nan]</t>
  </si>
  <si>
    <t>[-30.6, -4510.5, -107.0]</t>
  </si>
  <si>
    <t>[92.2, 39.2, 19.9]</t>
  </si>
  <si>
    <t>[-411.1, 96.4, nan]</t>
  </si>
  <si>
    <t>[11.9, 53.4, 22.9]</t>
  </si>
  <si>
    <t>[6.4, -123.9, 182.7]</t>
  </si>
  <si>
    <t>[-87.1, -198.0, nan]</t>
  </si>
  <si>
    <t>[-92.4, 3956.3, nan, nan, 126.3]</t>
  </si>
  <si>
    <t>[nan, 609.9, -28.1, -33.3, -66.1]</t>
  </si>
  <si>
    <t>[11.9, 45.4, 83.4, 16.2, -31.0]</t>
  </si>
  <si>
    <t>[-11.6, 182.1, -55.7, 156.2, -35.9]</t>
  </si>
  <si>
    <t>[0.9, -92.2, 628.7, 140.6, 50.0]</t>
  </si>
  <si>
    <t>[36.4, -5.2, -50.3, 63.0, 137.9]</t>
  </si>
  <si>
    <t>[15.2, -9.5, 18.0, 228.7, 13.7]</t>
  </si>
  <si>
    <t>[-42.3, 659.6, -45.4, 45.6, -77.6]</t>
  </si>
  <si>
    <t>[-50.5, 3.3, 94.2, 13.6, 75.2]</t>
  </si>
  <si>
    <t>[725.4, -51.3, 26.0, 46.6, -33.3]</t>
  </si>
  <si>
    <t>[-30.1, -34.2, -41.7, 360.4, -10.4]</t>
  </si>
  <si>
    <t>[nan, nan, 54.6, -62.5, -94.6]</t>
  </si>
  <si>
    <t>[-21.1, nan, nan, 846.9, -96.0]</t>
  </si>
  <si>
    <t>[nan, nan, nan, nan, nan]</t>
  </si>
  <si>
    <t>[339.8, 28.6, 3.3, -31.4, -35.6]</t>
  </si>
  <si>
    <t>[]</t>
  </si>
  <si>
    <t>[nan, nan, nan, -65.6, 17.0]</t>
  </si>
  <si>
    <t>[-21.2, nan, nan, -76.1, 89.0]</t>
  </si>
  <si>
    <t>[-10.3, 125.9, 39.9, 46.9, 3.7]</t>
  </si>
  <si>
    <t>[131.9, 17.8, 1438.1, -98.6, -60.6]</t>
  </si>
  <si>
    <t>[54.4, -97.3, 407.4, 395.6, nan]</t>
  </si>
  <si>
    <t>[8.1, 18.0, 15.4, 38.7, 66.0]</t>
  </si>
  <si>
    <t>[0.4, 46.6, 51.3, -4.7, nan]</t>
  </si>
  <si>
    <t>[-27.3, -11.0, 5109.9, -98.9, -50.7]</t>
  </si>
  <si>
    <t>[nan, nan, -24.9, 139.9, -67.8]</t>
  </si>
  <si>
    <t>[93.9, nan, nan, 38.9, nan]</t>
  </si>
  <si>
    <t>[nan, -23.1, -24.8, -11.7, nan]</t>
  </si>
  <si>
    <t>[25.3, 126.6, -64.0, 140.4, -50.6]</t>
  </si>
  <si>
    <t>[229.4, 148.6, 1783.2, 6.8, 0.5]</t>
  </si>
  <si>
    <t>[73.3, nan, -38.2, 35.6, -91.5]</t>
  </si>
  <si>
    <t>[nan, nan, nan, 12.6, -34.3]</t>
  </si>
  <si>
    <t>[-40.5, -67.3, 427.1, 5.7, -45.5]</t>
  </si>
  <si>
    <t>[-58.6, nan, nan, 6.3, 486.7]</t>
  </si>
  <si>
    <t>[5.0, -5.5, 32.6, -15.5, -72.3]</t>
  </si>
  <si>
    <t>[-46.9, 925.9, -87.6, 8.3, nan]</t>
  </si>
  <si>
    <t>[2.9, 108.1, 66.7, -22.0, -8.9]</t>
  </si>
  <si>
    <t>[1.7, -48.6, 66.5, 213.4, 41.3]</t>
  </si>
  <si>
    <t>[nan, nan, nan, 378.3, 107.2]</t>
  </si>
  <si>
    <t>[nan, 5.2, 149.1, 25.7, nan]</t>
  </si>
  <si>
    <t>[-16.7, -1.5, -55.1, 194.7, 3.8]</t>
  </si>
  <si>
    <t>[92.3, -30.3, 8.2, -22.7, -15.7]</t>
  </si>
  <si>
    <t>[4.0, 14.9, 26.1, -2.8, 2.3]</t>
  </si>
  <si>
    <t>[-84.8, nan, nan, 561.6, nan]</t>
  </si>
  <si>
    <t>[-7.4, 239.6, 100.1, 2.2, -45.1]</t>
  </si>
  <si>
    <t>[23.4, -45.8, 870.9, -34.2, 145.9]</t>
  </si>
  <si>
    <t>[nan, 41.8, -15.1, 13.4, -21.2]</t>
  </si>
  <si>
    <t>[7.4, 16.9, 33.3, 25.4, -64.1]</t>
  </si>
  <si>
    <t>[nan, nan, 837.3, 126.1, 11.1]</t>
  </si>
  <si>
    <t>[1.2, 22.9, -20.5, -14.2, -29.1]</t>
  </si>
  <si>
    <t>[287.5, 13.3, 120.6, -18.5, 27.4]</t>
  </si>
  <si>
    <t>[nan, nan, nan, 28.3, nan]</t>
  </si>
  <si>
    <t>[-29.7, -58.7, 650.3, -46.7, -46.1]</t>
  </si>
  <si>
    <t>[59.9, 8.9, -10.4, 28.8, -45.1]</t>
  </si>
  <si>
    <t>[50.1, -66.6, 553.7, 3.5, -48.2]</t>
  </si>
  <si>
    <t>[nan, nan, nan, 22.1, nan]</t>
  </si>
  <si>
    <t>[-26.3, 99.6, 6.8, 13.4, 61.9]</t>
  </si>
  <si>
    <t>[-21.5, nan, 197.0, -1.0, -34.1]</t>
  </si>
  <si>
    <t>[-11.7, 28.0, 13.3, -12.4, 1.9]</t>
  </si>
  <si>
    <t>[nan, nan, 3730.3, 95.9, 185.6]</t>
  </si>
  <si>
    <t>[21.2, -30.5, 70.5, -49.7, 32.6]</t>
  </si>
  <si>
    <t>[nan, nan, 171.1, 242.1, -49.1]</t>
  </si>
  <si>
    <t>[810.0, 56.4, -74.9, 138.7, 83.0]</t>
  </si>
  <si>
    <t>[14.8, -1.2, -38.3, 30.4, 19.8]</t>
  </si>
  <si>
    <t>[20.0, -24.9, -27.8, 38.9, 140.6]</t>
  </si>
  <si>
    <t>[112.2, -82.8, 349.4, -10.6, 20.3]</t>
  </si>
  <si>
    <t>[-7.7, 106.4, 40.8, 52.9, -54.0]</t>
  </si>
  <si>
    <t>[138.3, 131.0, 3.3, -56.3, -58.6]</t>
  </si>
  <si>
    <t>[14.5, 45.9, 11.6, 29.5, -1.4]</t>
  </si>
  <si>
    <t>[128.0, 85.9, -47.6, 69.4, -10.6]</t>
  </si>
  <si>
    <t>[4020.0, 69.0, 68.3, 1.0, 2.5]</t>
  </si>
  <si>
    <t>[nan, 1449.2, 89.9, 4.6, 89.5]</t>
  </si>
  <si>
    <t>[40.0, -66.4, nan, nan, 150.0]</t>
  </si>
  <si>
    <t>[4041.8, 28.5, -36.3, 711.2, 206.8]</t>
  </si>
  <si>
    <t>[-4.1, -34.5, 55.8, 76.6, 22.8]</t>
  </si>
  <si>
    <t>[28.8, 16.8, -15.0, 62.8, -62.5]</t>
  </si>
  <si>
    <t>[12.3, 11.7, 10.9, 15.4, 18.9]</t>
  </si>
  <si>
    <t>[190.8, 168.7, 18.4, 211.3, -23.6]</t>
  </si>
  <si>
    <t>[3.8, 45.1, 399.0, -77.1, -57.5]</t>
  </si>
  <si>
    <t>[-9.0, -13.7, -28.2, 61.1, -80.3]</t>
  </si>
  <si>
    <t>[-5.4, -8.5, -8.9, 10.0, -26.6]</t>
  </si>
  <si>
    <t>[nan, nan, nan, 171.9, nan]</t>
  </si>
  <si>
    <t>[nan, 76.5, 217.5, 82.4, 126.7]</t>
  </si>
  <si>
    <t>[nan, nan, 171.4, 227.9, -80.1]</t>
  </si>
  <si>
    <t>[-19.7, 15.4, 0.1, -21.1, -33.7]</t>
  </si>
  <si>
    <t>[1023.6, 556.3, -64.1, 230.4, -21.8]</t>
  </si>
  <si>
    <t>[-74.3, 351.4, -80.5, 1318.5, -47.3]</t>
  </si>
  <si>
    <t>[28.5, -2.6, -5.0, -9.3, -20.8]</t>
  </si>
  <si>
    <t>[-15.7, 312.2, 213.9, -28.3, -60.4]</t>
  </si>
  <si>
    <t>[nan, nan, -28.9, nan, nan]</t>
  </si>
  <si>
    <t>[-97.5, 52.2, 86.3, 344.8, nan]</t>
  </si>
  <si>
    <t>[11.5, -37.5, -14.3, -1.0, nan]</t>
  </si>
  <si>
    <t>[-77.7, 207.2, 10295.0, -92.0, -68.1]</t>
  </si>
  <si>
    <t>[-14.9, -41.3, nan, nan, -69.3]</t>
  </si>
  <si>
    <t>[120.7, -61.2, 63.0, -4.8, -0.4]</t>
  </si>
  <si>
    <t>[nan, nan, 15.4, 73.6, -12.8]</t>
  </si>
  <si>
    <t>[73.2, 590.7, -86.8, 44.4, -51.3]</t>
  </si>
  <si>
    <t>[42.4, 10.9, 60.4, -10.0, -35.2]</t>
  </si>
  <si>
    <t>[17.7, 4.2, 26.7, 33.3, -57.1]</t>
  </si>
  <si>
    <t>[35.0, -18.0, 52.5, 136.4, 9.7]</t>
  </si>
  <si>
    <t>[35.7, -47.9, 114.7, -26.5, -53.6]</t>
  </si>
  <si>
    <t>[-1.7, 36.2, -70.3, 312.5, 1.0]</t>
  </si>
  <si>
    <t>[37.4, -91.1, 454.8, 185.9, 83.4]</t>
  </si>
  <si>
    <t>[455.2, 211.9, -38.3, nan, nan]</t>
  </si>
  <si>
    <t>[-22.3, 45.9, -1.3, -31.3, 18.9]</t>
  </si>
  <si>
    <t>[nan, nan, 383.8, 255.9, -33.4]</t>
  </si>
  <si>
    <t>[2.4, -84.5, 418.9, 26.7, -74.7]</t>
  </si>
  <si>
    <t>[nan, nan, 271.6, 89.1, -28.6]</t>
  </si>
  <si>
    <t>[nan, nan, nan, nan, -49.2]</t>
  </si>
  <si>
    <t>[-21.5, 104.0, 18.8, 6.2, -33.4]</t>
  </si>
  <si>
    <t>[nan, nan, nan, 9.5, nan]</t>
  </si>
  <si>
    <t>[nan, nan, 114.2, -64.1, -41.6]</t>
  </si>
  <si>
    <t>[nan, 224.8, nan, nan, nan]</t>
  </si>
  <si>
    <t>[-4.8, 8.5, -23.0, 72.1, 42.3]</t>
  </si>
  <si>
    <t>[142.8, 14.2, 10.3, -1.6, -7.3]</t>
  </si>
  <si>
    <t>[-59.2, nan, nan, 175.2, -40.0]</t>
  </si>
  <si>
    <t>[nan, nan, nan, 292.7, 131.4]</t>
  </si>
  <si>
    <t>[nan, 140.2, nan, nan, -3.4]</t>
  </si>
  <si>
    <t>[105.0, -33.2, 17.9, 59.3, 29.5]</t>
  </si>
  <si>
    <t>[-25.8, -92.5, 1379.7, 44.9, -80.4]</t>
  </si>
  <si>
    <t>[nan, nan, nan, 456.5, 101.8]</t>
  </si>
  <si>
    <t>[nan, nan, nan, -8.5, 6.8]</t>
  </si>
  <si>
    <t>[nan, nan, nan, -52.0, nan]</t>
  </si>
  <si>
    <t>[35.9, 57.7, 13.3, 86.2, 102.9]</t>
  </si>
  <si>
    <t>[-35.5, 193.0, 178.8, 55.6, nan]</t>
  </si>
  <si>
    <t>[413.3, -79.5, nan, nan, 116.8]</t>
  </si>
  <si>
    <t>[8.6, 11.2, 20.1, 19.3, 9.6]</t>
  </si>
  <si>
    <t>[102.3, -76.4, 138.1, 49.1, -93.0]</t>
  </si>
  <si>
    <t>[-12.2, 79.9, 130.1, -41.2, -71.0]</t>
  </si>
  <si>
    <t>[-4.8, -1.9, -4.5, 81.4, -54.7]</t>
  </si>
  <si>
    <t>[15.6, -63.4, 15.2, 45.5, 7.6]</t>
  </si>
  <si>
    <t>[52.6, 114.6, 4.7, -52.9, -75.9]</t>
  </si>
  <si>
    <t>[214.9, -0.5, 77.0, 0.1, -37.9]</t>
  </si>
  <si>
    <t>[66.3, -15.4, 102.3, 0.8, -40.2]</t>
  </si>
  <si>
    <t>[-99.2, 567.6, -36.3, 7193.1, -60.3]</t>
  </si>
  <si>
    <t>[nan, 338.2, 47.0, 463.1, -51.0]</t>
  </si>
  <si>
    <t>[-65.5, 534.6, -65.0, 85.3, -4.8]</t>
  </si>
  <si>
    <t>[5.8, 7.6, 8.9, 11.7, 7.4]</t>
  </si>
  <si>
    <t>[nan, nan, 42.3, nan, nan]</t>
  </si>
  <si>
    <t>[-50.9, -52.4, 263.1, 194.7, 23.7]</t>
  </si>
  <si>
    <t>[13.0, 15.1, 13.1, 15.8, 21.4]</t>
  </si>
  <si>
    <t>[3.9, 4.5, 4.7, 4.0, 6.3]</t>
  </si>
  <si>
    <t>[140.9, -21.7, 18.1, 194.5, -27.0]</t>
  </si>
  <si>
    <t>[-16.5, -25.2, 33.2, 22.2, -60.0]</t>
  </si>
  <si>
    <t>[-41.8, 226.4, -14.9, 154.3, 96.3]</t>
  </si>
  <si>
    <t>[-58.6, -38.5, 418.0, -29.7, 13.7]</t>
  </si>
  <si>
    <t>[nan, nan, 721.1, -63.6, nan]</t>
  </si>
  <si>
    <t>[-23.3, -20.1, -29.6, 158.5, 86.6]</t>
  </si>
  <si>
    <t>[nan, nan, nan, 745.7, 969.5]</t>
  </si>
  <si>
    <t>[140.2, 24.1, 1.4, 11.4, -20.3]</t>
  </si>
  <si>
    <t>[-36.6, 18.4, -90.3, 2417.6, 4.1]</t>
  </si>
  <si>
    <t>[6.2, 5.8, 11.6, 12.7, 10.1]</t>
  </si>
  <si>
    <t>[1.5, 74.7, 12.9, -33.6, -36.9]</t>
  </si>
  <si>
    <t>[-2.2, 20.3, -8.0, 100.5, -18.1]</t>
  </si>
  <si>
    <t>[-23.3, 32.5, 13.8, -6.2, -87.9]</t>
  </si>
  <si>
    <t>[20.5, 40.2, -13.3, 110.6, 82.9]</t>
  </si>
  <si>
    <t>[4.0, 47.1, -11.2, 101.9, 100.5]</t>
  </si>
  <si>
    <t>[nan, nan, 17170.7, 64.7, -2.7]</t>
  </si>
  <si>
    <t>[-18.5, -42.5, 45.6, 60.6, -54.5]</t>
  </si>
  <si>
    <t>[1466.7, -21.9, -11.7, 67.8, -18.0]</t>
  </si>
  <si>
    <t>[843.1, 124.8, 67.9, nan, nan]</t>
  </si>
  <si>
    <t>[195.0, -63.6, 552.8, -43.9, -19.6]</t>
  </si>
  <si>
    <t>[179.8, -29.6, -24.0, 27.5, -50.1]</t>
  </si>
  <si>
    <t>[1203.4, 94.5, 122.0, -25.4, -68.6]</t>
  </si>
  <si>
    <t>[7.6, -8.7, -21.0, 163.3, 334.2]</t>
  </si>
  <si>
    <t>[nan, 111.0, -10.8, -42.6, -39.7]</t>
  </si>
  <si>
    <t>[-74.6, 19.3, 291.2, -48.7, 1.0]</t>
  </si>
  <si>
    <t>[11.5, 23.3, 67.1, 1.3, -24.2]</t>
  </si>
  <si>
    <t>[56.5, 49.1, 34.4, -34.3, -25.7]</t>
  </si>
  <si>
    <t>[nan, nan, 61.7, 190.5, 86.1]</t>
  </si>
  <si>
    <t>[15.4, -30.2, 36.1, 70.8, 17.3]</t>
  </si>
  <si>
    <t>[nan, nan, nan, 189.7, 156.0]</t>
  </si>
  <si>
    <t>[-7.6, -37.1, 89.1, 81.8, 156.3]</t>
  </si>
  <si>
    <t>[-16.1, -10.1, 72.4, 1546.6, -98.9]</t>
  </si>
  <si>
    <t>[nan, nan, 941.4, 17.6, 152.5]</t>
  </si>
  <si>
    <t>[-19.9, 13.7, -43.9, 327.1, -6.0]</t>
  </si>
  <si>
    <t>[-90.9, 833.0, 309.2, -67.2, nan]</t>
  </si>
  <si>
    <t>[-58.3, 276.7, 51.9, -23.9, -12.1]</t>
  </si>
  <si>
    <t>[-25.6, 2708.3, -56.2, 62.3, -39.1]</t>
  </si>
  <si>
    <t>[3.5, 3.5, 3.4, 3.5, 3.7]</t>
  </si>
  <si>
    <t>[nan, nan, nan, 2741.7, 1333.6]</t>
  </si>
  <si>
    <t>[2.1, 10.4, 26.5, 309.7, -80.9]</t>
  </si>
  <si>
    <t>[45.8, 0.9, -22.2, 1473.1, -80.4]</t>
  </si>
  <si>
    <t>[142.7, 18.0, -30.2, 76.0, 37.3]</t>
  </si>
  <si>
    <t>[-0.1, 47.4, 23.7, -2.8, -89.5]</t>
  </si>
  <si>
    <t>[31.8, 2.9, -24.1, 217.7, -75.7]</t>
  </si>
  <si>
    <t>[11.0, 6.8, 8.9, 13.3, 17.9]</t>
  </si>
  <si>
    <t>[8.6, 7.2, 12.9, 13.7, 6.5]</t>
  </si>
  <si>
    <t>[7.3, 9.1, 10.3, 14.8, 5.9]</t>
  </si>
  <si>
    <t>[-55.8, nan, nan, nan, 253.9]</t>
  </si>
  <si>
    <t>[7.3, 4.8, 7.4, 26.4, 10.2]</t>
  </si>
  <si>
    <t>[nan, 44.7, nan, nan, nan]</t>
  </si>
  <si>
    <t>[-9.6, 208.0, 21.3, -38.5, -40.2]</t>
  </si>
  <si>
    <t>[23.0, 65.2, 16.7, 15.2, -28.9]</t>
  </si>
  <si>
    <t>[-3.7, 67.9, 48.7, 36.5, -43.7]</t>
  </si>
  <si>
    <t>[6.7, 9.2, 13.0, 26.3, 26.9]</t>
  </si>
  <si>
    <t>[235.3, -32.4, 256.1, 57.5, -52.1]</t>
  </si>
  <si>
    <t>[19.4, 58.0, -18.6, 220.0, -0.2]</t>
  </si>
  <si>
    <t>[130.0, -40.0, 97.9, 237.2, -21.1]</t>
  </si>
  <si>
    <t>[nan, nan, 123.0, 457.8, -67.3]</t>
  </si>
  <si>
    <t>[9.5, -22.1, -16.0, 392.4, 33.0]</t>
  </si>
  <si>
    <t>[70.5, -19.8, 31.4, 65.8, -9.3]</t>
  </si>
  <si>
    <t>[nan, 74.5, 2288.3, -33.9, -26.0]</t>
  </si>
  <si>
    <t>[-3.7, -26.9, 25.8, 85.3, 146.5]</t>
  </si>
  <si>
    <t>[-86.3, 124.4, 48.0, -20.3, 174.8]</t>
  </si>
  <si>
    <t>[-41.5, 165.8, 67.0, -6.1, 153.6]</t>
  </si>
  <si>
    <t>[229.9, -90.1, 259.8, 166.1, 257.5]</t>
  </si>
  <si>
    <t>[7.4, 8.2, 9.9, 16.9, 10.1]</t>
  </si>
  <si>
    <t>[nan, nan, nan, -7.0, 46.6]</t>
  </si>
  <si>
    <t>[-72.4, -14.8, 34.3, 35.7, -5.2]</t>
  </si>
  <si>
    <t>[1424.9, 88.4, 14.9, 104.2, -25.7]</t>
  </si>
  <si>
    <t>[-0.9, 38.4, -14.4, -19.2, 274.4]</t>
  </si>
  <si>
    <t>[10.8, 17.0, 27.6, 25.4, 13.1]</t>
  </si>
  <si>
    <t>[109.8, -52.0, 632.2, -77.8, -5.1]</t>
  </si>
  <si>
    <t>[59.1, 242.8, nan, nan, nan]</t>
  </si>
  <si>
    <t>[1.6, -93.4, 2325.6, 251.0, 147.2]</t>
  </si>
  <si>
    <t>[6.5, -0.4, -39.1, 493.7, 198.2]</t>
  </si>
  <si>
    <t>[-36.9, -76.4, 136.6, 1516.0, 92.0]</t>
  </si>
  <si>
    <t>[-47.8, -31.5, -42.8, 1270.1, 114.5]</t>
  </si>
  <si>
    <t>[-0.5, -0.7, -0.8, -0.7, 0.0]</t>
  </si>
  <si>
    <t>[nan, nan, nan, nan, 72.8]</t>
  </si>
  <si>
    <t>[-44.7, 91.7, -12.2, 495.1, -65.7]</t>
  </si>
  <si>
    <t>[100.9, -35.2, 165.3, -80.8, 86.6]</t>
  </si>
  <si>
    <t>[nan, nan, nan, 626.1, nan]</t>
  </si>
  <si>
    <t>[nan, nan, 4295.7, -9.8, 63.3]</t>
  </si>
  <si>
    <t>[-22.7, 219.8, -58.4, 56.1, 23.3]</t>
  </si>
  <si>
    <t>[nan, nan, 169.8, -25.9, 41.0]</t>
  </si>
  <si>
    <t>[-52.9, 188.9, 47.1, 170.4, 120.9]</t>
  </si>
  <si>
    <t>[112.2, -55.7, 47.4, -54.3, -12.7]</t>
  </si>
  <si>
    <t>[1.7, 7.9, 14.2, 20.3, 13.1]</t>
  </si>
  <si>
    <t>[-18.6, -23.4, 43.6, 41.9, -28.3]</t>
  </si>
  <si>
    <t>[15.6, -80.8, 118.6, 358.2, -86.7]</t>
  </si>
  <si>
    <t>[65.3, -2.7, -38.6, 322.5, -28.7]</t>
  </si>
  <si>
    <t>[-1.6, 12.0, 8.4, 195.8, 25.9]</t>
  </si>
  <si>
    <t>[nan, nan, 201.4, -23.4, 107.5]</t>
  </si>
  <si>
    <t>[-3.0, 120.7, 129.5, 67.9, 24.3]</t>
  </si>
  <si>
    <t>[19.6, -15.8, 67.9, 0.9, -46.1]</t>
  </si>
  <si>
    <t>[386.8, -32.2, 14.8, -5.7, 47.5]</t>
  </si>
  <si>
    <t>[nan, 468.6, nan, nan, nan]</t>
  </si>
  <si>
    <t>[-74.8, 235.7, 0.3, 161.9, 13.2]</t>
  </si>
  <si>
    <t>[1.3, 40.2, -71.2, 1942.8, 242.3]</t>
  </si>
  <si>
    <t>[32.7, -29.9, 15.6, 40.9, 4.7]</t>
  </si>
  <si>
    <t>[22.3, 111.7, -6.1, 160.8, 92.2]</t>
  </si>
  <si>
    <t>[nan, -54.8, 1863.9, -70.0, 79.2]</t>
  </si>
  <si>
    <t>[nan, nan, nan, -42.1, nan]</t>
  </si>
  <si>
    <t>[nan, nan, nan, nan, -98.7]</t>
  </si>
  <si>
    <t>[-8.8, 87.1, 13.9, 137.2, 25.8]</t>
  </si>
  <si>
    <t>[16.0, -42.6, -27.2, 295.6, 45.7]</t>
  </si>
  <si>
    <t>[21.5, -25.2, 44.5, 78.9, -48.6]</t>
  </si>
  <si>
    <t>[-25.2, 14.2, 13.2, -16.6, -3.5]</t>
  </si>
  <si>
    <t>[nan, nan, 51.9, -38.1, nan]</t>
  </si>
  <si>
    <t>[nan, 50.2, 37.4, 167.3, 153.8]</t>
  </si>
  <si>
    <t>[-22.6, -77.0, 207.8, 146.5, -45.6]</t>
  </si>
  <si>
    <t>[38.8, 23.8, 24.2, -10.6, 334.5]</t>
  </si>
  <si>
    <t>[-93.0, nan, nan, 14474.0, nan]</t>
  </si>
  <si>
    <t>[nan, nan, 290.2, -2.5, -25.3]</t>
  </si>
  <si>
    <t>[43.8, -10.5, 60.0, -45.2, -46.7]</t>
  </si>
  <si>
    <t>[33.0, 18.4, -9.4, -2.3, -14.1]</t>
  </si>
  <si>
    <t>[14.8, 2.3, 41.6, -10.6, 7.9]</t>
  </si>
  <si>
    <t>[46.0, -87.1, 137.1, 101.9, 99.8]</t>
  </si>
  <si>
    <t>[21.4, 43.7, 31.2, -6.4, 62.9]</t>
  </si>
  <si>
    <t>[nan, nan, nan, 176.2, 18.6]</t>
  </si>
  <si>
    <t>[10.3, 69.1, -1.8, 265.4, -34.0]</t>
  </si>
  <si>
    <t>[27.7, nan, 15.8, 106.7, -32.8]</t>
  </si>
  <si>
    <t>[75.2, 30.3, 112.5, -15.3, -45.6]</t>
  </si>
  <si>
    <t>[357.1, nan, nan, 88.5, nan]</t>
  </si>
  <si>
    <t>[13.0, 3.6, 265.4, -37.2, 44.2]</t>
  </si>
  <si>
    <t>[-75.5, nan, nan, -98.8, nan]</t>
  </si>
  <si>
    <t>[nan, nan, nan, 622.2, 1488.0]</t>
  </si>
  <si>
    <t>[29.9, -62.5, 164.0, 129.1, -7.5]</t>
  </si>
  <si>
    <t>[9.0, -62.6, 25.2, 313.0, nan]</t>
  </si>
  <si>
    <t>[-21.2, 20.5, 58.7, 90.9, 231.9]</t>
  </si>
  <si>
    <t>[-37.1, 85.7, -11.6, 138.8, -5.0]</t>
  </si>
  <si>
    <t>[nan, nan, 735.9, -84.5, -42.9]</t>
  </si>
  <si>
    <t>[nan, -12.1, 90.5, -16.5, 10.3]</t>
  </si>
  <si>
    <t>[124.7, 27.8, -7.0, -4.3, 206.7]</t>
  </si>
  <si>
    <t>[-23.0, 9.0, 11.0, 14.2, -1.8]</t>
  </si>
  <si>
    <t>[96.0, nan, nan, nan, -27.3]</t>
  </si>
  <si>
    <t>[45.0, 13.6, 1.7, 23.7, -36.2]</t>
  </si>
  <si>
    <t>[nan, nan, 41.7, -86.2, nan]</t>
  </si>
  <si>
    <t>[-0.3, 24.0, 15.2, 4.5, 18.4]</t>
  </si>
  <si>
    <t>[nan, -24.5, 148.9, -6.2, -41.9]</t>
  </si>
  <si>
    <t>[-83.9, -44.0, 600.8, 411.6, -38.0]</t>
  </si>
  <si>
    <t>[-21.0, 43.9, 17.7, 12.9, 50.6]</t>
  </si>
  <si>
    <t>[-6.3, 12.5, 47.8, 80.2, -26.9]</t>
  </si>
  <si>
    <t>[29.0, -15.5, 45.5, -44.7, -2.0]</t>
  </si>
  <si>
    <t>[23.4, 1.9, -16.3, 81.0, -30.0]</t>
  </si>
  <si>
    <t>[nan, nan, nan, 682.6, nan]</t>
  </si>
  <si>
    <t>[-67.6, 304.5, nan, nan, 67.7]</t>
  </si>
  <si>
    <t>[37.9, -64.4, 115.3, 20.5, -17.4]</t>
  </si>
  <si>
    <t>[5.6, 12.7, 47.7, -13.2, -40.1]</t>
  </si>
  <si>
    <t>[-35.7, 14.9, 20.7, 29.2, 125.4]</t>
  </si>
  <si>
    <t>[nan, 173.3, -54.5, 2.5, -37.5]</t>
  </si>
  <si>
    <t>[-3.9, 767.9, -72.7, 79.7, -52.4]</t>
  </si>
  <si>
    <t>[-38.1, -53.6, nan, nan, -80.7]</t>
  </si>
  <si>
    <t>[nan, nan, nan, 185.8, 144.0]</t>
  </si>
  <si>
    <t>[nan, 188.6, -24.6, 24.1, nan]</t>
  </si>
  <si>
    <t>[4.0, -36.6, nan, nan, 54.5]</t>
  </si>
  <si>
    <t>[-39.8, -34.5, 124.8, 286.5, 122.2]</t>
  </si>
  <si>
    <t>[4.0, -21.3, 88.2, 308.7, 91.4]</t>
  </si>
  <si>
    <t>[63.5, 22.5, -26.5, 40.8, 16.3]</t>
  </si>
  <si>
    <t>[-16.5, 98.1, -50.8, 92.0, -91.9]</t>
  </si>
  <si>
    <t>[-45.6, 82.9, 1.6, -17.6, 35.0]</t>
  </si>
  <si>
    <t>[nan, 2219.0, -11.7, 52.0, -55.9]</t>
  </si>
  <si>
    <t>[-19.9, 154.7, -42.2, 53.8, -4.2]</t>
  </si>
  <si>
    <t>[nan, nan, nan, -12.8, -58.5]</t>
  </si>
  <si>
    <t>[11.6, 12.8, 16.9, 26.1, 43.3]</t>
  </si>
  <si>
    <t>[114.2, nan, nan, 128.0, 56.7]</t>
  </si>
  <si>
    <t>[51.3, -30.0, 38.1, -6.4, -45.3]</t>
  </si>
  <si>
    <t>[nan, nan, -3.9, -11.6, nan]</t>
  </si>
  <si>
    <t>[2.0, 191.3, -14.4, 215.6, -8.3]</t>
  </si>
  <si>
    <t>[80.5, 30.1, 40.5, 26.7, 44.4]</t>
  </si>
  <si>
    <t>[371.3, 263.2, -44.4, -55.9, -70.3]</t>
  </si>
  <si>
    <t>[nan, 27.5, 410.0, nan, nan]</t>
  </si>
  <si>
    <t>[67.1, 7.9, 2.2, 62.3, -93.4]</t>
  </si>
  <si>
    <t>[nan, -45.9, 15.6, 957.9, 378.0]</t>
  </si>
  <si>
    <t>[55.9, -23.0, 64.6, 96.3, -25.0]</t>
  </si>
  <si>
    <t>[nan, 423.1, -21.3, 47.5, 5.9]</t>
  </si>
  <si>
    <t>[119.9, 81.7, -0.5, -31.1, -43.0]</t>
  </si>
  <si>
    <t>[-90.3, 1385.6, 992.7, -94.1, 188.5]</t>
  </si>
  <si>
    <t>[9.4, -4.7, 21.6, 15.0, 7.3]</t>
  </si>
  <si>
    <t>[nan, nan, nan, nan, -42.6]</t>
  </si>
  <si>
    <t>[-84.1, -46.6, -21.5, 7.9, -15.0]</t>
  </si>
  <si>
    <t>[nan, nan, 48.8, 11.6, -14.9]</t>
  </si>
  <si>
    <t>[16.9, nan, -21.9, 126.1, -53.3]</t>
  </si>
  <si>
    <t>[11.1, 38.6, 71.0, 5.0, -4.4]</t>
  </si>
  <si>
    <t>[2642.7, 134.0, -31.4, 318.4, -41.3]</t>
  </si>
  <si>
    <t>[58.4, -41.4, 327.8, 83.8, -21.7]</t>
  </si>
  <si>
    <t>[736.0, 200.1, -11.1, 47.9, 38.8]</t>
  </si>
  <si>
    <t>[nan, nan, 35.9, 386.6, -62.4]</t>
  </si>
  <si>
    <t>[219.2, 47.0, -7.8, 239.0, nan]</t>
  </si>
  <si>
    <t>[1.2, 6.8, 32.0, 71.6, -50.7]</t>
  </si>
  <si>
    <t>[-12.8, -34.3, 445.3, -77.7, -18.7]</t>
  </si>
  <si>
    <t>[-74.2, 709.6, -40.5, 234.6, nan]</t>
  </si>
  <si>
    <t>[nan, nan, 96.3, -60.3, 11.3]</t>
  </si>
  <si>
    <t>[nan, nan, 647.3, nan, nan]</t>
  </si>
  <si>
    <t>[nan, nan, -48.4, nan, nan]</t>
  </si>
  <si>
    <t>[25.3, 233.2, -45.7, 218.6, 38.7]</t>
  </si>
  <si>
    <t>[nan, nan, 120.6, nan, nan]</t>
  </si>
  <si>
    <t>[nan, 61.1, 92.2, 39.3, 79.4]</t>
  </si>
  <si>
    <t>[nan, nan, nan, 100.1, nan]</t>
  </si>
  <si>
    <t>[152.7, 10.9, 12.0, 53.3, 1.3]</t>
  </si>
  <si>
    <t>3247</t>
  </si>
  <si>
    <t>[3185.0, 2851.0, 3615.0, 3851.0]</t>
  </si>
  <si>
    <t>[560.0, 620.0, 680.0, nan]</t>
  </si>
  <si>
    <t>[3782.0, 5193.0, 6529.0, nan]</t>
  </si>
  <si>
    <t>[748.0, 735.0, 847.0, nan]</t>
  </si>
  <si>
    <t>[1234.0, 1331.0, 1603.0, nan]</t>
  </si>
  <si>
    <t>[5257.0, 5854.0, 6984.0, nan]</t>
  </si>
  <si>
    <t>[1491.0, 1544.0, 1761.0, nan]</t>
  </si>
  <si>
    <t>[766.0, 815.0, 916.0, nan]</t>
  </si>
  <si>
    <t>[2017.0, 2197.0, 2683.0, nan]</t>
  </si>
  <si>
    <t>[3598.0, 3918.0, 4423.0, nan]</t>
  </si>
  <si>
    <t>[1465.0, 1480.0, 1696.0, nan]</t>
  </si>
  <si>
    <t>[280.0, 665.0, 711.0, nan]</t>
  </si>
  <si>
    <t>[2491.0, 3342.0, 6662.0, nan]</t>
  </si>
  <si>
    <t>[412.0, 492.0, 1453.0, nan]</t>
  </si>
  <si>
    <t>[441.0, 1083.0, 1198.0, nan]</t>
  </si>
  <si>
    <t>[1512.0, 1764.0, 2460.0, 2790.0]</t>
  </si>
  <si>
    <t>[40.0, 386.0, 710.0, nan]</t>
  </si>
  <si>
    <t>[1390.0, 2289.0, 2577.0, nan]</t>
  </si>
  <si>
    <t>[1891.0, 2069.0, 2337.0, nan]</t>
  </si>
  <si>
    <t>[8313.0, 10356.0, 10834.0, nan]</t>
  </si>
  <si>
    <t>[1032.0, 1238.0, 1584.0, nan]</t>
  </si>
  <si>
    <t>[2383.0, 2546.0, 3121.0, nan]</t>
  </si>
  <si>
    <t>[259.0, 338.0, 690.0, nan]</t>
  </si>
  <si>
    <t>[63.0, 55.0, 80.0, nan]</t>
  </si>
  <si>
    <t>[681.0, 1889.0, 1895.0, nan]</t>
  </si>
  <si>
    <t>[1181.0, 1513.0, 1955.0, nan]</t>
  </si>
  <si>
    <t>[891.0, 1069.0, 1277.0, nan]</t>
  </si>
  <si>
    <t>[1304.0, 1403.0, 1565.0, nan]</t>
  </si>
  <si>
    <t>[1364.0, 1459.0, 1661.0, nan]</t>
  </si>
  <si>
    <t>[1525.0, 6453.0, 10814.0, 13828.0]</t>
  </si>
  <si>
    <t>[577.0, 624.0, 1015.0, nan]</t>
  </si>
  <si>
    <t>[114.0, 734.0, 1617.0, 1879.0]</t>
  </si>
  <si>
    <t>[1029.0, 1268.0, 1478.0, nan]</t>
  </si>
  <si>
    <t>[1158.0, 1371.0, 2004.0, nan]</t>
  </si>
  <si>
    <t>[2945.0, 3360.0, 3806.0, nan]</t>
  </si>
  <si>
    <t>[829.0, 871.0, 931.0, nan]</t>
  </si>
  <si>
    <t>[569.0, 683.0, 787.0, nan]</t>
  </si>
  <si>
    <t>[528.0, 565.0, 797.0, nan]</t>
  </si>
  <si>
    <t>[4448.0, 4690.0, 5992.0, nan]</t>
  </si>
  <si>
    <t>[793.0, 1178.0, 1055.0, nan]</t>
  </si>
  <si>
    <t>[3238.0, 3657.0, 4284.0, nan]</t>
  </si>
  <si>
    <t>[2301.0, 2402.0, 2777.0, 3032.0]</t>
  </si>
  <si>
    <t>[704.0, 767.0, 875.0, nan]</t>
  </si>
  <si>
    <t>[2394.0, 2569.0, 2738.0, nan]</t>
  </si>
  <si>
    <t>[1234.0, 1660.0, 2274.0, nan]</t>
  </si>
  <si>
    <t>[1834.0, 1899.0, 2419.0, nan]</t>
  </si>
  <si>
    <t>[574.0, 705.0, 933.0, nan]</t>
  </si>
  <si>
    <t>[2970.0, 1414.0, 2087.0, nan]</t>
  </si>
  <si>
    <t>[2494.0, 3078.0, 3585.0, 4089.0]</t>
  </si>
  <si>
    <t>[3775.0, 4005.0, 4425.0, nan]</t>
  </si>
  <si>
    <t>[732.0, 812.0, 995.0, 1124.0]</t>
  </si>
  <si>
    <t>[4721.0, 5281.0, 5765.0, nan]</t>
  </si>
  <si>
    <t>[1660.0, 2275.0, 2645.0, nan]</t>
  </si>
  <si>
    <t>[688.0, 1163.0, 3933.0, nan]</t>
  </si>
  <si>
    <t>[1349.0, 1821.0, 2040.0, nan]</t>
  </si>
  <si>
    <t>[4036.0, 4401.0, 4973.0, 5524.0]</t>
  </si>
  <si>
    <t>[635.0, 988.0, 1294.0, nan]</t>
  </si>
  <si>
    <t>[411.0, 478.0, 557.0, nan]</t>
  </si>
  <si>
    <t>[580.0, 687.0, 746.0, nan]</t>
  </si>
  <si>
    <t>[200.0, 360.0, 1349.0, nan]</t>
  </si>
  <si>
    <t>[3683.0, 4103.0, 4297.0, nan]</t>
  </si>
  <si>
    <t>[289.0, 677.0, 557.0, nan]</t>
  </si>
  <si>
    <t>[304.0, 815.0, 1577.0, nan]</t>
  </si>
  <si>
    <t>[7711.0, 9008.0, 9565.0, nan]</t>
  </si>
  <si>
    <t>[1163.0, 1520.0, 3104.0, nan]</t>
  </si>
  <si>
    <t>[515.0, 557.0, 725.0, nan]</t>
  </si>
  <si>
    <t>[2480.0, 2839.0, 3134.0, 3458.0]</t>
  </si>
  <si>
    <t>[1668.0, 1819.0, 2028.0, nan]</t>
  </si>
  <si>
    <t>[467.0, 500.0, 654.0, nan]</t>
  </si>
  <si>
    <t>[48809.0, 52744.0, 61135.0, 68927.0]</t>
  </si>
  <si>
    <t>[6084.0, 7494.0, 9212.0, nan]</t>
  </si>
  <si>
    <t>[1027.0, 1162.0, 1233.0, nan]</t>
  </si>
  <si>
    <t>[4685.0, 5069.0, 5626.0, nan]</t>
  </si>
  <si>
    <t>[12497.0, 12924.0, 16109.0, 18318.0]</t>
  </si>
  <si>
    <t>[497.0, 582.0, 692.0, 795.0]</t>
  </si>
  <si>
    <t>[387.0, 520.0, 619.0, nan]</t>
  </si>
  <si>
    <t>[2717.0, 2672.0, 6678.0, nan]</t>
  </si>
  <si>
    <t>[412.0, 591.0, 1215.0, nan]</t>
  </si>
  <si>
    <t>[2170.0, 2403.0, 3062.0, nan]</t>
  </si>
  <si>
    <t>[1405.0, 1494.0, 1816.0, nan]</t>
  </si>
  <si>
    <t>[696.0, 810.0, 956.0, nan]</t>
  </si>
  <si>
    <t>[1528.0, 1736.0, 2011.0, nan]</t>
  </si>
  <si>
    <t>[837.0, 1151.0, 1255.0, nan]</t>
  </si>
  <si>
    <t>[512.0, 585.0, 744.0, nan]</t>
  </si>
  <si>
    <t>[9197.0, 9733.0, 11739.0, 12275.0]</t>
  </si>
  <si>
    <t>[1583.0, 1810.0, 2273.0, nan]</t>
  </si>
  <si>
    <t>[870.0, 1211.0, 2682.0, nan]</t>
  </si>
  <si>
    <t>[437.0, 483.0, 653.0, nan]</t>
  </si>
  <si>
    <t>[1326.0, 1490.0, 1893.0, nan]</t>
  </si>
  <si>
    <t>[635.0, 1031.0, 1161.0, nan]</t>
  </si>
  <si>
    <t>[3537.0, 3513.0, 4567.0, 4867.0]</t>
  </si>
  <si>
    <t>[407.0, 417.0, 572.0, nan]</t>
  </si>
  <si>
    <t>[1444.0, 1776.0, 1935.0, nan]</t>
  </si>
  <si>
    <t>[572.0, 673.0, 745.0, nan]</t>
  </si>
  <si>
    <t>[31.0, 70.0, 348.0, nan]</t>
  </si>
  <si>
    <t>[238.0, 265.0, 413.0, nan]</t>
  </si>
  <si>
    <t>[815.0, 862.0, 930.0, nan]</t>
  </si>
  <si>
    <t>[1395.0, 6034.0, 7320.0, nan]</t>
  </si>
  <si>
    <t>[934.0, 915.0, 1131.0, nan]</t>
  </si>
  <si>
    <t>[3274.0, 3676.0, 4129.0, nan]</t>
  </si>
  <si>
    <t>[940.0, 1018.0, 1152.0, nan]</t>
  </si>
  <si>
    <t>[768.0, 801.0, 878.0, nan]</t>
  </si>
  <si>
    <t>[2831.0, 3067.0, 4042.0, nan]</t>
  </si>
  <si>
    <t>[3279.0, 3730.0, 4196.0, nan]</t>
  </si>
  <si>
    <t>[1219.0, 1382.0, 1550.0, nan]</t>
  </si>
  <si>
    <t>[1038.0, 1168.0, 1292.0, nan]</t>
  </si>
  <si>
    <t>[1140.0, 1975.0, 2515.0, nan]</t>
  </si>
  <si>
    <t>[2068.0, 2062.0, 2505.0, 2954.0]</t>
  </si>
  <si>
    <t>[553.0, 578.0, 753.0, nan]</t>
  </si>
  <si>
    <t>[453.0, 309.0, 488.0, nan]</t>
  </si>
  <si>
    <t>[2923.0, 3887.0, 3752.0, 3749.0]</t>
  </si>
  <si>
    <t>[1077.0, 1189.0, 1270.0, nan]</t>
  </si>
  <si>
    <t>[697.0, 781.0, 1011.0, nan]</t>
  </si>
  <si>
    <t>[1831.0, 2043.0, 2315.0, nan]</t>
  </si>
  <si>
    <t>[934.0, 1111.0, 1549.0, nan]</t>
  </si>
  <si>
    <t>[271.0, 210.0, 405.0, nan]</t>
  </si>
  <si>
    <t>[755.0, 1126.0, 7279.0, nan]</t>
  </si>
  <si>
    <t>[1348.0, 1572.0, 1917.0, 2172.0]</t>
  </si>
  <si>
    <t>[194.0, 493.0, 633.0, nan]</t>
  </si>
  <si>
    <t>[1043.0, 1857.0, 2151.0, nan]</t>
  </si>
  <si>
    <t>[826.0, 90.0, 476.0, nan]</t>
  </si>
  <si>
    <t>[913.0, 1007.0, 1157.0, nan]</t>
  </si>
  <si>
    <t>[979.0, 1149.0, 1891.0, nan]</t>
  </si>
  <si>
    <t>[747.0, 980.0, 1325.0, 1450.0]</t>
  </si>
  <si>
    <t>[246.0, 837.0, 2866.0, nan]</t>
  </si>
  <si>
    <t>[797.0, 919.0, 1517.0, nan]</t>
  </si>
  <si>
    <t>[610.0, 601.0, 709.0, nan]</t>
  </si>
  <si>
    <t>[3075.0, 3386.0, 3923.0, 4509.0]</t>
  </si>
  <si>
    <t>[853.0, 960.0, 1098.0, nan]</t>
  </si>
  <si>
    <t>[1199.0, 1287.0, 1956.0, nan]</t>
  </si>
  <si>
    <t>[26.0, 613.0, 822.0, nan]</t>
  </si>
  <si>
    <t>[1328.0, 1644.0, 1896.0, nan]</t>
  </si>
  <si>
    <t>[4356.0, 4670.0, 5354.0, 6268.0]</t>
  </si>
  <si>
    <t>[138.0, 251.0, 415.0, nan]</t>
  </si>
  <si>
    <t>[451.0, 409.0, 538.0, nan]</t>
  </si>
  <si>
    <t>[5140.0, 7407.0, 9284.0, nan]</t>
  </si>
  <si>
    <t>[483.0, 499.0, 637.0, nan]</t>
  </si>
  <si>
    <t>[99.0, 151.0, 787.0, nan]</t>
  </si>
  <si>
    <t>[1938.0, 2461.0, 2960.0, nan]</t>
  </si>
  <si>
    <t>[1287.0, 1472.0, 1830.0, nan]</t>
  </si>
  <si>
    <t>[1001.0, 1230.0, 1567.0, nan]</t>
  </si>
  <si>
    <t>[1527.0, 1878.0, 1988.0, nan]</t>
  </si>
  <si>
    <t>[458.0, 731.0, 989.0, nan]</t>
  </si>
  <si>
    <t>[3554.0, 4343.0, 5041.0, 5796.0]</t>
  </si>
  <si>
    <t>[1026.0, 1282.0, 1324.0, nan]</t>
  </si>
  <si>
    <t>[611.0, 627.0, 768.0, nan]</t>
  </si>
  <si>
    <t>[4890.0, 6010.0, 14205.0, 17386.0]</t>
  </si>
  <si>
    <t>[3176.0, 3576.0, 4232.0, nan]</t>
  </si>
  <si>
    <t>[91278.0, 92689.0, 105068.0, 109971.0]</t>
  </si>
  <si>
    <t>[695.0, 895.0, 711.0, nan]</t>
  </si>
  <si>
    <t>[1113.0, 1191.0, 1430.0, nan]</t>
  </si>
  <si>
    <t>[39195.0, 46144.0, 52100.0, 60080.0]</t>
  </si>
  <si>
    <t>[27485.0, 33492.0, 37209.0, 41375.0]</t>
  </si>
  <si>
    <t>[14931.0, 16497.0, 21986.0, 24910.0]</t>
  </si>
  <si>
    <t>[1670.0, 1891.0, 2260.0, nan]</t>
  </si>
  <si>
    <t>[1747.0, 1890.0, 2355.0, nan]</t>
  </si>
  <si>
    <t>[10398.0, 12508.0, 14370.0, nan]</t>
  </si>
  <si>
    <t>[696.0, 320.0, 614.0, nan]</t>
  </si>
  <si>
    <t>[7451.0, 8887.0, 9652.0, 10196.0]</t>
  </si>
  <si>
    <t>[4203.0, 4595.0, 5600.0, nan]</t>
  </si>
  <si>
    <t>[18497.0, 20332.0, 26697.0, 33623.0]</t>
  </si>
  <si>
    <t>[6472.0, 6784.0, 8427.0, 9472.0]</t>
  </si>
  <si>
    <t>[8291.0, 7723.0, 12866.0, 15168.0]</t>
  </si>
  <si>
    <t>[4853.0, 5609.0, 6590.0, nan]</t>
  </si>
  <si>
    <t>[3287.0, 3756.0, 4064.0, nan]</t>
  </si>
  <si>
    <t>[1818.0, 1874.0, 2134.0, nan]</t>
  </si>
  <si>
    <t>[2862.0, 3077.0, 3212.0, nan]</t>
  </si>
  <si>
    <t>[13758.0, 13707.0, 16283.0, 18630.0]</t>
  </si>
  <si>
    <t>[18435.0, 18348.0, 22189.0, 25779.0]</t>
  </si>
  <si>
    <t>[1334.0, 7480.0, 21905.0, 29909.0]</t>
  </si>
  <si>
    <t>[3632.0, 3945.0, 6929.0, nan]</t>
  </si>
  <si>
    <t>[5849.0, 6335.0, 7144.0, nan]</t>
  </si>
  <si>
    <t>[693.0, 1008.0, 894.0, nan]</t>
  </si>
  <si>
    <t>[1992.0, 2113.0, 2763.0, nan]</t>
  </si>
  <si>
    <t>[4184.0, 4547.0, 5020.0, nan]</t>
  </si>
  <si>
    <t>[320.0, 488.0, 615.0, nan]</t>
  </si>
  <si>
    <t>[4307.0, 4587.0, 5433.0, nan]</t>
  </si>
  <si>
    <t>[379.0, 878.0, 979.0, nan]</t>
  </si>
  <si>
    <t>[643.0, 134.0, 362.0, nan]</t>
  </si>
  <si>
    <t>[3196.0, 3700.0, 4131.0, nan]</t>
  </si>
  <si>
    <t>[2956.0, 3381.0, 3878.0, 4357.0]</t>
  </si>
  <si>
    <t>[1570.0, 1922.0, 2150.0, nan]</t>
  </si>
  <si>
    <t>[4600.0, 4946.0, 6497.0, 8180.0]</t>
  </si>
  <si>
    <t>[24587.0, 26744.0, 32119.0, 36966.0]</t>
  </si>
  <si>
    <t>[526.0, 608.0, 821.0, 992.0]</t>
  </si>
  <si>
    <t>[1109.0, 1214.0, 1419.0, nan]</t>
  </si>
  <si>
    <t>[58052.0, 73672.0, 235356.0, 245172.0]</t>
  </si>
  <si>
    <t>[11715.0, 13382.0, 17750.0, 22509.0]</t>
  </si>
  <si>
    <t>[2809.0, 2688.0, 3428.0, 3924.0]</t>
  </si>
  <si>
    <t>[6315.0, 7742.0, 8212.0, nan]</t>
  </si>
  <si>
    <t>[4727.0, 5235.0, 5664.0, 5980.0]</t>
  </si>
  <si>
    <t>[3411.0, 3822.0, 4738.0, nan]</t>
  </si>
  <si>
    <t>[34699.0, 37563.0, 41574.0, 45312.0]</t>
  </si>
  <si>
    <t>[10890.0, 16874.0, 103573.0, 190722.0]</t>
  </si>
  <si>
    <t>[21901.0, 23045.0, 40690.0, 41271.0]</t>
  </si>
  <si>
    <t>[4830.0, 5513.0, 19338.0, nan]</t>
  </si>
  <si>
    <t>[6020.0, 6263.0, 7111.0, nan]</t>
  </si>
  <si>
    <t>[4578.0, 8019.0, 9579.0, nan]</t>
  </si>
  <si>
    <t>[59373.0, 25931.0, 39332.0, 41840.0]</t>
  </si>
  <si>
    <t>[59459.0, 64052.0, 66411.0, 60550.0]</t>
  </si>
  <si>
    <t>[6997.0, 8003.0, 9170.0, nan]</t>
  </si>
  <si>
    <t>[53851.0, 57977.0, 68182.0, 73710.0]</t>
  </si>
  <si>
    <t>[26357.0, 23410.0, 30714.0, 36539.0]</t>
  </si>
  <si>
    <t>[19845.0, 20483.0, 26217.0, 27780.0]</t>
  </si>
  <si>
    <t>[2049.0, 1962.0, 2443.0, nan]</t>
  </si>
  <si>
    <t>[5801.0, 6530.0, 7074.0, nan]</t>
  </si>
  <si>
    <t>[9973.0, 10835.0, 12269.0, 13147.0]</t>
  </si>
  <si>
    <t>[13362.0, 15878.0, 19764.0, nan]</t>
  </si>
  <si>
    <t>[5717.0, 5797.0, 6497.0, 7290.0]</t>
  </si>
  <si>
    <t>[529.0, 663.0, 877.0, nan]</t>
  </si>
  <si>
    <t>[289781.0, 298917.0, 349104.0, 401598.0]</t>
  </si>
  <si>
    <t>[26286.0, 31482.0, 50818.0, 60049.0]</t>
  </si>
  <si>
    <t>[3765.0, 3903.0, 6528.0, 7113.0]</t>
  </si>
  <si>
    <t>[5230.0, 5393.0, 8010.0, nan]</t>
  </si>
  <si>
    <t>[4534.0, 5531.0, 6990.0, nan]</t>
  </si>
  <si>
    <t>[7156.0, 9529.0, 20535.0, 20940.0]</t>
  </si>
  <si>
    <t>[3614.0, 5244.0, 6393.0, 7136.0]</t>
  </si>
  <si>
    <t>[16827.0, 19470.0, 24133.0, nan]</t>
  </si>
  <si>
    <t>[16608.0, 18987.0, 21174.0, 22618.0]</t>
  </si>
  <si>
    <t>[4412.0, 4640.0, 5467.0, 6359.0]</t>
  </si>
  <si>
    <t>[526.0, 485.0, 832.0, nan]</t>
  </si>
  <si>
    <t>[49493.0, 53171.0, 60809.0, 64739.0]</t>
  </si>
  <si>
    <t>[6611.0, 7689.0, 8493.0, 9385.0]</t>
  </si>
  <si>
    <t>[5912.0, 7209.0, 8792.0, nan]</t>
  </si>
  <si>
    <t>[6737.0, 7609.0, 8867.0, nan]</t>
  </si>
  <si>
    <t>[4336.0, 5013.0, 6455.0, nan]</t>
  </si>
  <si>
    <t>[1420.0, 1527.0, 1606.0, nan]</t>
  </si>
  <si>
    <t>[22340.0, 28567.0, 42652.0, 48277.0]</t>
  </si>
  <si>
    <t>[11552.0, 6422.0, 7135.0, nan]</t>
  </si>
  <si>
    <t>[630.0, 673.0, 869.0, nan]</t>
  </si>
  <si>
    <t>[561.0, 835.0, 1269.0, nan]</t>
  </si>
  <si>
    <t>[28864.0, 28067.0, 35968.0, 42067.0]</t>
  </si>
  <si>
    <t>[2175.0, 2233.0, 3217.0, nan]</t>
  </si>
  <si>
    <t>[7125.0, 7187.0, 8860.0, 9550.0]</t>
  </si>
  <si>
    <t>[50037.0, 56118.0, 73982.0, 81082.0]</t>
  </si>
  <si>
    <t>[1072.0, 1015.0, 1272.0, nan]</t>
  </si>
  <si>
    <t>[2695.0, 2766.0, 3389.0, nan]</t>
  </si>
  <si>
    <t>[4454.0, 5852.0, 6230.0, nan]</t>
  </si>
  <si>
    <t>[8777.0, 9193.0, 10206.0, 10980.0]</t>
  </si>
  <si>
    <t>[714.0, 1014.0, 1420.0, nan]</t>
  </si>
  <si>
    <t>[2611.0, 3673.0, 4165.0, 4586.0]</t>
  </si>
  <si>
    <t>[1181.0, 1193.0, 1327.0, 1460.0]</t>
  </si>
  <si>
    <t>[2715.0, 3683.0, 4737.0, nan]</t>
  </si>
  <si>
    <t>[471.0, 547.0, 785.0, nan]</t>
  </si>
  <si>
    <t>[5057.0, 6119.0, 6713.0, 7070.0]</t>
  </si>
  <si>
    <t>[2947.0, 3511.0, 4323.0, nan]</t>
  </si>
  <si>
    <t>[859.0, 947.0, 1085.0, nan]</t>
  </si>
  <si>
    <t>[44253.0, 40991.0, 48136.0, 50914.0]</t>
  </si>
  <si>
    <t>[22226.0, 23777.0, 13706.0, 15108.0]</t>
  </si>
  <si>
    <t>[4030.0, 4285.0, 4977.0, nan]</t>
  </si>
  <si>
    <t>[3403.0, 3131.0, 3611.0, nan]</t>
  </si>
  <si>
    <t>[4533.0, 4737.0, 5981.0, 7415.0]</t>
  </si>
  <si>
    <t>[675.0, 740.0, 859.0, nan]</t>
  </si>
  <si>
    <t>[2885.0, 3478.0, 3852.0, nan]</t>
  </si>
  <si>
    <t>[660.0, 779.0, 1780.0, nan]</t>
  </si>
  <si>
    <t>[974.0, 1188.0, 1710.0, nan]</t>
  </si>
  <si>
    <t>[1568.0, 1506.0, 2018.0, 2540.0]</t>
  </si>
  <si>
    <t>[1451.0, 1625.0, 3040.0, 6080.0]</t>
  </si>
  <si>
    <t>[2133.0, 2301.0, 3017.0, nan]</t>
  </si>
  <si>
    <t>[2266.0, 3058.0, 3113.0, nan]</t>
  </si>
  <si>
    <t>[358.0, 760.0, 1194.0, nan]</t>
  </si>
  <si>
    <t>[362.0, 365.0, 522.0, nan]</t>
  </si>
  <si>
    <t>[1017.0, 993.0, 1463.0, nan]</t>
  </si>
  <si>
    <t>[7110.0, 7843.0, 9956.0, nan]</t>
  </si>
  <si>
    <t>[1791.0, 1895.0, 2359.0, nan]</t>
  </si>
  <si>
    <t>[882.0, 1021.0, 1275.0, nan]</t>
  </si>
  <si>
    <t>[86842.0, 90369.0, 91588.0, 95487.0]</t>
  </si>
  <si>
    <t>[2046.0, 2559.0, 3242.0, nan]</t>
  </si>
  <si>
    <t>[2.0, 534.0, 310.0, nan]</t>
  </si>
  <si>
    <t>[267.0, 320.0, 461.0, 590.0]</t>
  </si>
  <si>
    <t>[2149.0, 2365.0, 2949.0, 3457.0]</t>
  </si>
  <si>
    <t>[1129.0, 1271.0, 1586.0, nan]</t>
  </si>
  <si>
    <t>[14.0, 26.0, 210.0, nan]</t>
  </si>
  <si>
    <t>[735.0, 1199.0, 1511.0, nan]</t>
  </si>
  <si>
    <t>[519.0, 941.0, 981.0, nan]</t>
  </si>
  <si>
    <t>[1057.0, 1177.0, 1303.0, nan]</t>
  </si>
  <si>
    <t>[2439.0, 3349.0, 4382.0, nan]</t>
  </si>
  <si>
    <t>[479211.0, 518885.0, 621571.0, 700397.0]</t>
  </si>
  <si>
    <t>[1097.0, 1368.0, 1581.0, 1914.0]</t>
  </si>
  <si>
    <t>[287.0, 402.0, 639.0, nan]</t>
  </si>
  <si>
    <t>[826.0, 960.0, 1350.0, nan]</t>
  </si>
  <si>
    <t>[583.0, 625.0, 887.0, nan]</t>
  </si>
  <si>
    <t>[82.0, 210.0, 559.0, nan]</t>
  </si>
  <si>
    <t>[329.0, 615.0, 1396.0, nan]</t>
  </si>
  <si>
    <t>[311.0, 360.0, 455.0, nan]</t>
  </si>
  <si>
    <t>[325.0, 525.0, 610.0, nan]</t>
  </si>
  <si>
    <t>[350.0, 593.0, 761.0, nan]</t>
  </si>
  <si>
    <t>[1133.0, 1981.0, 2006.0, 2120.0]</t>
  </si>
  <si>
    <t>[152.0, 487.0, 2020.0, nan]</t>
  </si>
  <si>
    <t>[1141.0, 1382.0, 1915.0, 2375.0]</t>
  </si>
  <si>
    <t>[1231.0, 1325.0, 1797.0, nan]</t>
  </si>
  <si>
    <t>[6447.0, 7946.0, 11061.0, 16853.0]</t>
  </si>
  <si>
    <t>[993.0, 1106.0, 1459.0, 1854.0]</t>
  </si>
  <si>
    <t>[314.0, 601.0, 752.0, nan]</t>
  </si>
  <si>
    <t>[5844.0, 12141.0, 46081.0, 54992.0]</t>
  </si>
  <si>
    <t>[661.0, 746.0, 826.0, nan]</t>
  </si>
  <si>
    <t>[1415.0, 1668.0, 1866.0, 2044.0]</t>
  </si>
  <si>
    <t>[2830.0, 2502.0, 2838.0, 3650.0]</t>
  </si>
  <si>
    <t>[545.0, 624.0, 724.0, 811.0]</t>
  </si>
  <si>
    <t>[181.0, 331.0, 289.0, nan]</t>
  </si>
  <si>
    <t>[1265.0, 1293.0, 1362.0, 1426.0]</t>
  </si>
  <si>
    <t>[3230.0, 3875.0, 4593.0, 4972.0]</t>
  </si>
  <si>
    <t>[4156.0, 10027.0, 21013.0, 22847.0]</t>
  </si>
  <si>
    <t>[517.0, 494.0, 1033.0, nan]</t>
  </si>
  <si>
    <t>[3008.0, 3482.0, 4504.0, nan]</t>
  </si>
  <si>
    <t>[1945.0, 2388.0, 2661.0, 3015.0]</t>
  </si>
  <si>
    <t>[1106.0, 1154.0, 1343.0, 1413.0]</t>
  </si>
  <si>
    <t>[3673.0, 5289.0, 5999.0, nan]</t>
  </si>
  <si>
    <t>[444.0, 459.0, 626.0, nan]</t>
  </si>
  <si>
    <t>[5804.0, 5155.0, 6572.0, 7986.0]</t>
  </si>
  <si>
    <t>[2189.0, 2659.0, 2360.0, 2773.0]</t>
  </si>
  <si>
    <t>[2524.0, 3250.0, 3855.0, 4408.0]</t>
  </si>
  <si>
    <t>[46703.0, 50654.0, 58025.0, 68643.0]</t>
  </si>
  <si>
    <t>[2246.0, 2529.0, 2990.0, 3472.0]</t>
  </si>
  <si>
    <t>[2424.0, 2681.0, 3190.0, nan]</t>
  </si>
  <si>
    <t>[755.0, 113.0, 491.0, nan]</t>
  </si>
  <si>
    <t>[8891.0, 9721.0, 11504.0, nan]</t>
  </si>
  <si>
    <t>[329.0, 368.0, 562.0, nan]</t>
  </si>
  <si>
    <t>[149.0, 478.0, 566.0, 643.0]</t>
  </si>
  <si>
    <t>[2389.0, 2274.0, 3696.0, 4645.0]</t>
  </si>
  <si>
    <t>[405.0, 426.0, 586.0, nan]</t>
  </si>
  <si>
    <t>[4722.0, 5323.0, 8003.0, 11010.0]</t>
  </si>
  <si>
    <t>[321.0, 431.0, 623.0, nan]</t>
  </si>
  <si>
    <t>[596.0, 665.0, 788.0, nan]</t>
  </si>
  <si>
    <t>[314.0, 335.0, 379.0, nan]</t>
  </si>
  <si>
    <t>[1021.0, 1129.0, 1200.0, nan]</t>
  </si>
  <si>
    <t>[22.0, 298.0, 533.0, nan]</t>
  </si>
  <si>
    <t>[833.0, 861.0, 1459.0, nan]</t>
  </si>
  <si>
    <t>[159.0, 215.0, 276.0, nan]</t>
  </si>
  <si>
    <t>[24324.0, 26748.0, 23853.0, nan]</t>
  </si>
  <si>
    <t>[952.0, 2045.0, 2803.0, nan]</t>
  </si>
  <si>
    <t>[37.0, 171.0, 456.0, 510.0]</t>
  </si>
  <si>
    <t>[646.0, 761.0, 836.0, nan]</t>
  </si>
  <si>
    <t>[101.0, 337.0, 374.0, nan]</t>
  </si>
  <si>
    <t>[204.0, 272.0, 403.0, nan]</t>
  </si>
  <si>
    <t>[401.0, 464.0, 736.0, nan]</t>
  </si>
  <si>
    <t>[1633.0, 2238.0, 2624.0, nan]</t>
  </si>
  <si>
    <t>[700.0, 812.0, 858.0, nan]</t>
  </si>
  <si>
    <t>[102.0, 797.0, 731.0, 820.0]</t>
  </si>
  <si>
    <t>[1132.0, 1310.0, 2045.0, nan]</t>
  </si>
  <si>
    <t>[2752.0, 3266.0, 11441.0, 13480.0]</t>
  </si>
  <si>
    <t>[595.0, 897.0, 1141.0, nan]</t>
  </si>
  <si>
    <t>[13152.0, 16007.0, 20023.0, 24961.0]</t>
  </si>
  <si>
    <t>[812.0, 958.0, 1073.0, nan]</t>
  </si>
  <si>
    <t>[907.0, 1429.0, 1898.0, nan]</t>
  </si>
  <si>
    <t>[10783.0, 14913.0, 19059.0, 23128.0]</t>
  </si>
  <si>
    <t>[1543.0, 357.0, 930.0, nan]</t>
  </si>
  <si>
    <t>[1676.0, 2099.0, 2529.0, nan]</t>
  </si>
  <si>
    <t>[802.0, 1535.0, 1798.0, 2061.0]</t>
  </si>
  <si>
    <t>[306.0, 345.0, 498.0, nan]</t>
  </si>
  <si>
    <t>[719.0, 1251.0, 2355.0, nan]</t>
  </si>
  <si>
    <t>[918.0, 1156.0, 1397.0, 1712.0]</t>
  </si>
  <si>
    <t>[938.0, 1012.0, 1313.0, nan]</t>
  </si>
  <si>
    <t>[285.0, 712.0, 1176.0, nan]</t>
  </si>
  <si>
    <t>[694.0, 825.0, 1046.0, nan]</t>
  </si>
  <si>
    <t>[611.0, 607.0, 810.0, nan]</t>
  </si>
  <si>
    <t>[846.0, 912.0, 1136.0, nan]</t>
  </si>
  <si>
    <t>[657.0, 745.0, 930.0, 1008.0]</t>
  </si>
  <si>
    <t>[4714.0, 6237.0, 6836.0, 7296.0]</t>
  </si>
  <si>
    <t>[1957.0, 2322.0, 3390.0, nan]</t>
  </si>
  <si>
    <t>[56.0, 151.0, 415.0, nan]</t>
  </si>
  <si>
    <t>[51.0, 115.0, 235.0, nan]</t>
  </si>
  <si>
    <t>[108.0, 203.0, 463.0, nan]</t>
  </si>
  <si>
    <t>[597.0, 599.0, 749.0, nan]</t>
  </si>
  <si>
    <t>[200.0, 325.0, 565.0, nan]</t>
  </si>
  <si>
    <t>[2370.0, 2567.0, 6227.0, 5907.0]</t>
  </si>
  <si>
    <t>[754.0, 1634.0, 2201.0, 2860.0]</t>
  </si>
  <si>
    <t>[-5.0, 27.0, 225.0, nan]</t>
  </si>
  <si>
    <t>[897.0, 1090.0, 1437.0, nan]</t>
  </si>
  <si>
    <t>[-204.0, -294.0, 331.0, 435.0]</t>
  </si>
  <si>
    <t>[673.0, 316.0, 608.0, nan]</t>
  </si>
  <si>
    <t>[15.18, -1.3, 23.75, 11.63]</t>
  </si>
  <si>
    <t>[21.06, 13.09, 7.92, nan]</t>
  </si>
  <si>
    <t>[18.62, 27.81, 24.74, nan]</t>
  </si>
  <si>
    <t>[22.33, 9.15, 21.97, nan]</t>
  </si>
  <si>
    <t>[1.28, 8.98, 18.89, nan]</t>
  </si>
  <si>
    <t>[26.51, 11.17, 15.76, nan]</t>
  </si>
  <si>
    <t>[4.45, 5.09, 15.37, nan]</t>
  </si>
  <si>
    <t>[17.15, 8.36, 11.12, nan]</t>
  </si>
  <si>
    <t>[7.12, 12.77, 12.53, nan]</t>
  </si>
  <si>
    <t>[8.26, 9.64, 12.74, nan]</t>
  </si>
  <si>
    <t>[6.57, 3.8, 16.23, nan]</t>
  </si>
  <si>
    <t>[34.14, 18.04, 5.47, nan]</t>
  </si>
  <si>
    <t>[-3.01, 7.25, 44.64, nan]</t>
  </si>
  <si>
    <t>[-9.45, -11.35, 52.3, nan]</t>
  </si>
  <si>
    <t>[95.87, 50.84, 26.61, nan]</t>
  </si>
  <si>
    <t>[8.45, 18.44, 38.03, 36.19]</t>
  </si>
  <si>
    <t>[-31.4, 113.22, 17.29, nan]</t>
  </si>
  <si>
    <t>[-37.95, 48.53, 8.78, nan]</t>
  </si>
  <si>
    <t>[7.2, 9.27, 12.25, nan]</t>
  </si>
  <si>
    <t>[15.06, 154.56, 2.97, nan]</t>
  </si>
  <si>
    <t>[3.55, 3.17, 17.98, nan]</t>
  </si>
  <si>
    <t>[16.62, 17.6, 21.23, nan]</t>
  </si>
  <si>
    <t>[20.69, 24.67, 14.97, nan]</t>
  </si>
  <si>
    <t>[-117.21, -48.69, 35.83, nan]</t>
  </si>
  <si>
    <t>[3.44, 93.94, 0.7, nan]</t>
  </si>
  <si>
    <t>[19.76, 11.58, 21.57, nan]</t>
  </si>
  <si>
    <t>[-1.1, 12.4, 14.99, nan]</t>
  </si>
  <si>
    <t>[15.7, 10.73, 8.45, nan]</t>
  </si>
  <si>
    <t>[21.18, 6.68, 14.52, nan]</t>
  </si>
  <si>
    <t>[19.01, 125.91, 62.15, 28.9]</t>
  </si>
  <si>
    <t>[0, 17.65, 18.67, nan, nan]</t>
  </si>
  <si>
    <t>[-3.68, 75.7, 39.4, 23.09]</t>
  </si>
  <si>
    <t>[4.12, 20.05, 17.77, nan]</t>
  </si>
  <si>
    <t>[-12.11, 18.52, 16.23, nan]</t>
  </si>
  <si>
    <t>[14.52, 16.96, 12.61, nan]</t>
  </si>
  <si>
    <t>[49.13, 4.74, 4.84, nan]</t>
  </si>
  <si>
    <t>[12.68, 17.95, 11.93, nan]</t>
  </si>
  <si>
    <t>[9.11, 14.57, 36.66, nan]</t>
  </si>
  <si>
    <t>[-6.76, 6.17, 25.23, nan]</t>
  </si>
  <si>
    <t>[-7.29, 43.56, -16.35, nan]</t>
  </si>
  <si>
    <t>[6.57, 15.01, 16.38, nan]</t>
  </si>
  <si>
    <t>[13.88, 5.74, 15.37, 12.79]</t>
  </si>
  <si>
    <t>[4.24, 10.37, 15.39, nan]</t>
  </si>
  <si>
    <t>[12.04, 12.07, 8.72, nan]</t>
  </si>
  <si>
    <t>[13.75, 13.89, 9.93, nan]</t>
  </si>
  <si>
    <t>[-1.75, 4.18, 23.89, nan]</t>
  </si>
  <si>
    <t>[17.94, 30.0, 24.05, nan]</t>
  </si>
  <si>
    <t>[6.68, 79.74, 39.96, 27.94]</t>
  </si>
  <si>
    <t>[21.61, 15.23, 14.44, 13.91]</t>
  </si>
  <si>
    <t>[7.72, 9.68, 11.2, nan]</t>
  </si>
  <si>
    <t>[1.36, 11.93, 23.05, 15.2]</t>
  </si>
  <si>
    <t>[15.94, 10.32, 8.02, nan]</t>
  </si>
  <si>
    <t>[10.87, 20.64, 13.45, nan]</t>
  </si>
  <si>
    <t>[-25.05, 49.96, 30.49, nan]</t>
  </si>
  <si>
    <t>[4.15, 26.21, 12.02, nan]</t>
  </si>
  <si>
    <t>[17.14, 13.67, 15.84, 12.65]</t>
  </si>
  <si>
    <t>[7.48, 37.44, 27.57, nan]</t>
  </si>
  <si>
    <t>[-10.64, 14.48, 15.19, nan]</t>
  </si>
  <si>
    <t>[12.73, 11.95, 12.1, nan]</t>
  </si>
  <si>
    <t>[0, 57.37, 19.76, nan, nan]</t>
  </si>
  <si>
    <t>[11.57, 11.78, 9.57, nan]</t>
  </si>
  <si>
    <t>[-105.2, 46.92, -6.42, nan]</t>
  </si>
  <si>
    <t>[3.18, 76.4, 70.1, 62.77]</t>
  </si>
  <si>
    <t>[11.49, 17.28, 7.82, nan]</t>
  </si>
  <si>
    <t>[13.02, 26.65, 28.01, nan]</t>
  </si>
  <si>
    <t>[3.81, 9.87, 28.21, nan]</t>
  </si>
  <si>
    <t>[26.2, 5.48, 11.65, 12.96]</t>
  </si>
  <si>
    <t>[18.34, 9.97, 11.79, nan]</t>
  </si>
  <si>
    <t>[18.13, 11.93, 14.39, nan]</t>
  </si>
  <si>
    <t>[3.16, 13.5, 10.76, 11.58]</t>
  </si>
  <si>
    <t>[13.08, 14.16, 17.6, nan]</t>
  </si>
  <si>
    <t>[15.86, 14.37, 5.74, nan]</t>
  </si>
  <si>
    <t>[9.82, 10.11, 11.95, nan]</t>
  </si>
  <si>
    <t>[23.81, 10.94, 16.2, 15.73]</t>
  </si>
  <si>
    <t>[12.94, 19.16, 16.39, 16.35]</t>
  </si>
  <si>
    <t>[15.59, 23.54, 19.6, nan]</t>
  </si>
  <si>
    <t>[3.57, -0.5, 75.04, nan]</t>
  </si>
  <si>
    <t>[30.62, 15.65, 70.54, nan]</t>
  </si>
  <si>
    <t>[11.77, 16.91, 24.99, nan]</t>
  </si>
  <si>
    <t>[10.64, 8.39, 11.95, nan]</t>
  </si>
  <si>
    <t>[10.89, 15.4, 18.89, nan]</t>
  </si>
  <si>
    <t>[4.49, 5.6, 15.35, nan]</t>
  </si>
  <si>
    <t>[8.15, 32.92, 6.24, nan]</t>
  </si>
  <si>
    <t>[22.88, 17.98, 28.43, nan]</t>
  </si>
  <si>
    <t>[12.68, 8.49, 12.06, 4.06]</t>
  </si>
  <si>
    <t>[16.67, 13.0, 11.88, nan]</t>
  </si>
  <si>
    <t>[-20.04, 15.25, 32.5, nan]</t>
  </si>
  <si>
    <t>[3.84, 11.37, 16.79, nan]</t>
  </si>
  <si>
    <t>[2.76, 6.89, 20.42, nan]</t>
  </si>
  <si>
    <t>[24.76, 17.27, 11.78, nan]</t>
  </si>
  <si>
    <t>[18.71, 6.2, 17.93, 10.37]</t>
  </si>
  <si>
    <t>[15.33, 2.63, 31.09, nan]</t>
  </si>
  <si>
    <t>[18.07, 12.15, 9.56, nan]</t>
  </si>
  <si>
    <t>[5.99, 16.88, 10.62, nan]</t>
  </si>
  <si>
    <t>[161.64, 41.13, -34.8, nan]</t>
  </si>
  <si>
    <t>[7.8, 13.31, 43.95, nan]</t>
  </si>
  <si>
    <t>[13.6, 10.89, 10.09, nan]</t>
  </si>
  <si>
    <t>[1.65, 92.94, 7.41, nan]</t>
  </si>
  <si>
    <t>[1.8, -1.42, 22.18, nan]</t>
  </si>
  <si>
    <t>[9.33, 13.85, 11.75, nan]</t>
  </si>
  <si>
    <t>[8.4, 8.93, 13.99, nan]</t>
  </si>
  <si>
    <t>[50.19, 5.23, 7.06, nan]</t>
  </si>
  <si>
    <t>[7.81, 10.87, 14.95, nan]</t>
  </si>
  <si>
    <t>[10.23, 14.55, 11.58, nan]</t>
  </si>
  <si>
    <t>[13.01, 14.63, 17.3, nan]</t>
  </si>
  <si>
    <t>[5.97, 8.39, 17.79, nan]</t>
  </si>
  <si>
    <t>[6.54, 38.01, 20.76, nan]</t>
  </si>
  <si>
    <t>[19.94, 5.54, 20.66, 17.88]</t>
  </si>
  <si>
    <t>[1.74, 9.39, 22.81, nan]</t>
  </si>
  <si>
    <t>[-57.29, -36.2, 44.21, nan]</t>
  </si>
  <si>
    <t>[35.27, 17.43, -8.8, 0.41]</t>
  </si>
  <si>
    <t>[14.41, 12.71, 8.05, nan]</t>
  </si>
  <si>
    <t>[1.69, 7.75, 23.52, nan]</t>
  </si>
  <si>
    <t>[2.32, 11.27, 12.69, nan]</t>
  </si>
  <si>
    <t>[5.0, 16.47, 24.92, nan]</t>
  </si>
  <si>
    <t>[-29.81, -35.1, 44.64, nan]</t>
  </si>
  <si>
    <t>[15.11, 30.42, 147.4, nan]</t>
  </si>
  <si>
    <t>[14.66, 15.0, 13.32, 12.64]</t>
  </si>
  <si>
    <t>[-10.87, 22.49, 15.7, nan]</t>
  </si>
  <si>
    <t>[42.78, 54.76, 14.22, nan]</t>
  </si>
  <si>
    <t>[9.34, -168.44, 92.61, nan]</t>
  </si>
  <si>
    <t>[13.5, 9.31, 14.22, nan]</t>
  </si>
  <si>
    <t>[17.19, 16.08, 12.3, nan]</t>
  </si>
  <si>
    <t>[-6.82, 14.07, 29.52, 10.09]</t>
  </si>
  <si>
    <t>[-56.79, 89.16, 102.45, nan]</t>
  </si>
  <si>
    <t>[8.7, 17.04, 54.18, nan]</t>
  </si>
  <si>
    <t>[8.26, -2.52, 27.35, nan]</t>
  </si>
  <si>
    <t>[9.55, 10.26, 14.45, 15.17]</t>
  </si>
  <si>
    <t>[0.83, 11.52, 14.71, nan]</t>
  </si>
  <si>
    <t>[-9.23, 7.54, 32.18, nan]</t>
  </si>
  <si>
    <t>[-10.29, 100.25, 47.94, nan]</t>
  </si>
  <si>
    <t>[-6.16, 21.41, 8.62, nan]</t>
  </si>
  <si>
    <t>[8.5, 8.95, 15.0, 18.31]</t>
  </si>
  <si>
    <t>[27.51, 58.03, 49.26, nan]</t>
  </si>
  <si>
    <t>[2.57, -11.09, 26.12, nan]</t>
  </si>
  <si>
    <t>[11.23, 20.09, 19.27, nan]</t>
  </si>
  <si>
    <t>[4.26, 9.97, 12.86, nan]</t>
  </si>
  <si>
    <t>[-152.52, -196.84, 128.95, nan]</t>
  </si>
  <si>
    <t>[11.61, 22.19, 12.17, nan]</t>
  </si>
  <si>
    <t>[18.57, 15.25, 23.11, 20.21]</t>
  </si>
  <si>
    <t>[11.11, 11.7, 13.58, nan]</t>
  </si>
  <si>
    <t>[29.85, 24.92, 10.34, nan]</t>
  </si>
  <si>
    <t>[37.65, 41.85, 28.97, nan]</t>
  </si>
  <si>
    <t>[12.74, 21.83, 18.51, 13.96]</t>
  </si>
  <si>
    <t>[14.28, 25.3, 1.24, nan]</t>
  </si>
  <si>
    <t>[0.51, 0.32, 20.82, nan]</t>
  </si>
  <si>
    <t>[20.86, 25.1, 76.22, 24.04]</t>
  </si>
  <si>
    <t>[30.57, 10.02, 16.06, nan]</t>
  </si>
  <si>
    <t>[7.56, 8.93, 11.66, 7.21]</t>
  </si>
  <si>
    <t>[22.51, 24.75, -22.52, nan]</t>
  </si>
  <si>
    <t>[2.14, 7.47, 19.37, nan]</t>
  </si>
  <si>
    <t>[15.06, 13.08, 15.77, 13.49]</t>
  </si>
  <si>
    <t>[15.26, 16.06, 22.33, 21.84]</t>
  </si>
  <si>
    <t>[11.73, 12.65, 30.43, 16.42]</t>
  </si>
  <si>
    <t>[12.03, 14.27, 14.97, nan]</t>
  </si>
  <si>
    <t>[14.18, 10.98, 23.91, nan]</t>
  </si>
  <si>
    <t>[4.45, 21.01, 12.59, nan]</t>
  </si>
  <si>
    <t>[29.83, -55.39, 48.51, nan]</t>
  </si>
  <si>
    <t>[2.67, 19.87, 6.5, 6.42]</t>
  </si>
  <si>
    <t>[15.29, 10.1, 22.97, nan]</t>
  </si>
  <si>
    <t>[-3.63, 3.35, 23.41, 22.73]</t>
  </si>
  <si>
    <t>[18.93, 16.94, 16.5, 12.08]</t>
  </si>
  <si>
    <t>[11.47, 1.1, 23.91, 14.61]</t>
  </si>
  <si>
    <t>[5.8, 11.58, 12.68, nan]</t>
  </si>
  <si>
    <t>[14.22, 14.17, 8.48, nan]</t>
  </si>
  <si>
    <t>[8.12, 7.2, 13.29, nan]</t>
  </si>
  <si>
    <t>[10.29, 10.88, 9.64, nan]</t>
  </si>
  <si>
    <t>[9.6, 7.64, 14.72, 15.7]</t>
  </si>
  <si>
    <t>[9.82, 8.03, 14.71, 16.9]</t>
  </si>
  <si>
    <t>[0, 139.69, 72.47, 37.17, 48.8]</t>
  </si>
  <si>
    <t>[8.62, 11.72, 14.23, nan]</t>
  </si>
  <si>
    <t>[10.99, 8.9, 13.5, nan]</t>
  </si>
  <si>
    <t>[32.25, 38.76, -10.55, nan]</t>
  </si>
  <si>
    <t>[5.44, 33.89, 16.0, nan]</t>
  </si>
  <si>
    <t>[14.26, 9.72, 11.31, nan]</t>
  </si>
  <si>
    <t>[27.34, 42.92, 23.47, nan]</t>
  </si>
  <si>
    <t>[8.25, 6.17, 14.43, nan]</t>
  </si>
  <si>
    <t>[34.66, 21.14, 11.03, nan]</t>
  </si>
  <si>
    <t>[-17.87, -92.56, 87.37, nan]</t>
  </si>
  <si>
    <t>[6.72, 24.25, 10.96, nan]</t>
  </si>
  <si>
    <t>[11.14, 16.73, 14.79, 12.57]</t>
  </si>
  <si>
    <t>[18.57, 20.65, 11.64, nan]</t>
  </si>
  <si>
    <t>[6.73, 10.21, 24.75, 23.7]</t>
  </si>
  <si>
    <t>[8.8, 11.06, 16.47, 13.54]</t>
  </si>
  <si>
    <t>[-22.8, 13.7, 31.51, 19.85]</t>
  </si>
  <si>
    <t>[5.91, 10.45, 16.75, nan]</t>
  </si>
  <si>
    <t>[10.56, 15.21, 106.72, 5.57]</t>
  </si>
  <si>
    <t>[2.48, 23.72, 22.49, 24.55]</t>
  </si>
  <si>
    <t>[8.79, 4.78, 18.34, 15.0]</t>
  </si>
  <si>
    <t>[5.55, 20.0, 5.79, nan]</t>
  </si>
  <si>
    <t>[9.18, 12.7, 8.83, 7.66]</t>
  </si>
  <si>
    <t>[32.69, 11.94, 17.38, nan]</t>
  </si>
  <si>
    <t>[10.36, 10.06, 12.8, 13.38]</t>
  </si>
  <si>
    <t>[-55.46, 8.92, 88.62, 69.64]</t>
  </si>
  <si>
    <t>[6.22, 7.49, 25.58, 4.06]</t>
  </si>
  <si>
    <t>[25.13, 16.59, 153.88, nan]</t>
  </si>
  <si>
    <t>[11.5, 7.48, 12.09, nan]</t>
  </si>
  <si>
    <t>[23.04, 23.71, 19.95, nan]</t>
  </si>
  <si>
    <t>[11.74, 11.84, 26.52, 7.24]</t>
  </si>
  <si>
    <t>[6.81, 8.94, 13.33, 13.35]</t>
  </si>
  <si>
    <t>[7.15, 12.86, 13.66, nan]</t>
  </si>
  <si>
    <t>[9.12, 10.32, 14.77, 7.24]</t>
  </si>
  <si>
    <t>[-26.19, -9.89, 23.93, 19.47]</t>
  </si>
  <si>
    <t>[4.79, 7.35, 26.41, 10.11]</t>
  </si>
  <si>
    <t>[4.81, -5.16, 21.32, nan]</t>
  </si>
  <si>
    <t>[13.1, 14.21, 7.92, nan]</t>
  </si>
  <si>
    <t>[11.21, 12.02, 12.48, 8.71]</t>
  </si>
  <si>
    <t>[14.61, 18.85, 21.11, nan]</t>
  </si>
  <si>
    <t>[9.18, 13.04, 26.34, 18.71]</t>
  </si>
  <si>
    <t>[7.58, 23.09, 28.15, nan]</t>
  </si>
  <si>
    <t>[6.5, 5.05, 14.69, 17.16]</t>
  </si>
  <si>
    <t>[11.84, 20.18, 47.76, 21.57]</t>
  </si>
  <si>
    <t>[3.2, 6.89, 28.4, 12.58]</t>
  </si>
  <si>
    <t>[6.93, 5.54, 23.53, nan]</t>
  </si>
  <si>
    <t>[16.94, 18.69, 24.9, nan]</t>
  </si>
  <si>
    <t>[1.51, 30.48, 11.19, 4.77]</t>
  </si>
  <si>
    <t>[12.66, 14.88, 22.91, 12.85]</t>
  </si>
  <si>
    <t>[11.52, 14.71, 9.77, nan]</t>
  </si>
  <si>
    <t>[9.85, 14.91, 12.41, 9.11]</t>
  </si>
  <si>
    <t>[2.17, 7.54, 17.98, 21.68]</t>
  </si>
  <si>
    <t>[-20.45, -30.93, 51.92, nan]</t>
  </si>
  <si>
    <t>[8.15, 9.89, 16.94, 9.74]</t>
  </si>
  <si>
    <t>[14.15, 18.18, 13.28, 13.82]</t>
  </si>
  <si>
    <t>[-4.09, 22.75, 17.35, nan]</t>
  </si>
  <si>
    <t>[12.38, 14.88, 17.58, nan]</t>
  </si>
  <si>
    <t>[16.1, 15.94, 26.53, nan]</t>
  </si>
  <si>
    <t>[14.02, 11.0, 8.36, nan]</t>
  </si>
  <si>
    <t>[16.97, 27.63, 25.38, 13.5]</t>
  </si>
  <si>
    <t>[8.38, 61.96, 11.08, nan]</t>
  </si>
  <si>
    <t>[33.47, -24.87, 22.29, nan]</t>
  </si>
  <si>
    <t>[0.54, 13.21, 30.85, nan]</t>
  </si>
  <si>
    <t>[5.49, 3.25, 17.16, 16.27]</t>
  </si>
  <si>
    <t>[1.23, 2.88, 37.58, nan]</t>
  </si>
  <si>
    <t>[3.39, 1.92, 21.53, 9.03]</t>
  </si>
  <si>
    <t>[18.14, 16.27, 27.12, 13.62]</t>
  </si>
  <si>
    <t>[-11.06, -5.36, 20.34, nan]</t>
  </si>
  <si>
    <t>[4.73, 4.05, 21.36, nan]</t>
  </si>
  <si>
    <t>[10.27, 21.96, 3.61, nan]</t>
  </si>
  <si>
    <t>[12.72, 9.44, 14.37, 9.53]</t>
  </si>
  <si>
    <t>[-25.92, 4.19, 30.23, nan]</t>
  </si>
  <si>
    <t>[0.97, 34.98, 25.1, 13.72]</t>
  </si>
  <si>
    <t>[20.64, 7.84, 11.52, 12.2]</t>
  </si>
  <si>
    <t>[7.58, 16.99, 9.57, nan]</t>
  </si>
  <si>
    <t>[11.44, 17.09, 35.28, nan]</t>
  </si>
  <si>
    <t>[15.21, 18.96, 7.55, 5.8]</t>
  </si>
  <si>
    <t>[7.85, 14.22, 20.28, nan]</t>
  </si>
  <si>
    <t>[9.05, 11.72, 14.78, nan]</t>
  </si>
  <si>
    <t>[2.09, 4.61, 20.22, 11.33]</t>
  </si>
  <si>
    <t>[11.59, 6.47, 24.63, 11.82]</t>
  </si>
  <si>
    <t>[5.55, 5.68, 15.07, nan]</t>
  </si>
  <si>
    <t>[5.07, 15.09, 11.21, 14.96]</t>
  </si>
  <si>
    <t>[8.04, 17.83, 25.89, 22.86]</t>
  </si>
  <si>
    <t>[10.84, 16.61, 14.83, nan]</t>
  </si>
  <si>
    <t>[13.52, 13.39, 11.45, nan]</t>
  </si>
  <si>
    <t>[29.38, -62.65, 73.56, nan]</t>
  </si>
  <si>
    <t>[23.08, 18.86, 36.86, nan]</t>
  </si>
  <si>
    <t>[5.26, 1.54, 27.4, 26.33]</t>
  </si>
  <si>
    <t>[13.56, 13.59, 15.66, 23.9]</t>
  </si>
  <si>
    <t>[12.68, 10.8, 23.53, nan]</t>
  </si>
  <si>
    <t>[1.83, 30.04, 7.79, nan]</t>
  </si>
  <si>
    <t>[-17.72, 20.12, 7.92, nan]</t>
  </si>
  <si>
    <t>[-12.8, -1.67, 33.1, nan]</t>
  </si>
  <si>
    <t>[-4.35, -2.65, 38.34, nan]</t>
  </si>
  <si>
    <t>[9.87, 10.29, 20.51, nan]</t>
  </si>
  <si>
    <t>[8.33, 5.72, 19.6, nan]</t>
  </si>
  <si>
    <t>[13.24, 16.92, 25.09, nan]</t>
  </si>
  <si>
    <t>[12.32, 13.22, 10.74, 11.14]</t>
  </si>
  <si>
    <t>[21.69, 27.27, 13.92, nan]</t>
  </si>
  <si>
    <t>[-197.47, 123.7, -82.19, nan]</t>
  </si>
  <si>
    <t>[15.51, 17.73, 35.65, 24.94]</t>
  </si>
  <si>
    <t>[4.56, 13.3, 27.84, 19.08]</t>
  </si>
  <si>
    <t>[13.61, 15.2, 12.89, nan]</t>
  </si>
  <si>
    <t>[0, 3.18, 78.53, nan, nan]</t>
  </si>
  <si>
    <t>[16.78, 47.04, 32.75, nan]</t>
  </si>
  <si>
    <t>[22.86, 29.7, 12.59, 49.93]</t>
  </si>
  <si>
    <t>[23.33, 16.23, 14.28, nan]</t>
  </si>
  <si>
    <t>[22.72, 24.73, 16.46, nan]</t>
  </si>
  <si>
    <t>[4.23, 9.53, 16.84, 14.03]</t>
  </si>
  <si>
    <t>[23.63, 25.11, 19.65, 19.74]</t>
  </si>
  <si>
    <t>[23.95, 37.24, 43.0, nan]</t>
  </si>
  <si>
    <t>[-10.56, 21.31, 45.49, nan]</t>
  </si>
  <si>
    <t>[13.02, 11.68, 34.08, nan]</t>
  </si>
  <si>
    <t>[0, 31.22, 26.88, nan, nan]</t>
  </si>
  <si>
    <t>[24.71, 35.59, 16.38, nan]</t>
  </si>
  <si>
    <t>[-5.58, 14.99, 23.26, nan]</t>
  </si>
  <si>
    <t>[17.88, 47.0, 22.11, nan]</t>
  </si>
  <si>
    <t>[25.86, 51.02, 23.61, nan]</t>
  </si>
  <si>
    <t>[-3.03, 56.72, 0.56, 6.3]</t>
  </si>
  <si>
    <t>[-7.82, 65.5, 120.63, nan]</t>
  </si>
  <si>
    <t>[8.57, 19.78, 34.68, 24.76]</t>
  </si>
  <si>
    <t>[6.97, 8.2, 27.72, nan]</t>
  </si>
  <si>
    <t>[17.4, 23.07, 33.35, 43.58]</t>
  </si>
  <si>
    <t>[19.83, 15.06, 29.42, 25.74]</t>
  </si>
  <si>
    <t>[15.91, 64.06, 6.73, nan]</t>
  </si>
  <si>
    <t>[99.21, 61.86, 17.86, 13.54]</t>
  </si>
  <si>
    <t>[18.76, 15.09, 12.92, nan]</t>
  </si>
  <si>
    <t>[15.07, 14.85, 14.8, 14.49]</t>
  </si>
  <si>
    <t>[-3.26, -29.51, 35.21, 26.76]</t>
  </si>
  <si>
    <t>[21.19, 18.38, 19.71, 15.89]</t>
  </si>
  <si>
    <t>[81.43, 52.24, 5.95, nan]</t>
  </si>
  <si>
    <t>[15.71, 15.9, 15.89, 18.29]</t>
  </si>
  <si>
    <t>[7.78, 16.95, 13.41, 9.0]</t>
  </si>
  <si>
    <t>[2.64, 12.12, 34.06, 8.69]</t>
  </si>
  <si>
    <t>[21.77, 25.21, 18.84, nan]</t>
  </si>
  <si>
    <t>[9.59, 12.83, 20.2, nan]</t>
  </si>
  <si>
    <t>[21.36, 25.66, 12.18, 14.45]</t>
  </si>
  <si>
    <t>[15.54, 10.06, 16.77, 14.92]</t>
  </si>
  <si>
    <t>[15.63, 14.05, 14.16, nan]</t>
  </si>
  <si>
    <t>[-21.86, 4.94, 32.21, nan]</t>
  </si>
  <si>
    <t>[3.45, -11.52, 23.21, 22.51]</t>
  </si>
  <si>
    <t>[7.13, 13.44, 15.62, 16.09]</t>
  </si>
  <si>
    <t>[23.84, 27.88, 19.67, 17.05]</t>
  </si>
  <si>
    <t>[11.25, 12.45, 14.41, 19.03]</t>
  </si>
  <si>
    <t>[47.71, 16.1, 14.32, 16.93]</t>
  </si>
  <si>
    <t>[49.82, 10.45, 16.32, nan]</t>
  </si>
  <si>
    <t>[2.52, -148.07, 38.07, nan]</t>
  </si>
  <si>
    <t>[-7.44, 7.18, 17.99, nan]</t>
  </si>
  <si>
    <t>[-9.79, -1.77, 32.32, nan]</t>
  </si>
  <si>
    <t>[59.19, 15.65, 14.0, 12.74]</t>
  </si>
  <si>
    <t>[12.28, -3.52, 48.74, 24.09]</t>
  </si>
  <si>
    <t>[5.19, 11.42, 36.24, nan]</t>
  </si>
  <si>
    <t>[8.39, 14.44, 44.49, 39.69]</t>
  </si>
  <si>
    <t>[14.93, 20.55, 18.85, nan]</t>
  </si>
  <si>
    <t>[25.33, 16.13, 19.71, nan]</t>
  </si>
  <si>
    <t>[17.76, 7.79, 13.61, nan]</t>
  </si>
  <si>
    <t>[14.07, 12.81, 9.75, nan]</t>
  </si>
  <si>
    <t>[138.53, 26.97, 17.34, nan]</t>
  </si>
  <si>
    <t>[19.7, 10.24, 14.77, 14.54]</t>
  </si>
  <si>
    <t>[-55.55, 29.7, 19.7, nan]</t>
  </si>
  <si>
    <t>[12.76, 16.88, 26.08, nan]</t>
  </si>
  <si>
    <t>[-12.14, 12.0, 18.55, nan]</t>
  </si>
  <si>
    <t>[-33.34, -33.65, 64.68, 10.36]</t>
  </si>
  <si>
    <t>[17.69, 20.23, 16.69, nan]</t>
  </si>
  <si>
    <t>[61.06, 22.2, 13.88, nan]</t>
  </si>
  <si>
    <t>[4.2, -68.72, 38.58, nan]</t>
  </si>
  <si>
    <t>[21.89, 15.71, 35.74, nan]</t>
  </si>
  <si>
    <t>[17.5, 19.23, 19.4, nan]</t>
  </si>
  <si>
    <t>[32.82, 14.51, 5.79, nan]</t>
  </si>
  <si>
    <t>[43.92, 40.43, -9.3, 10.77]</t>
  </si>
  <si>
    <t>[17.52, 15.31, 19.17, nan]</t>
  </si>
  <si>
    <t>[9.33, 8.18, 32.7, 16.29]</t>
  </si>
  <si>
    <t>[25.08, 31.34, 45.6, nan]</t>
  </si>
  <si>
    <t>[27.49, 17.32, 20.67, 21.34]</t>
  </si>
  <si>
    <t>[27.38, 22.19, 13.33, nan]</t>
  </si>
  <si>
    <t>[5.49, 45.58, 1.9, nan]</t>
  </si>
  <si>
    <t>[30.74, 31.51, 27.41, 24.34]</t>
  </si>
  <si>
    <t>[-33.7, -128.28, 45.03, nan]</t>
  </si>
  <si>
    <t>[10.07, 26.2, 17.0, nan]</t>
  </si>
  <si>
    <t>[43.7, 20.4, 17.91, 16.77]</t>
  </si>
  <si>
    <t>[11.45, 14.38, 15.0, nan]</t>
  </si>
  <si>
    <t>[0, 12.99, 18.76, nan, nan]</t>
  </si>
  <si>
    <t>[17.23, 24.25, 20.68, 20.59]</t>
  </si>
  <si>
    <t>[13.79, 8.03, 28.18, nan]</t>
  </si>
  <si>
    <t>[16.42, 44.1, 42.97, 29.77]</t>
  </si>
  <si>
    <t>[33.03, 20.6, 24.74, 27.62]</t>
  </si>
  <si>
    <t>[3.85, 5.06, 21.18, nan]</t>
  </si>
  <si>
    <t>[8.95, 7.6, 22.13, nan]</t>
  </si>
  <si>
    <t>[14.48, 17.55, 25.21, 14.55]</t>
  </si>
  <si>
    <t>[6.39, 29.27, 5.48, 8.17]</t>
  </si>
  <si>
    <t>[13.96, 7.87, 19.72, nan]</t>
  </si>
  <si>
    <t>[0, 84.78, 12.88, nan, nan]</t>
  </si>
  <si>
    <t>[0, 77.58, -77.93, nan, nan]</t>
  </si>
  <si>
    <t>[176.12, 30.63, -7.1, nan]</t>
  </si>
  <si>
    <t>[15.67, 8.18, 23.13, nan]</t>
  </si>
  <si>
    <t>[153.4, 118.16, 0, nan, nan]</t>
  </si>
  <si>
    <t>[-4.03, -2.81, 69.74, -3.6]</t>
  </si>
  <si>
    <t>[35.28, 32.1, 30.41, 27.62]</t>
  </si>
  <si>
    <t>[0, 293.25, 61.87, nan, nan]</t>
  </si>
  <si>
    <t>[24.22, 21.96, 26.48, 28.61]</t>
  </si>
  <si>
    <t>[nan, 0, 171.21, 26.56, nan]</t>
  </si>
  <si>
    <t>[-112.11, -47.3, 49.76, nan]</t>
  </si>
  <si>
    <t>[5.06, nan, 3.3, 8.66]</t>
  </si>
  <si>
    <t>[8.35, 12.16, 12.09, nan]</t>
  </si>
  <si>
    <t>[3.78, 2.82, 2.63, nan]</t>
  </si>
  <si>
    <t>[7.87, 16.48, 6.19, nan]</t>
  </si>
  <si>
    <t>[55.93, 10.12, 5.85, nan]</t>
  </si>
  <si>
    <t>[3.85, 5.73, 4.54, nan]</t>
  </si>
  <si>
    <t>[9.5, 8.44, 3.51, nan]</t>
  </si>
  <si>
    <t>[5.67, 10.17, 7.59, nan]</t>
  </si>
  <si>
    <t>[11.59, 7.49, 6.54, nan]</t>
  </si>
  <si>
    <t>[4.62, 5.36, 4.85, nan]</t>
  </si>
  <si>
    <t>[11.2, 15.86, 4.96, nan]</t>
  </si>
  <si>
    <t>[nan, 10.06, 20.55, nan]</t>
  </si>
  <si>
    <t>[nan, 16.93, 5.49, nan]</t>
  </si>
  <si>
    <t>[nan, nan, 5.86, nan]</t>
  </si>
  <si>
    <t>[nan, 8.1, 10.45, nan]</t>
  </si>
  <si>
    <t>[12.68, 8.3, 4.86, 3.17]</t>
  </si>
  <si>
    <t>[nan, 10.51, 17.59, nan]</t>
  </si>
  <si>
    <t>[nan, 0.79, 4.1, nan]</t>
  </si>
  <si>
    <t>[4.0, 2.86, 1.94, nan]</t>
  </si>
  <si>
    <t>[6.0, 0.44, 23.06, nan]</t>
  </si>
  <si>
    <t>[13.51, 14.38, 3.95, nan]</t>
  </si>
  <si>
    <t>[5.84, 5.58, 7.39, nan]</t>
  </si>
  <si>
    <t>[7.66, 10.8, 8.29, nan]</t>
  </si>
  <si>
    <t>[nan, nan, 2.95, nan]</t>
  </si>
  <si>
    <t>[71.39, 1.28, 161.78, nan]</t>
  </si>
  <si>
    <t>[6.82, 6.87, 5.06, nan]</t>
  </si>
  <si>
    <t>[nan, 4.95, 4.13, nan]</t>
  </si>
  <si>
    <t>[5.07, 11.56, 15.61, nan]</t>
  </si>
  <si>
    <t>[9.29, 22.67, 7.92, nan]</t>
  </si>
  <si>
    <t>[30.16, 10.09, 5.94, 5.82]</t>
  </si>
  <si>
    <t>[nan, nan, 6.89, nan]</t>
  </si>
  <si>
    <t>[nan, nan, 4.8, 4.02]</t>
  </si>
  <si>
    <t>[27.44, 9.84, 8.96, nan]</t>
  </si>
  <si>
    <t>[nan, 4.19, 7.69, nan]</t>
  </si>
  <si>
    <t>[7.86, 7.57, 5.92, nan]</t>
  </si>
  <si>
    <t>[6.26, 24.55, 16.76, nan]</t>
  </si>
  <si>
    <t>[10.5, 12.6, 12.11, nan]</t>
  </si>
  <si>
    <t>[12.7, 10.17, 5.2, nan]</t>
  </si>
  <si>
    <t>[nan, 8.42, 2.84, nan]</t>
  </si>
  <si>
    <t>[nan, 2.98, nan, nan]</t>
  </si>
  <si>
    <t>[6.01, 2.81, 13.11, nan]</t>
  </si>
  <si>
    <t>[9.52, 21.1, 7.41, 6.81]</t>
  </si>
  <si>
    <t>[14.73, 9.02, 7.7, nan]</t>
  </si>
  <si>
    <t>[6.39, 5.83, 8.26, nan]</t>
  </si>
  <si>
    <t>[8.02, 6.57, 8.06, nan]</t>
  </si>
  <si>
    <t>[nan, 16.16, 2.4, nan]</t>
  </si>
  <si>
    <t>[13.21, 11.78, 10.16, nan]</t>
  </si>
  <si>
    <t>[5.87, 1.16, 2.3, 2.02]</t>
  </si>
  <si>
    <t>[9.49, 13.25, 11.02, 7.22]</t>
  </si>
  <si>
    <t>[4.93, 4.92, 3.71, nan]</t>
  </si>
  <si>
    <t>[44.52, 10.05, 5.68, 6.65]</t>
  </si>
  <si>
    <t>[3.4, 2.93, 2.28, nan]</t>
  </si>
  <si>
    <t>[7.31, 5.25, 5.02, nan]</t>
  </si>
  <si>
    <t>[nan, 13.66, 11.17, nan]</t>
  </si>
  <si>
    <t>[31.85, 6.61, 12.07, nan]</t>
  </si>
  <si>
    <t>[10.5, 9.51, 7.26, 7.02]</t>
  </si>
  <si>
    <t>[18.61, 11.97, 6.76, nan]</t>
  </si>
  <si>
    <t>[nan, 11.11, 12.28, nan]</t>
  </si>
  <si>
    <t>[8.96, 14.62, 11.85, nan]</t>
  </si>
  <si>
    <t>[nan, nan, 11.73, nan]</t>
  </si>
  <si>
    <t>[4.64, 4.03, 5.8, nan]</t>
  </si>
  <si>
    <t>[nan, 2.92, nan, nan]</t>
  </si>
  <si>
    <t>[53.03, 5.07, 3.42, 2.7]</t>
  </si>
  <si>
    <t>[4.38, 3.18, 6.68, nan]</t>
  </si>
  <si>
    <t>[nan, nan, 6.43, nan]</t>
  </si>
  <si>
    <t>[15.14, 5.81, 3.8, nan]</t>
  </si>
  <si>
    <t>[3.85, 15.06, 6.48, 6.42]</t>
  </si>
  <si>
    <t>[6.74, 11.37, 7.6, nan]</t>
  </si>
  <si>
    <t>[9.73, 14.1, 8.1, nan]</t>
  </si>
  <si>
    <t>[27.12, 9.1, 10.36, 8.52]</t>
  </si>
  <si>
    <t>[4.66, 5.1, 3.93, nan]</t>
  </si>
  <si>
    <t>[8.17, 9.57, 16.61, nan]</t>
  </si>
  <si>
    <t>[8.77, 8.57, 7.47, nan]</t>
  </si>
  <si>
    <t>[12.14, 19.11, 9.26, 6.82]</t>
  </si>
  <si>
    <t>[11.33, 10.0, 11.04, 6.55]</t>
  </si>
  <si>
    <t>[9.99, 8.77, 10.84, nan]</t>
  </si>
  <si>
    <t>[21.21, nan, 1.47, nan]</t>
  </si>
  <si>
    <t>[8.11, 12.89, 2.7, nan]</t>
  </si>
  <si>
    <t>[8.94, 7.86, 7.55, nan]</t>
  </si>
  <si>
    <t>[5.41, 6.63, 5.08, nan]</t>
  </si>
  <si>
    <t>[4.5, 5.28, 4.77, nan]</t>
  </si>
  <si>
    <t>[8.6, 17.29, 5.06, nan]</t>
  </si>
  <si>
    <t>[11.79, 4.26, 12.53, nan]</t>
  </si>
  <si>
    <t>[12.85, 10.72, 6.58, nan]</t>
  </si>
  <si>
    <t>[12.37, 25.5, 15.72, 20.24]</t>
  </si>
  <si>
    <t>[4.15, 4.92, 3.14, nan]</t>
  </si>
  <si>
    <t>[nan, 5.54, 1.72, nan]</t>
  </si>
  <si>
    <t>[32.06, 16.07, 8.86, nan]</t>
  </si>
  <si>
    <t>[32.56, 11.13, 4.12, nan]</t>
  </si>
  <si>
    <t>[nan, 18.05, 15.71, nan]</t>
  </si>
  <si>
    <t>[11.72, 27.74, 9.97, 10.38]</t>
  </si>
  <si>
    <t>[6.1, 33.16, 3.0, nan]</t>
  </si>
  <si>
    <t>[11.08, 9.98, 11.82, nan]</t>
  </si>
  <si>
    <t>[13.31, 6.15, 9.06, nan]</t>
  </si>
  <si>
    <t>[nan, nan, nan, nan]</t>
  </si>
  <si>
    <t>[24.93, 15.97, 4.16, nan]</t>
  </si>
  <si>
    <t>[6.49, 7.67, 9.11, nan]</t>
  </si>
  <si>
    <t>[42.17, 0.49, 6.95, nan]</t>
  </si>
  <si>
    <t>[24.19, nan, 2.47, nan]</t>
  </si>
  <si>
    <t>[7.5, 6.38, 6.62, nan]</t>
  </si>
  <si>
    <t>[6.49, 5.33, 5.43, nan]</t>
  </si>
  <si>
    <t>[1.96, 18.15, 11.87, nan]</t>
  </si>
  <si>
    <t>[4.98, 5.7, 5.01, nan]</t>
  </si>
  <si>
    <t>[5.11, 5.53, 5.55, nan]</t>
  </si>
  <si>
    <t>[7.22, 6.87, 6.7, nan]</t>
  </si>
  <si>
    <t>[10.33, 7.25, 4.42, nan]</t>
  </si>
  <si>
    <t>[6.23, 2.82, 8.28, nan]</t>
  </si>
  <si>
    <t>[4.6, 26.36, 6.26, 5.53]</t>
  </si>
  <si>
    <t>[67.05, 9.15, 4.67, nan]</t>
  </si>
  <si>
    <t>[nan, nan, 3.21, nan]</t>
  </si>
  <si>
    <t>[nan, 11.02, nan, 199.7]</t>
  </si>
  <si>
    <t>[8.77, 9.61, 11.34, nan]</t>
  </si>
  <si>
    <t>[25.67, 9.05, 3.34, nan]</t>
  </si>
  <si>
    <t>[33.25, 6.31, 5.29, nan]</t>
  </si>
  <si>
    <t>[11.1, 16.4, 6.29, nan]</t>
  </si>
  <si>
    <t>[nan, nan, 4.46, nan]</t>
  </si>
  <si>
    <t>[19.88, 14.3, 1.24, nan]</t>
  </si>
  <si>
    <t>[10.32, 11.43, 8.42, 7.32]</t>
  </si>
  <si>
    <t>[nan, 12.65, 11.43, nan]</t>
  </si>
  <si>
    <t>[2.08, 1.09, 2.81, nan]</t>
  </si>
  <si>
    <t>[16.24, nan, 1.54, nan]</t>
  </si>
  <si>
    <t>[7.18, 9.86, 6.78, nan]</t>
  </si>
  <si>
    <t>[nan, nan, 14.25, nan]</t>
  </si>
  <si>
    <t>[nan, 14.33, 4.76, 7.82]</t>
  </si>
  <si>
    <t>[nan, 16.58, 3.06, nan]</t>
  </si>
  <si>
    <t>[13.8, 8.52, 3.86, nan]</t>
  </si>
  <si>
    <t>[11.09, nan, 4.78, nan]</t>
  </si>
  <si>
    <t>[13.61, 13.34, 8.45, 6.27]</t>
  </si>
  <si>
    <t>[134.37, 16.07, 8.77, nan]</t>
  </si>
  <si>
    <t>[nan, 11.82, 5.81, nan]</t>
  </si>
  <si>
    <t>[nan, 3.49, 4.39, nan]</t>
  </si>
  <si>
    <t>[nan, 2.05, 8.44, nan]</t>
  </si>
  <si>
    <t>[6.22, 12.84, 7.38, 5.51]</t>
  </si>
  <si>
    <t>[6.93, 3.75, 5.12, nan]</t>
  </si>
  <si>
    <t>[51.13, nan, 5.04, nan]</t>
  </si>
  <si>
    <t>[5.49, 3.53, 3.67, nan]</t>
  </si>
  <si>
    <t>[23.41, 10.72, 10.7, nan]</t>
  </si>
  <si>
    <t>[nan, nan, 1.35, nan]</t>
  </si>
  <si>
    <t>[3.62, 1.65, 2.98, nan]</t>
  </si>
  <si>
    <t>[7.56, 12.49, 11.73, 6.34]</t>
  </si>
  <si>
    <t>[9.08, 5.26, 2.84, nan]</t>
  </si>
  <si>
    <t>[11.5, 9.99, 18.25, nan]</t>
  </si>
  <si>
    <t>[13.51, 14.17, 11.75, 9.11]</t>
  </si>
  <si>
    <t>[4.98, 2.72, 58.68, nan]</t>
  </si>
  <si>
    <t>[170.5, 241.63, 4.02, nan]</t>
  </si>
  <si>
    <t>[7.18, 6.68, 2.93, 3.93]</t>
  </si>
  <si>
    <t>[1.52, 4.42, 3.69, nan]</t>
  </si>
  <si>
    <t>[9.31, 9.25, 5.94, 6.56]</t>
  </si>
  <si>
    <t>[3.0, 2.59, nan, nan]</t>
  </si>
  <si>
    <t>[22.13, 8.14, 3.09, nan]</t>
  </si>
  <si>
    <t>[4.8, 4.74, 4.87, 4.43]</t>
  </si>
  <si>
    <t>[4.15, 2.74, 7.47, 3.99]</t>
  </si>
  <si>
    <t>[6.92, 7.16, 3.31, 4.41]</t>
  </si>
  <si>
    <t>[5.84, 5.17, 4.6, nan]</t>
  </si>
  <si>
    <t>[6.06, 7.18, 5.37, nan]</t>
  </si>
  <si>
    <t>[16.74, 3.4, 4.93, nan]</t>
  </si>
  <si>
    <t>[1.36, nan, 1.85, nan]</t>
  </si>
  <si>
    <t>[33.39, 4.63, 11.96, 9.94]</t>
  </si>
  <si>
    <t>[3.05, 6.87, 2.86, nan]</t>
  </si>
  <si>
    <t>[nan, 11.9, 2.76, 1.84]</t>
  </si>
  <si>
    <t>[8.25, 9.82, 8.48, 7.18]</t>
  </si>
  <si>
    <t>[6.25, 85.14, 3.15, 3.72]</t>
  </si>
  <si>
    <t>[10.14, 4.7, 4.23, nan]</t>
  </si>
  <si>
    <t>[4.07, 3.77, 5.25, nan]</t>
  </si>
  <si>
    <t>[5.71, 7.46, 4.24, nan]</t>
  </si>
  <si>
    <t>[7.88, 9.35, 11.72, nan]</t>
  </si>
  <si>
    <t>[5.43, 4.91, 2.89, 2.39]</t>
  </si>
  <si>
    <t>[9.13, 9.51, 6.49, 4.41]</t>
  </si>
  <si>
    <t>[nan, nan, 5.14, 4.32]</t>
  </si>
  <si>
    <t>[8.61, 6.45, 4.88, nan]</t>
  </si>
  <si>
    <t>[4.37, 6.15, 5.18, nan]</t>
  </si>
  <si>
    <t>[2.66, 3.71, nan, nan]</t>
  </si>
  <si>
    <t>[17.35, 3.1, 8.75, nan]</t>
  </si>
  <si>
    <t>[4.3, 6.06, 6.38, nan]</t>
  </si>
  <si>
    <t>[11.32, 6.4, 9.48, nan]</t>
  </si>
  <si>
    <t>[10.74, 13.94, 7.12, nan]</t>
  </si>
  <si>
    <t>[6.09, 5.81, 9.05, nan]</t>
  </si>
  <si>
    <t>[nan, nan, 2.07, nan]</t>
  </si>
  <si>
    <t>[10.45, 3.21, 6.38, nan]</t>
  </si>
  <si>
    <t>[12.95, 11.13, 9.52, 8.12]</t>
  </si>
  <si>
    <t>[5.79, 6.67, 8.63, nan]</t>
  </si>
  <si>
    <t>[4.93, 5.26, 2.71, 2.23]</t>
  </si>
  <si>
    <t>[9.44, 7.3, 4.95, 4.66]</t>
  </si>
  <si>
    <t>[nan, 7.8, 4.06, 4.11]</t>
  </si>
  <si>
    <t>[9.85, 6.05, 4.38, nan]</t>
  </si>
  <si>
    <t>[52.72, 47.97, 3.77, 31.73]</t>
  </si>
  <si>
    <t>[20.41, 3.22, 2.93, 2.57]</t>
  </si>
  <si>
    <t>[7.66, 18.28, 4.9, 4.29]</t>
  </si>
  <si>
    <t>[6.69, 1.82, 5.81, nan]</t>
  </si>
  <si>
    <t>[6.46, 4.2, 5.39, 5.35]</t>
  </si>
  <si>
    <t>[1.59, 7.19, 5.71, nan]</t>
  </si>
  <si>
    <t>[3.16, 3.06, 3.25, 2.53]</t>
  </si>
  <si>
    <t>[nan, 36.32, 2.46, 1.19]</t>
  </si>
  <si>
    <t>[22.7, 15.75, 3.39, 15.46]</t>
  </si>
  <si>
    <t>[7.83, 7.57, 0.38, nan]</t>
  </si>
  <si>
    <t>[4.46, 5.6, 8.88, nan]</t>
  </si>
  <si>
    <t>[3.17, 3.94, 3.6, nan]</t>
  </si>
  <si>
    <t>[4.75, 5.73, 1.47, 5.01]</t>
  </si>
  <si>
    <t>[9.85, 5.61, 4.4, 5.06]</t>
  </si>
  <si>
    <t>[3.7, 2.05, 2.38, nan]</t>
  </si>
  <si>
    <t>[8.02, 5.88, 4.08, 6.66]</t>
  </si>
  <si>
    <t>[nan, nan, 3.83, 4.46]</t>
  </si>
  <si>
    <t>[10.95, 7.61, 2.62, 4.91]</t>
  </si>
  <si>
    <t>[18.93, nan, 2.95, nan]</t>
  </si>
  <si>
    <t>[3.46, 4.32, 6.69, nan]</t>
  </si>
  <si>
    <t>[7.79, 7.5, 5.82, 7.1]</t>
  </si>
  <si>
    <t>[4.6, 3.57, 2.72, nan]</t>
  </si>
  <si>
    <t>[3.3, 2.89, 2.11, 2.42]</t>
  </si>
  <si>
    <t>[28.74, 9.57, 6.3, nan]</t>
  </si>
  <si>
    <t>[9.83, 17.0, 7.0, 5.11]</t>
  </si>
  <si>
    <t>[8.81, 8.33, 2.83, 3.61]</t>
  </si>
  <si>
    <t>[35.65, 12.63, 2.89, 3.59]</t>
  </si>
  <si>
    <t>[7.54, 10.31, 2.83, nan]</t>
  </si>
  <si>
    <t>[2.53, 2.66, 1.87, nan]</t>
  </si>
  <si>
    <t>[79.08, 20.31, 17.49, 20.93]</t>
  </si>
  <si>
    <t>[12.31, 14.51, 5.76, 7.17]</t>
  </si>
  <si>
    <t>[2.96, 5.02, 4.45, nan]</t>
  </si>
  <si>
    <t>[4.92, 3.64, 4.72, 5.21]</t>
  </si>
  <si>
    <t>[20.31, 4.73, 4.62, 3.31]</t>
  </si>
  <si>
    <t>[8.8, 7.11, 4.15, 5.11]</t>
  </si>
  <si>
    <t>[4.71, 3.76, 4.71, 3.47]</t>
  </si>
  <si>
    <t>[nan, 2.0, 3.26, nan]</t>
  </si>
  <si>
    <t>[9.4, 6.66, 4.7, nan]</t>
  </si>
  <si>
    <t>[14.95, 11.77, 5.78, nan]</t>
  </si>
  <si>
    <t>[6.1, 7.29, 9.32, nan]</t>
  </si>
  <si>
    <t>[5.56, 4.59, 3.27, 4.0]</t>
  </si>
  <si>
    <t>[5.19, 1.4, 5.62, nan]</t>
  </si>
  <si>
    <t>[3.82, nan, 4.58, nan]</t>
  </si>
  <si>
    <t>[246.51, 18.03, 4.77, nan]</t>
  </si>
  <si>
    <t>[16.0, 29.0, 5.26, 4.76]</t>
  </si>
  <si>
    <t>[38.3, 16.47, 3.22, nan]</t>
  </si>
  <si>
    <t>[11.09, 16.28, 1.71, 3.44]</t>
  </si>
  <si>
    <t>[5.28, 5.63, 2.82, 3.68]</t>
  </si>
  <si>
    <t>[nan, nan, 4.39, nan]</t>
  </si>
  <si>
    <t>[12.67, 17.2, 3.16, nan]</t>
  </si>
  <si>
    <t>[10.36, 4.49, 17.74, nan]</t>
  </si>
  <si>
    <t>[4.91, 6.01, 4.72, 4.19]</t>
  </si>
  <si>
    <t>[nan, 20.44, 4.94, nan]</t>
  </si>
  <si>
    <t>[58.86, 2.19, 2.67, 3.26]</t>
  </si>
  <si>
    <t>[4.71, 12.31, 9.17, 7.61]</t>
  </si>
  <si>
    <t>[14.65, 5.64, 7.37, nan]</t>
  </si>
  <si>
    <t>[7.14, 7.32, 4.6, nan]</t>
  </si>
  <si>
    <t>[2.38, 1.83, 3.75, 3.5]</t>
  </si>
  <si>
    <t>[4.69, 2.66, 2.62, nan]</t>
  </si>
  <si>
    <t>[24.75, 14.03, 8.14, nan]</t>
  </si>
  <si>
    <t>[27.21, 14.09, 3.41, 4.81]</t>
  </si>
  <si>
    <t>[4.55, 10.59, 2.65, 6.47]</t>
  </si>
  <si>
    <t>[6.28, 6.35, 3.58, nan]</t>
  </si>
  <si>
    <t>[14.48, 4.28, 5.88, 3.9]</t>
  </si>
  <si>
    <t>[6.87, 5.96, 4.16, 3.27]</t>
  </si>
  <si>
    <t>[7.79, 6.09, 8.05, nan]</t>
  </si>
  <si>
    <t>[12.57, 14.41, 11.96, nan]</t>
  </si>
  <si>
    <t>[7.51, nan, 2.21, nan]</t>
  </si>
  <si>
    <t>[16.65, 18.65, 5.98, nan]</t>
  </si>
  <si>
    <t>[20.39, 42.45, 5.91, 3.8]</t>
  </si>
  <si>
    <t>[8.36, 15.91, 8.93, 3.48]</t>
  </si>
  <si>
    <t>[7.14, 16.75, 5.29, nan]</t>
  </si>
  <si>
    <t>[42.59, 1.87, 6.83, nan]</t>
  </si>
  <si>
    <t>[nan, 13.27, 13.64, nan]</t>
  </si>
  <si>
    <t>[nan, nan, 4.74, nan]</t>
  </si>
  <si>
    <t>[nan, nan, 0.92, nan]</t>
  </si>
  <si>
    <t>[6.15, 5.58, 4.89, nan]</t>
  </si>
  <si>
    <t>[24.65, 49.22, 6.59, nan]</t>
  </si>
  <si>
    <t>[13.08, 15.78, 8.09, nan]</t>
  </si>
  <si>
    <t>[12.44, 9.74, 11.1, 10.79]</t>
  </si>
  <si>
    <t>[12.39, 7.96, 14.41, nan]</t>
  </si>
  <si>
    <t>[nan, 2.94, nan, nan]</t>
  </si>
  <si>
    <t>[14.71, 25.67, 7.86, 5.77]</t>
  </si>
  <si>
    <t>[50.68, 19.53, 7.95, 6.76]</t>
  </si>
  <si>
    <t>[11.01, 12.54, 12.39, nan]</t>
  </si>
  <si>
    <t>[19.43, 12.23, 8.89, nan]</t>
  </si>
  <si>
    <t>[nan, 5.68, 16.53, 2.74]</t>
  </si>
  <si>
    <t>[19.83, 12.92, 11.49, nan]</t>
  </si>
  <si>
    <t>[9.93, 7.05, 11.76, nan]</t>
  </si>
  <si>
    <t>[34.15, 18.14, 9.93, 7.69]</t>
  </si>
  <si>
    <t>[13.22, 13.0, 11.85, 6.97]</t>
  </si>
  <si>
    <t>[nan, 21.87, 9.58, nan]</t>
  </si>
  <si>
    <t>[10.96, 13.1, 5.88, nan]</t>
  </si>
  <si>
    <t>[nan, nan, 11.6, nan]</t>
  </si>
  <si>
    <t>[nan, nan, 15.61, nan]</t>
  </si>
  <si>
    <t>[nan, 12.23, 6.89, nan]</t>
  </si>
  <si>
    <t>[17.27, 9.63, 10.83, nan]</t>
  </si>
  <si>
    <t>[7.1, 4.57, 10.37, nan]</t>
  </si>
  <si>
    <t>[nan, 3.26, 287.65, 21.81]</t>
  </si>
  <si>
    <t>[nan, 15.53, 3.78, nan]</t>
  </si>
  <si>
    <t>[54.33, 15.22, 6.74, 5.21]</t>
  </si>
  <si>
    <t>[22.31, 21.11, 8.22, nan]</t>
  </si>
  <si>
    <t>[11.74, 13.67, 10.21, 3.29]</t>
  </si>
  <si>
    <t>[5.32, 10.14, 9.29, 4.98]</t>
  </si>
  <si>
    <t>[10.39, 3.82, 36.74, nan]</t>
  </si>
  <si>
    <t>[nan, nan, 40.19, 16.74]</t>
  </si>
  <si>
    <t>[10.71, 10.62, 10.19, nan]</t>
  </si>
  <si>
    <t>[14.18, 12.84, 13.26, 9.23]</t>
  </si>
  <si>
    <t>[nan, nan, 4.33, 4.78]</t>
  </si>
  <si>
    <t>[12.04, 14.02, 11.14, 9.93]</t>
  </si>
  <si>
    <t>[8.08, 5.98, 60.39, nan]</t>
  </si>
  <si>
    <t>[11.25, 11.62, 12.56, 8.08]</t>
  </si>
  <si>
    <t>[15.36, 8.17, 14.01, 14.11]</t>
  </si>
  <si>
    <t>[nan, 33.33, 12.89, 20.91]</t>
  </si>
  <si>
    <t>[19.16, 22.62, 17.28, nan]</t>
  </si>
  <si>
    <t>[21.31, 16.12, 9.43, nan]</t>
  </si>
  <si>
    <t>[13.98, 12.08, 18.51, 10.97]</t>
  </si>
  <si>
    <t>[19.71, 27.02, 14.34, 9.68]</t>
  </si>
  <si>
    <t>[8.01, 6.06, 9.87, nan]</t>
  </si>
  <si>
    <t>[19.27, nan, 6.62, 4.7]</t>
  </si>
  <si>
    <t>[8.07, 12.65, 9.38, 8.23]</t>
  </si>
  <si>
    <t>[15.05, 19.05, 13.13, 11.39]</t>
  </si>
  <si>
    <t>[10.68, 11.38, 8.05, 5.66]</t>
  </si>
  <si>
    <t>[7.98, 18.77, 26.06, 10.92]</t>
  </si>
  <si>
    <t>[1.22, 9.08, 11.01, nan]</t>
  </si>
  <si>
    <t>[46.6, nan, 8.42, nan]</t>
  </si>
  <si>
    <t>[nan, 17.37, 5.55, nan]</t>
  </si>
  <si>
    <t>[nan, nan, 6.01, nan]</t>
  </si>
  <si>
    <t>[nan, 20.08, 29.49, 14.46]</t>
  </si>
  <si>
    <t>[14.43, nan, 6.96, 8.14]</t>
  </si>
  <si>
    <t>[31.94, 11.94, 7.19, nan]</t>
  </si>
  <si>
    <t>[16.8, 13.05, 9.18, 4.29]</t>
  </si>
  <si>
    <t>[12.72, 11.23, 10.53, nan]</t>
  </si>
  <si>
    <t>[7.88, 13.95, 10.06, nan]</t>
  </si>
  <si>
    <t>[10.94, 25.96, 12.58, nan]</t>
  </si>
  <si>
    <t>[7.23, 9.88, 15.73, nan]</t>
  </si>
  <si>
    <t>[nan, nan, 27.13, nan]</t>
  </si>
  <si>
    <t>[11.77, 21.73, 15.57, 10.04]</t>
  </si>
  <si>
    <t>[nan, 9.25, 11.06, nan]</t>
  </si>
  <si>
    <t>[6.75, 3.88, 6.13, nan]</t>
  </si>
  <si>
    <t>[nan, 26.0, 11.31, nan]</t>
  </si>
  <si>
    <t>[nan, nan, 7.42, 21.47]</t>
  </si>
  <si>
    <t>[10.0, 12.73, 12.46, nan]</t>
  </si>
  <si>
    <t>[nan, 20.62, 18.45, nan]</t>
  </si>
  <si>
    <t>[261.38, nan, 7.49, nan]</t>
  </si>
  <si>
    <t>[8.47, 15.31, 11.12, nan]</t>
  </si>
  <si>
    <t>[16.55, 25.79, 18.09, nan]</t>
  </si>
  <si>
    <t>[4.12, 10.99, 33.45, nan]</t>
  </si>
  <si>
    <t>[nan, 11.99, nan, 13.79]</t>
  </si>
  <si>
    <t>[8.58, 28.86, 16.91, nan]</t>
  </si>
  <si>
    <t>[16.15, 31.5, 10.37, 10.87]</t>
  </si>
  <si>
    <t>[12.37, 19.84, 11.25, nan]</t>
  </si>
  <si>
    <t>[11.73, 10.29, 12.05, 8.0]</t>
  </si>
  <si>
    <t>[14.25, 12.34, 14.22, nan]</t>
  </si>
  <si>
    <t>[52.05, 4.5, 104.93, nan]</t>
  </si>
  <si>
    <t>[20.64, 13.25, 11.79, 9.22]</t>
  </si>
  <si>
    <t>[nan, nan, 7.48, nan]</t>
  </si>
  <si>
    <t>[9.07, 9.59, 12.24, nan]</t>
  </si>
  <si>
    <t>[nan, 17.57, 13.89, 9.5]</t>
  </si>
  <si>
    <t>[16.13, 11.1, 10.75, nan]</t>
  </si>
  <si>
    <t>[nan, nan, 13.1, nan]</t>
  </si>
  <si>
    <t>[12.3, 13.95, 13.11, 9.0]</t>
  </si>
  <si>
    <t>[11.7, 18.99, 6.23, nan]</t>
  </si>
  <si>
    <t>[18.92, 19.29, 11.0, 9.81]</t>
  </si>
  <si>
    <t>[11.28, 9.9, 9.18, 7.46]</t>
  </si>
  <si>
    <t>[38.71, 32.17, 11.39, nan]</t>
  </si>
  <si>
    <t>[19.42, 25.12, 7.72, nan]</t>
  </si>
  <si>
    <t>[21.76, 35.4, 20.21, 14.26]</t>
  </si>
  <si>
    <t>[36.78, 7.27, 25.72, 15.39]</t>
  </si>
  <si>
    <t>[7.71, 19.79, 18.06, nan]</t>
  </si>
  <si>
    <t>[nan, nan, 16.71, nan]</t>
  </si>
  <si>
    <t>[7.88, 22.87, 11.64, nan]</t>
  </si>
  <si>
    <t>[nan, nan, 19.3, nan]</t>
  </si>
  <si>
    <t>[nan, 6.88, 7.38, 6.27]</t>
  </si>
  <si>
    <t>[7.02, 13.32, 14.14, 8.09]</t>
  </si>
  <si>
    <t>[nan, nan, 97.78, 20.6]</t>
  </si>
  <si>
    <t>[nan, nan, 5.93, nan]</t>
  </si>
  <si>
    <t>1361</t>
  </si>
  <si>
    <t>469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</si>
</sst>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7E4BC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2" borderId="1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L372"/>
  <sheetViews>
    <sheetView tabSelected="1" workbookViewId="0"/>
  </sheetViews>
  <sheetFormatPr defaultRowHeight="15"/>
  <sheetData>
    <row r="1" spans="1:38">
      <c r="A1" s="1" t="s">
        <v>35</v>
      </c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16</v>
      </c>
      <c r="S1" s="2" t="s">
        <v>17</v>
      </c>
      <c r="T1" s="2" t="s">
        <v>18</v>
      </c>
      <c r="U1" s="2" t="s">
        <v>19</v>
      </c>
      <c r="V1" s="2" t="s">
        <v>20</v>
      </c>
      <c r="W1" s="2" t="s">
        <v>21</v>
      </c>
      <c r="X1" s="2" t="s">
        <v>22</v>
      </c>
      <c r="Y1" s="2" t="s">
        <v>23</v>
      </c>
      <c r="Z1" s="2" t="s">
        <v>24</v>
      </c>
      <c r="AA1" s="2" t="s">
        <v>25</v>
      </c>
      <c r="AB1" s="2" t="s">
        <v>26</v>
      </c>
      <c r="AC1" s="2" t="s">
        <v>27</v>
      </c>
      <c r="AD1" s="2" t="s">
        <v>28</v>
      </c>
      <c r="AE1" s="2" t="s">
        <v>29</v>
      </c>
      <c r="AF1" s="2" t="s">
        <v>30</v>
      </c>
      <c r="AG1" s="2" t="s">
        <v>31</v>
      </c>
      <c r="AH1" s="2" t="s">
        <v>32</v>
      </c>
      <c r="AI1" s="2" t="s">
        <v>33</v>
      </c>
      <c r="AJ1" s="2" t="s">
        <v>34</v>
      </c>
      <c r="AK1" s="2" t="b">
        <v>1</v>
      </c>
      <c r="AL1" s="2" t="b">
        <v>0</v>
      </c>
    </row>
    <row r="2" spans="1:38">
      <c r="A2" s="1" t="s">
        <v>36</v>
      </c>
      <c r="B2" t="s">
        <v>407</v>
      </c>
      <c r="C2">
        <f>HYPERLINK("https://finance.naver.com/item/coinfo.nhn?code=095570", "A095570")</f>
        <v>0</v>
      </c>
      <c r="D2">
        <f>HYPERLINK("http://comp.fnguide.com/SVO2/ASP/SVD_Consensus.asp?pGB=1&amp;gicode=A095570&amp;cID=&amp;MenuYn=Y&amp;ReportGB=&amp;NewMenuID=108&amp;stkGb=701", "AJ네트웍스")</f>
        <v>0</v>
      </c>
      <c r="E2">
        <v>3</v>
      </c>
      <c r="F2">
        <v>8030</v>
      </c>
      <c r="G2">
        <v>-1.9</v>
      </c>
      <c r="H2">
        <v>3.3</v>
      </c>
      <c r="I2">
        <v>11574</v>
      </c>
      <c r="J2">
        <v>9654</v>
      </c>
      <c r="K2">
        <v>9011</v>
      </c>
      <c r="L2">
        <v>-44.14</v>
      </c>
      <c r="M2">
        <v>-20.22</v>
      </c>
      <c r="N2">
        <v>-12.22</v>
      </c>
      <c r="O2">
        <v>14.41</v>
      </c>
      <c r="P2" t="b">
        <v>1</v>
      </c>
      <c r="Q2">
        <v>0</v>
      </c>
      <c r="R2">
        <v>1640</v>
      </c>
      <c r="S2">
        <v>927</v>
      </c>
      <c r="T2">
        <v>-43.5</v>
      </c>
      <c r="U2" t="s">
        <v>779</v>
      </c>
      <c r="V2" t="s">
        <v>1150</v>
      </c>
      <c r="W2">
        <v>-1.741099680352864</v>
      </c>
      <c r="X2">
        <v>126.3</v>
      </c>
      <c r="Y2" t="s">
        <v>1521</v>
      </c>
      <c r="Z2">
        <v>0</v>
      </c>
      <c r="AA2">
        <v>3760</v>
      </c>
      <c r="AB2">
        <v>498757</v>
      </c>
      <c r="AC2" t="s">
        <v>1863</v>
      </c>
      <c r="AD2">
        <v>64.78</v>
      </c>
      <c r="AE2" t="s">
        <v>2234</v>
      </c>
      <c r="AF2" t="s">
        <v>2605</v>
      </c>
      <c r="AG2">
        <v>10267</v>
      </c>
      <c r="AH2">
        <v>451</v>
      </c>
      <c r="AI2">
        <v>2054479</v>
      </c>
      <c r="AJ2">
        <v>4.99</v>
      </c>
      <c r="AK2" t="b">
        <v>1</v>
      </c>
    </row>
    <row r="3" spans="1:38">
      <c r="A3" s="1" t="s">
        <v>37</v>
      </c>
      <c r="B3" t="s">
        <v>408</v>
      </c>
      <c r="C3">
        <f>HYPERLINK("https://finance.naver.com/item/coinfo.nhn?code=050760", "A050760")</f>
        <v>0</v>
      </c>
      <c r="D3">
        <f>HYPERLINK("http://comp.fnguide.com/SVO2/ASP/SVD_Consensus.asp?pGB=1&amp;gicode=A050760&amp;cID=&amp;MenuYn=Y&amp;ReportGB=&amp;NewMenuID=108&amp;stkGb=701", "에스폴리텍")</f>
        <v>0</v>
      </c>
      <c r="E3">
        <v>3</v>
      </c>
      <c r="F3">
        <v>3605</v>
      </c>
      <c r="G3">
        <v>0</v>
      </c>
      <c r="H3">
        <v>12.09</v>
      </c>
      <c r="I3">
        <v>5185</v>
      </c>
      <c r="J3">
        <v>4756</v>
      </c>
      <c r="K3">
        <v>4612</v>
      </c>
      <c r="L3">
        <v>-43.82</v>
      </c>
      <c r="M3">
        <v>-31.92</v>
      </c>
      <c r="N3">
        <v>-27.94</v>
      </c>
      <c r="O3">
        <v>11.83</v>
      </c>
      <c r="P3" t="b">
        <v>1</v>
      </c>
      <c r="Q3">
        <v>0</v>
      </c>
      <c r="R3">
        <v>315</v>
      </c>
      <c r="U3" t="s">
        <v>780</v>
      </c>
      <c r="V3" t="s">
        <v>1151</v>
      </c>
      <c r="W3">
        <v>0</v>
      </c>
      <c r="X3">
        <v>-66.09999999999999</v>
      </c>
      <c r="Y3" t="s">
        <v>1522</v>
      </c>
      <c r="Z3">
        <v>0</v>
      </c>
      <c r="AA3">
        <v>589</v>
      </c>
      <c r="AB3">
        <v>3838098</v>
      </c>
      <c r="AC3" t="s">
        <v>1864</v>
      </c>
      <c r="AD3">
        <v>32.18</v>
      </c>
      <c r="AE3" t="s">
        <v>2235</v>
      </c>
      <c r="AF3" t="s">
        <v>2606</v>
      </c>
      <c r="AG3">
        <v>1098</v>
      </c>
      <c r="AH3">
        <v>46</v>
      </c>
      <c r="AI3">
        <v>891909</v>
      </c>
      <c r="AJ3">
        <v>1.31</v>
      </c>
      <c r="AK3" t="b">
        <v>1</v>
      </c>
    </row>
    <row r="4" spans="1:38">
      <c r="A4" s="1" t="s">
        <v>38</v>
      </c>
      <c r="B4" t="s">
        <v>409</v>
      </c>
      <c r="C4">
        <f>HYPERLINK("https://finance.naver.com/item/coinfo.nhn?code=035890", "A035890")</f>
        <v>0</v>
      </c>
      <c r="D4">
        <f>HYPERLINK("http://comp.fnguide.com/SVO2/ASP/SVD_Consensus.asp?pGB=1&amp;gicode=A035890&amp;cID=&amp;MenuYn=Y&amp;ReportGB=&amp;NewMenuID=108&amp;stkGb=701", "서희건설")</f>
        <v>0</v>
      </c>
      <c r="E4">
        <v>3</v>
      </c>
      <c r="F4">
        <v>1460</v>
      </c>
      <c r="G4">
        <v>0</v>
      </c>
      <c r="H4">
        <v>2.63</v>
      </c>
      <c r="I4">
        <v>7299</v>
      </c>
      <c r="J4">
        <v>4920</v>
      </c>
      <c r="K4">
        <v>4124</v>
      </c>
      <c r="L4">
        <v>-399.92</v>
      </c>
      <c r="M4">
        <v>-236.98</v>
      </c>
      <c r="N4">
        <v>-182.48</v>
      </c>
      <c r="O4">
        <v>24.74</v>
      </c>
      <c r="P4" t="b">
        <v>1</v>
      </c>
      <c r="Q4">
        <v>0</v>
      </c>
      <c r="R4">
        <v>631</v>
      </c>
      <c r="U4" t="s">
        <v>781</v>
      </c>
      <c r="V4" t="s">
        <v>1152</v>
      </c>
      <c r="W4">
        <v>0</v>
      </c>
      <c r="X4">
        <v>-31</v>
      </c>
      <c r="Y4" t="s">
        <v>1523</v>
      </c>
      <c r="Z4">
        <v>19.06107751284196</v>
      </c>
      <c r="AA4">
        <v>3355</v>
      </c>
      <c r="AB4">
        <v>493500</v>
      </c>
      <c r="AC4" t="s">
        <v>1865</v>
      </c>
      <c r="AD4">
        <v>55.31</v>
      </c>
      <c r="AE4" t="s">
        <v>2236</v>
      </c>
      <c r="AF4" t="s">
        <v>2607</v>
      </c>
      <c r="AG4">
        <v>13300</v>
      </c>
      <c r="AH4">
        <v>2068</v>
      </c>
      <c r="AI4">
        <v>9575559</v>
      </c>
      <c r="AJ4">
        <v>3.01</v>
      </c>
      <c r="AK4" t="b">
        <v>1</v>
      </c>
    </row>
    <row r="5" spans="1:38">
      <c r="A5" s="1" t="s">
        <v>39</v>
      </c>
      <c r="B5" t="s">
        <v>410</v>
      </c>
      <c r="C5">
        <f>HYPERLINK("https://finance.naver.com/item/coinfo.nhn?code=065710", "A065710")</f>
        <v>0</v>
      </c>
      <c r="D5">
        <f>HYPERLINK("http://comp.fnguide.com/SVO2/ASP/SVD_Consensus.asp?pGB=1&amp;gicode=A065710&amp;cID=&amp;MenuYn=Y&amp;ReportGB=&amp;NewMenuID=108&amp;stkGb=701", "서호전기")</f>
        <v>0</v>
      </c>
      <c r="E5">
        <v>3</v>
      </c>
      <c r="F5">
        <v>19350</v>
      </c>
      <c r="G5">
        <v>0</v>
      </c>
      <c r="H5">
        <v>6.19</v>
      </c>
      <c r="I5">
        <v>29418</v>
      </c>
      <c r="J5">
        <v>22410</v>
      </c>
      <c r="K5">
        <v>20066</v>
      </c>
      <c r="L5">
        <v>-52.03</v>
      </c>
      <c r="M5">
        <v>-15.81</v>
      </c>
      <c r="N5">
        <v>-3.7</v>
      </c>
      <c r="O5">
        <v>17.76</v>
      </c>
      <c r="P5" t="b">
        <v>1</v>
      </c>
      <c r="Q5">
        <v>0</v>
      </c>
      <c r="R5">
        <v>3374</v>
      </c>
      <c r="U5" t="s">
        <v>782</v>
      </c>
      <c r="V5" t="s">
        <v>1153</v>
      </c>
      <c r="W5">
        <v>0</v>
      </c>
      <c r="X5">
        <v>-35.9</v>
      </c>
      <c r="Y5" t="s">
        <v>1524</v>
      </c>
      <c r="Z5">
        <v>12.65208818312917</v>
      </c>
      <c r="AA5">
        <v>997</v>
      </c>
      <c r="AB5">
        <v>8302</v>
      </c>
      <c r="AC5" t="s">
        <v>1866</v>
      </c>
      <c r="AD5">
        <v>58.59</v>
      </c>
      <c r="AE5" t="s">
        <v>2237</v>
      </c>
      <c r="AF5" t="s">
        <v>2608</v>
      </c>
      <c r="AG5">
        <v>743</v>
      </c>
      <c r="AH5">
        <v>148</v>
      </c>
      <c r="AI5">
        <v>62878</v>
      </c>
      <c r="AJ5">
        <v>4.78</v>
      </c>
      <c r="AK5" t="b">
        <v>1</v>
      </c>
    </row>
    <row r="6" spans="1:38">
      <c r="A6" s="1" t="s">
        <v>40</v>
      </c>
      <c r="B6" t="s">
        <v>411</v>
      </c>
      <c r="C6">
        <f>HYPERLINK("https://finance.naver.com/item/coinfo.nhn?code=140070", "A140070")</f>
        <v>0</v>
      </c>
      <c r="D6">
        <f>HYPERLINK("http://comp.fnguide.com/SVO2/ASP/SVD_Consensus.asp?pGB=1&amp;gicode=A140070&amp;cID=&amp;MenuYn=Y&amp;ReportGB=&amp;NewMenuID=108&amp;stkGb=701", "서플러스글로벌")</f>
        <v>0</v>
      </c>
      <c r="E6">
        <v>3</v>
      </c>
      <c r="F6">
        <v>3685</v>
      </c>
      <c r="G6">
        <v>0</v>
      </c>
      <c r="H6">
        <v>5.85</v>
      </c>
      <c r="I6">
        <v>5766</v>
      </c>
      <c r="J6">
        <v>5115</v>
      </c>
      <c r="K6">
        <v>4897</v>
      </c>
      <c r="L6">
        <v>-56.46</v>
      </c>
      <c r="M6">
        <v>-38.8</v>
      </c>
      <c r="N6">
        <v>-32.9</v>
      </c>
      <c r="O6">
        <v>12.65</v>
      </c>
      <c r="P6" t="b">
        <v>1</v>
      </c>
      <c r="Q6">
        <v>0</v>
      </c>
      <c r="R6">
        <v>749</v>
      </c>
      <c r="U6" t="s">
        <v>783</v>
      </c>
      <c r="V6" t="s">
        <v>1154</v>
      </c>
      <c r="W6">
        <v>0</v>
      </c>
      <c r="X6">
        <v>50</v>
      </c>
      <c r="Y6" t="s">
        <v>1525</v>
      </c>
      <c r="Z6">
        <v>15.66029191968097</v>
      </c>
      <c r="AA6">
        <v>1363</v>
      </c>
      <c r="AB6">
        <v>49782</v>
      </c>
      <c r="AC6" t="s">
        <v>1867</v>
      </c>
      <c r="AD6">
        <v>56.71</v>
      </c>
      <c r="AE6" t="s">
        <v>2238</v>
      </c>
      <c r="AF6" t="s">
        <v>2609</v>
      </c>
      <c r="AG6">
        <v>2066</v>
      </c>
      <c r="AH6">
        <v>308</v>
      </c>
      <c r="AI6">
        <v>1988516</v>
      </c>
      <c r="AJ6">
        <v>1.14</v>
      </c>
      <c r="AK6" t="b">
        <v>1</v>
      </c>
    </row>
    <row r="7" spans="1:38">
      <c r="A7" s="1" t="s">
        <v>41</v>
      </c>
      <c r="B7" t="s">
        <v>412</v>
      </c>
      <c r="C7">
        <f>HYPERLINK("https://finance.naver.com/item/coinfo.nhn?code=038540", "A038540")</f>
        <v>0</v>
      </c>
      <c r="D7">
        <f>HYPERLINK("http://comp.fnguide.com/SVO2/ASP/SVD_Consensus.asp?pGB=1&amp;gicode=A038540&amp;cID=&amp;MenuYn=Y&amp;ReportGB=&amp;NewMenuID=108&amp;stkGb=701", "상상인")</f>
        <v>0</v>
      </c>
      <c r="E7">
        <v>3</v>
      </c>
      <c r="F7">
        <v>9080</v>
      </c>
      <c r="G7">
        <v>0</v>
      </c>
      <c r="H7">
        <v>4.54</v>
      </c>
      <c r="I7">
        <v>20345</v>
      </c>
      <c r="J7">
        <v>16183</v>
      </c>
      <c r="K7">
        <v>14791</v>
      </c>
      <c r="L7">
        <v>-124.07</v>
      </c>
      <c r="M7">
        <v>-78.23</v>
      </c>
      <c r="N7">
        <v>-62.9</v>
      </c>
      <c r="O7">
        <v>16.02</v>
      </c>
      <c r="P7" t="b">
        <v>1</v>
      </c>
      <c r="Q7">
        <v>0</v>
      </c>
      <c r="R7">
        <v>1828</v>
      </c>
      <c r="U7" t="s">
        <v>784</v>
      </c>
      <c r="V7" t="s">
        <v>1155</v>
      </c>
      <c r="W7">
        <v>0</v>
      </c>
      <c r="X7">
        <v>137.9</v>
      </c>
      <c r="Y7" t="s">
        <v>1526</v>
      </c>
      <c r="Z7">
        <v>20.03619726572501</v>
      </c>
      <c r="AA7">
        <v>5024</v>
      </c>
      <c r="AB7">
        <v>118562</v>
      </c>
      <c r="AC7" t="s">
        <v>1868</v>
      </c>
      <c r="AD7">
        <v>32.04</v>
      </c>
      <c r="AE7" t="s">
        <v>2239</v>
      </c>
      <c r="AF7" t="s">
        <v>2610</v>
      </c>
      <c r="AG7">
        <v>5690</v>
      </c>
      <c r="AH7">
        <v>1321</v>
      </c>
      <c r="AI7">
        <v>604037</v>
      </c>
      <c r="AJ7">
        <v>1.2</v>
      </c>
      <c r="AK7" t="b">
        <v>1</v>
      </c>
    </row>
    <row r="8" spans="1:38">
      <c r="A8" s="1" t="s">
        <v>42</v>
      </c>
      <c r="B8" t="s">
        <v>413</v>
      </c>
      <c r="C8">
        <f>HYPERLINK("https://finance.naver.com/item/coinfo.nhn?code=017480", "A017480")</f>
        <v>0</v>
      </c>
      <c r="D8">
        <f>HYPERLINK("http://comp.fnguide.com/SVO2/ASP/SVD_Consensus.asp?pGB=1&amp;gicode=A017480&amp;cID=&amp;MenuYn=Y&amp;ReportGB=&amp;NewMenuID=108&amp;stkGb=701", "삼현철강")</f>
        <v>0</v>
      </c>
      <c r="E8">
        <v>3</v>
      </c>
      <c r="F8">
        <v>5750</v>
      </c>
      <c r="G8">
        <v>0</v>
      </c>
      <c r="H8">
        <v>3.51</v>
      </c>
      <c r="I8">
        <v>11487</v>
      </c>
      <c r="J8">
        <v>11441</v>
      </c>
      <c r="K8">
        <v>11426</v>
      </c>
      <c r="L8">
        <v>-99.77</v>
      </c>
      <c r="M8">
        <v>-98.97</v>
      </c>
      <c r="N8">
        <v>-98.70999999999999</v>
      </c>
      <c r="O8">
        <v>10.12</v>
      </c>
      <c r="P8" t="b">
        <v>1</v>
      </c>
      <c r="Q8">
        <v>0</v>
      </c>
      <c r="R8">
        <v>1617</v>
      </c>
      <c r="U8" t="s">
        <v>785</v>
      </c>
      <c r="V8" t="s">
        <v>1156</v>
      </c>
      <c r="W8">
        <v>0</v>
      </c>
      <c r="X8">
        <v>13.7</v>
      </c>
      <c r="Y8" t="s">
        <v>1527</v>
      </c>
      <c r="Z8">
        <v>35.67775436919012</v>
      </c>
      <c r="AA8">
        <v>903</v>
      </c>
      <c r="AB8">
        <v>34379</v>
      </c>
      <c r="AC8" t="s">
        <v>1869</v>
      </c>
      <c r="AD8">
        <v>58.46</v>
      </c>
      <c r="AE8" t="s">
        <v>2240</v>
      </c>
      <c r="AF8" t="s">
        <v>2611</v>
      </c>
      <c r="AG8">
        <v>3221</v>
      </c>
      <c r="AH8">
        <v>331</v>
      </c>
      <c r="AI8">
        <v>260000</v>
      </c>
      <c r="AJ8">
        <v>5.29</v>
      </c>
      <c r="AK8" t="b">
        <v>1</v>
      </c>
    </row>
    <row r="9" spans="1:38">
      <c r="A9" s="1" t="s">
        <v>43</v>
      </c>
      <c r="B9" t="s">
        <v>414</v>
      </c>
      <c r="C9">
        <f>HYPERLINK("https://finance.naver.com/item/coinfo.nhn?code=032750", "A032750")</f>
        <v>0</v>
      </c>
      <c r="D9">
        <f>HYPERLINK("http://comp.fnguide.com/SVO2/ASP/SVD_Consensus.asp?pGB=1&amp;gicode=A032750&amp;cID=&amp;MenuYn=Y&amp;ReportGB=&amp;NewMenuID=108&amp;stkGb=701", "삼진")</f>
        <v>0</v>
      </c>
      <c r="E9">
        <v>3</v>
      </c>
      <c r="F9">
        <v>7100</v>
      </c>
      <c r="G9">
        <v>0</v>
      </c>
      <c r="H9">
        <v>7.59</v>
      </c>
      <c r="I9">
        <v>14184</v>
      </c>
      <c r="J9">
        <v>13382</v>
      </c>
      <c r="K9">
        <v>13113</v>
      </c>
      <c r="L9">
        <v>-99.78</v>
      </c>
      <c r="M9">
        <v>-88.48</v>
      </c>
      <c r="N9">
        <v>-84.7</v>
      </c>
      <c r="O9">
        <v>11.2</v>
      </c>
      <c r="P9" t="b">
        <v>1</v>
      </c>
      <c r="Q9">
        <v>0</v>
      </c>
      <c r="R9">
        <v>1337</v>
      </c>
      <c r="U9" t="s">
        <v>786</v>
      </c>
      <c r="V9" t="s">
        <v>1157</v>
      </c>
      <c r="W9">
        <v>0</v>
      </c>
      <c r="X9">
        <v>-77.59999999999999</v>
      </c>
      <c r="Y9" t="s">
        <v>1528</v>
      </c>
      <c r="Z9">
        <v>-4.836027888212713</v>
      </c>
      <c r="AA9">
        <v>511</v>
      </c>
      <c r="AB9">
        <v>3678</v>
      </c>
      <c r="AC9" t="s">
        <v>1870</v>
      </c>
      <c r="AD9">
        <v>44.13</v>
      </c>
      <c r="AE9" t="s">
        <v>2241</v>
      </c>
      <c r="AF9" t="s">
        <v>2612</v>
      </c>
      <c r="AG9">
        <v>1287</v>
      </c>
      <c r="AH9">
        <v>12</v>
      </c>
      <c r="AJ9">
        <v>0.82</v>
      </c>
      <c r="AK9" t="b">
        <v>1</v>
      </c>
    </row>
    <row r="10" spans="1:38">
      <c r="A10" s="1" t="s">
        <v>44</v>
      </c>
      <c r="B10" t="s">
        <v>415</v>
      </c>
      <c r="C10">
        <f>HYPERLINK("https://finance.naver.com/item/coinfo.nhn?code=037460", "A037460")</f>
        <v>0</v>
      </c>
      <c r="D10">
        <f>HYPERLINK("http://comp.fnguide.com/SVO2/ASP/SVD_Consensus.asp?pGB=1&amp;gicode=A037460&amp;cID=&amp;MenuYn=Y&amp;ReportGB=&amp;NewMenuID=108&amp;stkGb=701", "삼지전자")</f>
        <v>0</v>
      </c>
      <c r="E10">
        <v>3</v>
      </c>
      <c r="F10">
        <v>10500</v>
      </c>
      <c r="G10">
        <v>0</v>
      </c>
      <c r="H10">
        <v>6.54</v>
      </c>
      <c r="I10">
        <v>20360</v>
      </c>
      <c r="J10">
        <v>18778</v>
      </c>
      <c r="K10">
        <v>18248</v>
      </c>
      <c r="L10">
        <v>-93.91</v>
      </c>
      <c r="M10">
        <v>-78.83</v>
      </c>
      <c r="N10">
        <v>-73.79000000000001</v>
      </c>
      <c r="O10">
        <v>11.71</v>
      </c>
      <c r="P10" t="b">
        <v>1</v>
      </c>
      <c r="Q10">
        <v>0</v>
      </c>
      <c r="R10">
        <v>1874</v>
      </c>
      <c r="U10" t="s">
        <v>787</v>
      </c>
      <c r="V10" t="s">
        <v>1158</v>
      </c>
      <c r="W10">
        <v>0</v>
      </c>
      <c r="X10">
        <v>75.2</v>
      </c>
      <c r="Y10" t="s">
        <v>1529</v>
      </c>
      <c r="Z10">
        <v>14.59704943049185</v>
      </c>
      <c r="AA10">
        <v>1713</v>
      </c>
      <c r="AB10">
        <v>28310</v>
      </c>
      <c r="AC10" t="s">
        <v>1871</v>
      </c>
      <c r="AD10">
        <v>46.12</v>
      </c>
      <c r="AE10" t="s">
        <v>2242</v>
      </c>
      <c r="AF10" t="s">
        <v>2613</v>
      </c>
      <c r="AG10">
        <v>25000</v>
      </c>
      <c r="AH10">
        <v>931</v>
      </c>
      <c r="AI10">
        <v>966610</v>
      </c>
      <c r="AJ10">
        <v>3.27</v>
      </c>
      <c r="AK10" t="b">
        <v>1</v>
      </c>
    </row>
    <row r="11" spans="1:38">
      <c r="A11" s="1" t="s">
        <v>45</v>
      </c>
      <c r="B11" t="s">
        <v>416</v>
      </c>
      <c r="C11">
        <f>HYPERLINK("https://finance.naver.com/item/coinfo.nhn?code=023600", "A023600")</f>
        <v>0</v>
      </c>
      <c r="D11">
        <f>HYPERLINK("http://comp.fnguide.com/SVO2/ASP/SVD_Consensus.asp?pGB=1&amp;gicode=A023600&amp;cID=&amp;MenuYn=Y&amp;ReportGB=&amp;NewMenuID=108&amp;stkGb=701", "삼보판지")</f>
        <v>0</v>
      </c>
      <c r="E11">
        <v>3</v>
      </c>
      <c r="F11">
        <v>9980</v>
      </c>
      <c r="G11">
        <v>0</v>
      </c>
      <c r="H11">
        <v>4.85</v>
      </c>
      <c r="I11">
        <v>30208</v>
      </c>
      <c r="J11">
        <v>28831</v>
      </c>
      <c r="K11">
        <v>28371</v>
      </c>
      <c r="L11">
        <v>-202.68</v>
      </c>
      <c r="M11">
        <v>-188.89</v>
      </c>
      <c r="N11">
        <v>-184.27</v>
      </c>
      <c r="O11">
        <v>10.96</v>
      </c>
      <c r="P11" t="b">
        <v>1</v>
      </c>
      <c r="Q11">
        <v>0</v>
      </c>
      <c r="R11">
        <v>3286</v>
      </c>
      <c r="U11" t="s">
        <v>788</v>
      </c>
      <c r="V11" t="s">
        <v>1159</v>
      </c>
      <c r="W11">
        <v>0</v>
      </c>
      <c r="X11">
        <v>-33.3</v>
      </c>
      <c r="Y11" t="s">
        <v>1530</v>
      </c>
      <c r="Z11">
        <v>37.7097706589887</v>
      </c>
      <c r="AA11">
        <v>1614</v>
      </c>
      <c r="AB11">
        <v>22425</v>
      </c>
      <c r="AC11" t="s">
        <v>1872</v>
      </c>
      <c r="AD11">
        <v>63.47</v>
      </c>
      <c r="AE11" t="s">
        <v>2243</v>
      </c>
      <c r="AF11" t="s">
        <v>2614</v>
      </c>
      <c r="AG11">
        <v>5340</v>
      </c>
      <c r="AH11">
        <v>702</v>
      </c>
      <c r="AI11">
        <v>202211</v>
      </c>
      <c r="AJ11">
        <v>1.1</v>
      </c>
      <c r="AK11" t="b">
        <v>1</v>
      </c>
    </row>
    <row r="12" spans="1:38">
      <c r="A12" s="1" t="s">
        <v>46</v>
      </c>
      <c r="B12" t="s">
        <v>417</v>
      </c>
      <c r="C12">
        <f>HYPERLINK("https://finance.naver.com/item/coinfo.nhn?code=093190", "A093190")</f>
        <v>0</v>
      </c>
      <c r="D12">
        <f>HYPERLINK("http://comp.fnguide.com/SVO2/ASP/SVD_Consensus.asp?pGB=1&amp;gicode=A093190&amp;cID=&amp;MenuYn=Y&amp;ReportGB=&amp;NewMenuID=108&amp;stkGb=701", "빅솔론")</f>
        <v>0</v>
      </c>
      <c r="E12">
        <v>3</v>
      </c>
      <c r="F12">
        <v>6270</v>
      </c>
      <c r="G12">
        <v>0</v>
      </c>
      <c r="H12">
        <v>4.96</v>
      </c>
      <c r="I12">
        <v>11026</v>
      </c>
      <c r="J12">
        <v>10780</v>
      </c>
      <c r="K12">
        <v>10697</v>
      </c>
      <c r="L12">
        <v>-75.86</v>
      </c>
      <c r="M12">
        <v>-71.93000000000001</v>
      </c>
      <c r="N12">
        <v>-70.61</v>
      </c>
      <c r="O12">
        <v>10.48</v>
      </c>
      <c r="P12" t="b">
        <v>1</v>
      </c>
      <c r="Q12">
        <v>0</v>
      </c>
      <c r="R12">
        <v>1340</v>
      </c>
      <c r="U12" t="s">
        <v>789</v>
      </c>
      <c r="V12" t="s">
        <v>1160</v>
      </c>
      <c r="W12">
        <v>0</v>
      </c>
      <c r="X12">
        <v>-10.4</v>
      </c>
      <c r="Y12" t="s">
        <v>1531</v>
      </c>
      <c r="Z12">
        <v>2.038247200261756</v>
      </c>
      <c r="AA12">
        <v>1206</v>
      </c>
      <c r="AB12">
        <v>21031</v>
      </c>
      <c r="AC12" t="s">
        <v>1873</v>
      </c>
      <c r="AD12">
        <v>40.88</v>
      </c>
      <c r="AE12" t="s">
        <v>2244</v>
      </c>
      <c r="AF12" t="s">
        <v>2615</v>
      </c>
      <c r="AG12">
        <v>1004</v>
      </c>
      <c r="AH12">
        <v>140</v>
      </c>
      <c r="AI12">
        <v>3204500</v>
      </c>
      <c r="AJ12">
        <v>3.76</v>
      </c>
      <c r="AK12" t="b">
        <v>1</v>
      </c>
    </row>
    <row r="13" spans="1:38">
      <c r="A13" s="1" t="s">
        <v>47</v>
      </c>
      <c r="B13" t="s">
        <v>418</v>
      </c>
      <c r="C13">
        <f>HYPERLINK("https://finance.naver.com/item/coinfo.nhn?code=318410", "A318410")</f>
        <v>0</v>
      </c>
      <c r="D13">
        <f>HYPERLINK("http://comp.fnguide.com/SVO2/ASP/SVD_Consensus.asp?pGB=1&amp;gicode=A318410&amp;cID=&amp;MenuYn=Y&amp;ReportGB=&amp;NewMenuID=108&amp;stkGb=701", "비비씨")</f>
        <v>0</v>
      </c>
      <c r="E13">
        <v>3</v>
      </c>
      <c r="F13">
        <v>11350</v>
      </c>
      <c r="G13">
        <v>0</v>
      </c>
      <c r="H13">
        <v>20.55</v>
      </c>
      <c r="I13">
        <v>18387</v>
      </c>
      <c r="J13">
        <v>15320</v>
      </c>
      <c r="K13">
        <v>14294</v>
      </c>
      <c r="L13">
        <v>-62</v>
      </c>
      <c r="M13">
        <v>-34.98</v>
      </c>
      <c r="N13">
        <v>-25.94</v>
      </c>
      <c r="O13">
        <v>14.44</v>
      </c>
      <c r="P13" t="b">
        <v>1</v>
      </c>
      <c r="Q13">
        <v>0</v>
      </c>
      <c r="R13">
        <v>686</v>
      </c>
      <c r="U13" t="s">
        <v>790</v>
      </c>
      <c r="V13" t="s">
        <v>1161</v>
      </c>
      <c r="W13">
        <v>0</v>
      </c>
      <c r="X13">
        <v>-94.59999999999999</v>
      </c>
      <c r="Y13" t="s">
        <v>1532</v>
      </c>
      <c r="Z13">
        <v>0</v>
      </c>
      <c r="AA13">
        <v>631</v>
      </c>
      <c r="AB13">
        <v>10166</v>
      </c>
      <c r="AC13" t="s">
        <v>1874</v>
      </c>
      <c r="AD13">
        <v>38.79</v>
      </c>
      <c r="AE13" t="s">
        <v>2245</v>
      </c>
      <c r="AF13" t="s">
        <v>2616</v>
      </c>
      <c r="AG13">
        <v>368</v>
      </c>
      <c r="AH13">
        <v>31</v>
      </c>
      <c r="AK13" t="b">
        <v>1</v>
      </c>
    </row>
    <row r="14" spans="1:38">
      <c r="A14" s="1" t="s">
        <v>48</v>
      </c>
      <c r="B14" t="s">
        <v>419</v>
      </c>
      <c r="C14">
        <f>HYPERLINK("https://finance.naver.com/item/coinfo.nhn?code=121800", "A121800")</f>
        <v>0</v>
      </c>
      <c r="D14">
        <f>HYPERLINK("http://comp.fnguide.com/SVO2/ASP/SVD_Consensus.asp?pGB=1&amp;gicode=A121800&amp;cID=&amp;MenuYn=Y&amp;ReportGB=&amp;NewMenuID=108&amp;stkGb=701", "비덴트")</f>
        <v>0</v>
      </c>
      <c r="E14">
        <v>3</v>
      </c>
      <c r="F14">
        <v>11800</v>
      </c>
      <c r="G14">
        <v>0</v>
      </c>
      <c r="H14">
        <v>5.49</v>
      </c>
      <c r="I14">
        <v>30040</v>
      </c>
      <c r="J14">
        <v>20250</v>
      </c>
      <c r="K14">
        <v>16976</v>
      </c>
      <c r="L14">
        <v>-154.57</v>
      </c>
      <c r="M14">
        <v>-71.61</v>
      </c>
      <c r="N14">
        <v>-43.87</v>
      </c>
      <c r="O14">
        <v>24.74</v>
      </c>
      <c r="P14" t="b">
        <v>1</v>
      </c>
      <c r="Q14">
        <v>0</v>
      </c>
      <c r="R14">
        <v>4405</v>
      </c>
      <c r="U14" t="s">
        <v>791</v>
      </c>
      <c r="V14" t="s">
        <v>1162</v>
      </c>
      <c r="W14">
        <v>0</v>
      </c>
      <c r="X14">
        <v>-96</v>
      </c>
      <c r="Y14" t="s">
        <v>1533</v>
      </c>
      <c r="Z14">
        <v>0</v>
      </c>
      <c r="AA14">
        <v>6056</v>
      </c>
      <c r="AB14">
        <v>6551999</v>
      </c>
      <c r="AC14" t="s">
        <v>1875</v>
      </c>
      <c r="AD14">
        <v>14.67</v>
      </c>
      <c r="AE14" t="s">
        <v>2246</v>
      </c>
      <c r="AF14" t="s">
        <v>2617</v>
      </c>
      <c r="AG14">
        <v>177</v>
      </c>
      <c r="AH14">
        <v>8</v>
      </c>
      <c r="AI14">
        <v>4015</v>
      </c>
      <c r="AK14" t="b">
        <v>1</v>
      </c>
    </row>
    <row r="15" spans="1:38">
      <c r="A15" s="1" t="s">
        <v>49</v>
      </c>
      <c r="B15" t="s">
        <v>420</v>
      </c>
      <c r="C15">
        <f>HYPERLINK("https://finance.naver.com/item/coinfo.nhn?code=066410", "A066410")</f>
        <v>0</v>
      </c>
      <c r="D15">
        <f>HYPERLINK("http://comp.fnguide.com/SVO2/ASP/SVD_Consensus.asp?pGB=1&amp;gicode=A066410&amp;cID=&amp;MenuYn=Y&amp;ReportGB=&amp;NewMenuID=108&amp;stkGb=701", "버킷스튜디오")</f>
        <v>0</v>
      </c>
      <c r="E15">
        <v>3</v>
      </c>
      <c r="F15">
        <v>2625</v>
      </c>
      <c r="G15">
        <v>0</v>
      </c>
      <c r="H15">
        <v>5.86</v>
      </c>
      <c r="I15">
        <v>5139</v>
      </c>
      <c r="J15">
        <v>3402</v>
      </c>
      <c r="K15">
        <v>2821</v>
      </c>
      <c r="L15">
        <v>-95.76000000000001</v>
      </c>
      <c r="M15">
        <v>-29.61</v>
      </c>
      <c r="N15">
        <v>-7.48</v>
      </c>
      <c r="O15">
        <v>26.15</v>
      </c>
      <c r="P15" t="b">
        <v>1</v>
      </c>
      <c r="Q15">
        <v>0</v>
      </c>
      <c r="R15">
        <v>947</v>
      </c>
      <c r="U15" t="s">
        <v>792</v>
      </c>
      <c r="V15" t="s">
        <v>1163</v>
      </c>
      <c r="W15">
        <v>0</v>
      </c>
      <c r="Y15" t="s">
        <v>1534</v>
      </c>
      <c r="Z15">
        <v>0</v>
      </c>
      <c r="AA15">
        <v>1931</v>
      </c>
      <c r="AB15">
        <v>22059244</v>
      </c>
      <c r="AC15" t="s">
        <v>1876</v>
      </c>
      <c r="AD15">
        <v>18.51</v>
      </c>
      <c r="AE15" t="s">
        <v>2247</v>
      </c>
      <c r="AF15" t="s">
        <v>2618</v>
      </c>
      <c r="AG15">
        <v>264</v>
      </c>
      <c r="AH15">
        <v>-21</v>
      </c>
      <c r="AI15">
        <v>1258</v>
      </c>
      <c r="AK15" t="b">
        <v>1</v>
      </c>
    </row>
    <row r="16" spans="1:38">
      <c r="A16" s="1" t="s">
        <v>50</v>
      </c>
      <c r="B16" t="s">
        <v>421</v>
      </c>
      <c r="C16">
        <f>HYPERLINK("https://finance.naver.com/item/coinfo.nhn?code=950190", "A950190")</f>
        <v>0</v>
      </c>
      <c r="D16">
        <f>HYPERLINK("http://comp.fnguide.com/SVO2/ASP/SVD_Consensus.asp?pGB=1&amp;gicode=A950190&amp;cID=&amp;MenuYn=Y&amp;ReportGB=&amp;NewMenuID=108&amp;stkGb=701", "미투젠")</f>
        <v>0</v>
      </c>
      <c r="E16">
        <v>3</v>
      </c>
      <c r="F16">
        <v>16450</v>
      </c>
      <c r="G16">
        <v>0</v>
      </c>
      <c r="H16">
        <v>10.45</v>
      </c>
      <c r="I16">
        <v>44613</v>
      </c>
      <c r="J16">
        <v>25449</v>
      </c>
      <c r="K16">
        <v>19040</v>
      </c>
      <c r="L16">
        <v>-171.2</v>
      </c>
      <c r="M16">
        <v>-54.71</v>
      </c>
      <c r="N16">
        <v>-15.74</v>
      </c>
      <c r="O16">
        <v>46.23</v>
      </c>
      <c r="P16" t="b">
        <v>0</v>
      </c>
      <c r="Q16">
        <v>0</v>
      </c>
      <c r="R16">
        <v>2243</v>
      </c>
      <c r="U16" t="s">
        <v>793</v>
      </c>
      <c r="V16" t="s">
        <v>1164</v>
      </c>
      <c r="W16">
        <v>0</v>
      </c>
      <c r="X16">
        <v>-35.6</v>
      </c>
      <c r="Y16" t="s">
        <v>1535</v>
      </c>
      <c r="Z16">
        <v>20.88190614925303</v>
      </c>
      <c r="AA16">
        <v>2234</v>
      </c>
      <c r="AB16">
        <v>44009</v>
      </c>
      <c r="AC16" t="s">
        <v>1877</v>
      </c>
      <c r="AD16">
        <v>44.27</v>
      </c>
      <c r="AE16" t="s">
        <v>2248</v>
      </c>
      <c r="AF16" t="s">
        <v>2619</v>
      </c>
      <c r="AG16">
        <v>944</v>
      </c>
      <c r="AH16">
        <v>367</v>
      </c>
      <c r="AI16">
        <v>1227391</v>
      </c>
      <c r="AK16" t="b">
        <v>1</v>
      </c>
    </row>
    <row r="17" spans="1:37">
      <c r="A17" s="1" t="s">
        <v>51</v>
      </c>
      <c r="B17" t="s">
        <v>422</v>
      </c>
      <c r="C17">
        <f>HYPERLINK("https://finance.naver.com/item/coinfo.nhn?code=100790", "A100790")</f>
        <v>0</v>
      </c>
      <c r="D17">
        <f>HYPERLINK("http://comp.fnguide.com/SVO2/ASP/SVD_Consensus.asp?pGB=1&amp;gicode=A100790&amp;cID=&amp;MenuYn=Y&amp;ReportGB=&amp;NewMenuID=108&amp;stkGb=701", "미래에셋벤처투자")</f>
        <v>0</v>
      </c>
      <c r="E17">
        <v>3</v>
      </c>
      <c r="F17">
        <v>6220</v>
      </c>
      <c r="G17">
        <v>0.05</v>
      </c>
      <c r="H17">
        <v>4.86</v>
      </c>
      <c r="I17">
        <v>13556</v>
      </c>
      <c r="J17">
        <v>8930</v>
      </c>
      <c r="K17">
        <v>7383</v>
      </c>
      <c r="L17">
        <v>-117.95</v>
      </c>
      <c r="M17">
        <v>-43.57</v>
      </c>
      <c r="N17">
        <v>-18.69</v>
      </c>
      <c r="O17">
        <v>26.57</v>
      </c>
      <c r="P17" t="b">
        <v>0</v>
      </c>
      <c r="Q17">
        <v>3</v>
      </c>
      <c r="R17">
        <v>1657</v>
      </c>
      <c r="S17">
        <v>1960</v>
      </c>
      <c r="T17">
        <v>18.3</v>
      </c>
      <c r="U17" t="s">
        <v>794</v>
      </c>
      <c r="V17" t="s">
        <v>1165</v>
      </c>
      <c r="W17">
        <v>100.5525468540621</v>
      </c>
      <c r="Y17" t="s">
        <v>1536</v>
      </c>
      <c r="Z17">
        <v>0</v>
      </c>
      <c r="AA17">
        <v>3015</v>
      </c>
      <c r="AB17">
        <v>71697</v>
      </c>
      <c r="AC17" t="s">
        <v>1878</v>
      </c>
      <c r="AD17">
        <v>63.51</v>
      </c>
      <c r="AE17" t="s">
        <v>2249</v>
      </c>
      <c r="AF17" t="s">
        <v>2620</v>
      </c>
      <c r="AG17">
        <v>2748</v>
      </c>
      <c r="AH17">
        <v>964</v>
      </c>
      <c r="AI17">
        <v>505050</v>
      </c>
      <c r="AJ17">
        <v>0.98</v>
      </c>
      <c r="AK17" t="b">
        <v>1</v>
      </c>
    </row>
    <row r="18" spans="1:37">
      <c r="A18" s="1" t="s">
        <v>52</v>
      </c>
      <c r="B18" t="s">
        <v>423</v>
      </c>
      <c r="C18">
        <f>HYPERLINK("https://finance.naver.com/item/coinfo.nhn?code=058110", "A058110")</f>
        <v>0</v>
      </c>
      <c r="D18">
        <f>HYPERLINK("http://comp.fnguide.com/SVO2/ASP/SVD_Consensus.asp?pGB=1&amp;gicode=A058110&amp;cID=&amp;MenuYn=Y&amp;ReportGB=&amp;NewMenuID=108&amp;stkGb=701", "멕아이씨에스")</f>
        <v>0</v>
      </c>
      <c r="E18">
        <v>3</v>
      </c>
      <c r="F18">
        <v>6600</v>
      </c>
      <c r="G18">
        <v>0</v>
      </c>
      <c r="H18">
        <v>17.59</v>
      </c>
      <c r="I18">
        <v>20900</v>
      </c>
      <c r="J18">
        <v>11914</v>
      </c>
      <c r="K18">
        <v>8908</v>
      </c>
      <c r="L18">
        <v>-216.66</v>
      </c>
      <c r="M18">
        <v>-80.51000000000001</v>
      </c>
      <c r="N18">
        <v>-34.98</v>
      </c>
      <c r="O18">
        <v>46.38</v>
      </c>
      <c r="P18" t="b">
        <v>1</v>
      </c>
      <c r="Q18">
        <v>0</v>
      </c>
      <c r="R18">
        <v>603</v>
      </c>
      <c r="U18" t="s">
        <v>795</v>
      </c>
      <c r="V18" t="s">
        <v>1166</v>
      </c>
      <c r="W18">
        <v>0</v>
      </c>
      <c r="X18">
        <v>17</v>
      </c>
      <c r="Y18" t="s">
        <v>1537</v>
      </c>
      <c r="Z18">
        <v>0</v>
      </c>
      <c r="AA18">
        <v>1059</v>
      </c>
      <c r="AB18">
        <v>497708</v>
      </c>
      <c r="AC18" t="s">
        <v>1879</v>
      </c>
      <c r="AD18">
        <v>25.34</v>
      </c>
      <c r="AE18" t="s">
        <v>2250</v>
      </c>
      <c r="AF18" t="s">
        <v>2621</v>
      </c>
      <c r="AG18">
        <v>493</v>
      </c>
      <c r="AH18">
        <v>106</v>
      </c>
      <c r="AI18">
        <v>371000</v>
      </c>
      <c r="AJ18">
        <v>0.78</v>
      </c>
      <c r="AK18" t="b">
        <v>1</v>
      </c>
    </row>
    <row r="19" spans="1:37">
      <c r="A19" s="1" t="s">
        <v>53</v>
      </c>
      <c r="B19" t="s">
        <v>424</v>
      </c>
      <c r="C19">
        <f>HYPERLINK("https://finance.naver.com/item/coinfo.nhn?code=037350", "A037350")</f>
        <v>0</v>
      </c>
      <c r="D19">
        <f>HYPERLINK("http://comp.fnguide.com/SVO2/ASP/SVD_Consensus.asp?pGB=1&amp;gicode=A037350&amp;cID=&amp;MenuYn=Y&amp;ReportGB=&amp;NewMenuID=108&amp;stkGb=701", "성도이엔지")</f>
        <v>0</v>
      </c>
      <c r="E19">
        <v>3</v>
      </c>
      <c r="F19">
        <v>5580</v>
      </c>
      <c r="G19">
        <v>0</v>
      </c>
      <c r="H19">
        <v>4.1</v>
      </c>
      <c r="I19">
        <v>37131</v>
      </c>
      <c r="J19">
        <v>26709</v>
      </c>
      <c r="K19">
        <v>23224</v>
      </c>
      <c r="L19">
        <v>-565.42</v>
      </c>
      <c r="M19">
        <v>-378.66</v>
      </c>
      <c r="N19">
        <v>-316.2</v>
      </c>
      <c r="O19">
        <v>20.57</v>
      </c>
      <c r="P19" t="b">
        <v>1</v>
      </c>
      <c r="Q19">
        <v>0</v>
      </c>
      <c r="R19">
        <v>1380</v>
      </c>
      <c r="U19" t="s">
        <v>796</v>
      </c>
      <c r="V19" t="s">
        <v>1167</v>
      </c>
      <c r="W19">
        <v>0</v>
      </c>
      <c r="X19">
        <v>89</v>
      </c>
      <c r="Y19" t="s">
        <v>1538</v>
      </c>
      <c r="Z19">
        <v>0</v>
      </c>
      <c r="AA19">
        <v>863</v>
      </c>
      <c r="AB19">
        <v>203555</v>
      </c>
      <c r="AC19" t="s">
        <v>1880</v>
      </c>
      <c r="AD19">
        <v>36.54</v>
      </c>
      <c r="AE19" t="s">
        <v>2251</v>
      </c>
      <c r="AF19" t="s">
        <v>2622</v>
      </c>
      <c r="AG19">
        <v>5556</v>
      </c>
      <c r="AH19">
        <v>169</v>
      </c>
      <c r="AI19">
        <v>1267000</v>
      </c>
      <c r="AJ19">
        <v>2.65</v>
      </c>
      <c r="AK19" t="b">
        <v>1</v>
      </c>
    </row>
    <row r="20" spans="1:37">
      <c r="A20" s="1" t="s">
        <v>54</v>
      </c>
      <c r="B20" t="s">
        <v>425</v>
      </c>
      <c r="C20">
        <f>HYPERLINK("https://finance.naver.com/item/coinfo.nhn?code=024830", "A024830")</f>
        <v>0</v>
      </c>
      <c r="D20">
        <f>HYPERLINK("http://comp.fnguide.com/SVO2/ASP/SVD_Consensus.asp?pGB=1&amp;gicode=A024830&amp;cID=&amp;MenuYn=Y&amp;ReportGB=&amp;NewMenuID=108&amp;stkGb=701", "세원물산")</f>
        <v>0</v>
      </c>
      <c r="E20">
        <v>3</v>
      </c>
      <c r="F20">
        <v>6280</v>
      </c>
      <c r="G20">
        <v>0</v>
      </c>
      <c r="H20">
        <v>1.94</v>
      </c>
      <c r="I20">
        <v>29005</v>
      </c>
      <c r="J20">
        <v>28447</v>
      </c>
      <c r="K20">
        <v>28260</v>
      </c>
      <c r="L20">
        <v>-361.86</v>
      </c>
      <c r="M20">
        <v>-352.97</v>
      </c>
      <c r="N20">
        <v>-350</v>
      </c>
      <c r="O20">
        <v>10.41</v>
      </c>
      <c r="P20" t="b">
        <v>1</v>
      </c>
      <c r="Q20">
        <v>0</v>
      </c>
      <c r="R20">
        <v>3231</v>
      </c>
      <c r="U20" t="s">
        <v>797</v>
      </c>
      <c r="V20" t="s">
        <v>1168</v>
      </c>
      <c r="W20">
        <v>0</v>
      </c>
      <c r="X20">
        <v>3.7</v>
      </c>
      <c r="Y20" t="s">
        <v>1539</v>
      </c>
      <c r="Z20">
        <v>33.98784066465051</v>
      </c>
      <c r="AA20">
        <v>524</v>
      </c>
      <c r="AB20">
        <v>0</v>
      </c>
      <c r="AC20" t="s">
        <v>1881</v>
      </c>
      <c r="AD20">
        <v>78.43000000000001</v>
      </c>
      <c r="AE20" t="s">
        <v>2252</v>
      </c>
      <c r="AF20" t="s">
        <v>2623</v>
      </c>
      <c r="AG20">
        <v>2101</v>
      </c>
      <c r="AH20">
        <v>152</v>
      </c>
      <c r="AJ20">
        <v>0.4</v>
      </c>
      <c r="AK20" t="b">
        <v>1</v>
      </c>
    </row>
    <row r="21" spans="1:37">
      <c r="A21" s="1" t="s">
        <v>55</v>
      </c>
      <c r="B21" t="s">
        <v>426</v>
      </c>
      <c r="C21">
        <f>HYPERLINK("https://finance.naver.com/item/coinfo.nhn?code=036830", "A036830")</f>
        <v>0</v>
      </c>
      <c r="D21">
        <f>HYPERLINK("http://comp.fnguide.com/SVO2/ASP/SVD_Consensus.asp?pGB=1&amp;gicode=A036830&amp;cID=&amp;MenuYn=Y&amp;ReportGB=&amp;NewMenuID=108&amp;stkGb=701", "솔브레인홀딩스")</f>
        <v>0</v>
      </c>
      <c r="E21">
        <v>3</v>
      </c>
      <c r="F21">
        <v>21200</v>
      </c>
      <c r="G21">
        <v>0</v>
      </c>
      <c r="H21">
        <v>23.06</v>
      </c>
      <c r="I21">
        <v>289647</v>
      </c>
      <c r="J21">
        <v>159447</v>
      </c>
      <c r="K21">
        <v>115902</v>
      </c>
      <c r="L21">
        <v>-1266.26</v>
      </c>
      <c r="M21">
        <v>-652.11</v>
      </c>
      <c r="N21">
        <v>-446.71</v>
      </c>
      <c r="O21">
        <v>55.52</v>
      </c>
      <c r="P21" t="b">
        <v>1</v>
      </c>
      <c r="Q21">
        <v>0</v>
      </c>
      <c r="R21">
        <v>1501</v>
      </c>
      <c r="U21" t="s">
        <v>798</v>
      </c>
      <c r="V21" t="s">
        <v>1169</v>
      </c>
      <c r="W21">
        <v>0</v>
      </c>
      <c r="X21">
        <v>-60.6</v>
      </c>
      <c r="Y21" t="s">
        <v>1540</v>
      </c>
      <c r="Z21">
        <v>-25.35323800885012</v>
      </c>
      <c r="AA21">
        <v>4444</v>
      </c>
      <c r="AB21">
        <v>50983</v>
      </c>
      <c r="AC21" t="s">
        <v>1882</v>
      </c>
      <c r="AD21">
        <v>73.34999999999999</v>
      </c>
      <c r="AE21" t="s">
        <v>2253</v>
      </c>
      <c r="AF21" t="s">
        <v>2624</v>
      </c>
      <c r="AG21">
        <v>4172</v>
      </c>
      <c r="AH21">
        <v>544</v>
      </c>
      <c r="AI21">
        <v>302463</v>
      </c>
      <c r="AJ21">
        <v>0.43</v>
      </c>
      <c r="AK21" t="b">
        <v>1</v>
      </c>
    </row>
    <row r="22" spans="1:37">
      <c r="A22" s="1" t="s">
        <v>56</v>
      </c>
      <c r="B22" t="s">
        <v>427</v>
      </c>
      <c r="C22">
        <f>HYPERLINK("https://finance.naver.com/item/coinfo.nhn?code=127710", "A127710")</f>
        <v>0</v>
      </c>
      <c r="D22">
        <f>HYPERLINK("http://comp.fnguide.com/SVO2/ASP/SVD_Consensus.asp?pGB=1&amp;gicode=A127710&amp;cID=&amp;MenuYn=Y&amp;ReportGB=&amp;NewMenuID=108&amp;stkGb=701", "아시아경제")</f>
        <v>0</v>
      </c>
      <c r="E22">
        <v>3</v>
      </c>
      <c r="F22">
        <v>2180</v>
      </c>
      <c r="G22">
        <v>0</v>
      </c>
      <c r="H22">
        <v>3.95</v>
      </c>
      <c r="I22">
        <v>4804</v>
      </c>
      <c r="J22">
        <v>4658</v>
      </c>
      <c r="K22">
        <v>4609</v>
      </c>
      <c r="L22">
        <v>-120.36</v>
      </c>
      <c r="M22">
        <v>-113.67</v>
      </c>
      <c r="N22">
        <v>-111.43</v>
      </c>
      <c r="O22">
        <v>10.64</v>
      </c>
      <c r="P22" t="b">
        <v>1</v>
      </c>
      <c r="Q22">
        <v>0</v>
      </c>
      <c r="R22">
        <v>840</v>
      </c>
      <c r="U22" t="s">
        <v>799</v>
      </c>
      <c r="V22" t="s">
        <v>1170</v>
      </c>
      <c r="W22">
        <v>0</v>
      </c>
      <c r="Y22" t="s">
        <v>1541</v>
      </c>
      <c r="Z22">
        <v>0</v>
      </c>
      <c r="AA22">
        <v>761</v>
      </c>
      <c r="AB22">
        <v>53861</v>
      </c>
      <c r="AC22" t="s">
        <v>1883</v>
      </c>
      <c r="AD22">
        <v>60.04</v>
      </c>
      <c r="AE22" t="s">
        <v>2254</v>
      </c>
      <c r="AF22" t="s">
        <v>2625</v>
      </c>
      <c r="AG22">
        <v>428</v>
      </c>
      <c r="AH22">
        <v>43</v>
      </c>
      <c r="AK22" t="b">
        <v>1</v>
      </c>
    </row>
    <row r="23" spans="1:37">
      <c r="A23" s="1" t="s">
        <v>57</v>
      </c>
      <c r="B23" t="s">
        <v>428</v>
      </c>
      <c r="C23">
        <f>HYPERLINK("https://finance.naver.com/item/coinfo.nhn?code=031330", "A031330")</f>
        <v>0</v>
      </c>
      <c r="D23">
        <f>HYPERLINK("http://comp.fnguide.com/SVO2/ASP/SVD_Consensus.asp?pGB=1&amp;gicode=A031330&amp;cID=&amp;MenuYn=Y&amp;ReportGB=&amp;NewMenuID=108&amp;stkGb=701", "에스에이엠티")</f>
        <v>0</v>
      </c>
      <c r="E23">
        <v>3</v>
      </c>
      <c r="F23">
        <v>3760</v>
      </c>
      <c r="G23">
        <v>0</v>
      </c>
      <c r="H23">
        <v>7.39</v>
      </c>
      <c r="I23">
        <v>6101</v>
      </c>
      <c r="J23">
        <v>4500</v>
      </c>
      <c r="K23">
        <v>3965</v>
      </c>
      <c r="L23">
        <v>-62.26</v>
      </c>
      <c r="M23">
        <v>-19.69</v>
      </c>
      <c r="N23">
        <v>-5.45</v>
      </c>
      <c r="O23">
        <v>19.25</v>
      </c>
      <c r="P23" t="b">
        <v>1</v>
      </c>
      <c r="Q23">
        <v>0</v>
      </c>
      <c r="R23">
        <v>601</v>
      </c>
      <c r="U23" t="s">
        <v>800</v>
      </c>
      <c r="V23" t="s">
        <v>1171</v>
      </c>
      <c r="W23">
        <v>0</v>
      </c>
      <c r="X23">
        <v>66</v>
      </c>
      <c r="Y23" t="s">
        <v>1542</v>
      </c>
      <c r="Z23">
        <v>27.64964514433561</v>
      </c>
      <c r="AA23">
        <v>3760</v>
      </c>
      <c r="AB23">
        <v>180267</v>
      </c>
      <c r="AC23" t="s">
        <v>1884</v>
      </c>
      <c r="AD23">
        <v>49.94</v>
      </c>
      <c r="AE23" t="s">
        <v>2255</v>
      </c>
      <c r="AF23" t="s">
        <v>2626</v>
      </c>
      <c r="AG23">
        <v>22320</v>
      </c>
      <c r="AH23">
        <v>845</v>
      </c>
      <c r="AI23">
        <v>2000000</v>
      </c>
      <c r="AJ23">
        <v>4.5</v>
      </c>
      <c r="AK23" t="b">
        <v>1</v>
      </c>
    </row>
    <row r="24" spans="1:37">
      <c r="A24" s="1" t="s">
        <v>58</v>
      </c>
      <c r="B24" t="s">
        <v>429</v>
      </c>
      <c r="C24">
        <f>HYPERLINK("https://finance.naver.com/item/coinfo.nhn?code=260970", "A260970")</f>
        <v>0</v>
      </c>
      <c r="D24">
        <f>HYPERLINK("http://comp.fnguide.com/SVO2/ASP/SVD_Consensus.asp?pGB=1&amp;gicode=A260970&amp;cID=&amp;MenuYn=Y&amp;ReportGB=&amp;NewMenuID=108&amp;stkGb=701", "에스앤디")</f>
        <v>0</v>
      </c>
      <c r="E24">
        <v>3</v>
      </c>
      <c r="F24">
        <v>18700</v>
      </c>
      <c r="G24">
        <v>0</v>
      </c>
      <c r="H24">
        <v>8.289999999999999</v>
      </c>
      <c r="I24">
        <v>32400</v>
      </c>
      <c r="J24">
        <v>23946</v>
      </c>
      <c r="K24">
        <v>21118</v>
      </c>
      <c r="L24">
        <v>-73.26000000000001</v>
      </c>
      <c r="M24">
        <v>-28.05</v>
      </c>
      <c r="N24">
        <v>-12.93</v>
      </c>
      <c r="O24">
        <v>19.16</v>
      </c>
      <c r="P24" t="b">
        <v>1</v>
      </c>
      <c r="Q24">
        <v>0</v>
      </c>
      <c r="R24">
        <v>2310</v>
      </c>
      <c r="U24" t="s">
        <v>801</v>
      </c>
      <c r="V24" t="s">
        <v>1172</v>
      </c>
      <c r="W24">
        <v>0</v>
      </c>
      <c r="Y24" t="s">
        <v>1543</v>
      </c>
      <c r="Z24">
        <v>0</v>
      </c>
      <c r="AA24">
        <v>759</v>
      </c>
      <c r="AB24">
        <v>7197</v>
      </c>
      <c r="AC24" t="s">
        <v>1885</v>
      </c>
      <c r="AD24">
        <v>30.96</v>
      </c>
      <c r="AE24" t="s">
        <v>2256</v>
      </c>
      <c r="AF24" t="s">
        <v>2627</v>
      </c>
      <c r="AG24">
        <v>614</v>
      </c>
      <c r="AH24">
        <v>92</v>
      </c>
      <c r="AJ24">
        <v>0.78</v>
      </c>
      <c r="AK24" t="b">
        <v>1</v>
      </c>
    </row>
    <row r="25" spans="1:37">
      <c r="A25" s="1" t="s">
        <v>59</v>
      </c>
      <c r="B25" t="s">
        <v>430</v>
      </c>
      <c r="C25">
        <f>HYPERLINK("https://finance.naver.com/item/coinfo.nhn?code=121890", "A121890")</f>
        <v>0</v>
      </c>
      <c r="D25">
        <f>HYPERLINK("http://comp.fnguide.com/SVO2/ASP/SVD_Consensus.asp?pGB=1&amp;gicode=A121890&amp;cID=&amp;MenuYn=Y&amp;ReportGB=&amp;NewMenuID=108&amp;stkGb=701", "에스디시스템")</f>
        <v>0</v>
      </c>
      <c r="E25">
        <v>3</v>
      </c>
      <c r="F25">
        <v>739</v>
      </c>
      <c r="G25">
        <v>0</v>
      </c>
      <c r="H25">
        <v>2.95</v>
      </c>
      <c r="I25">
        <v>1279</v>
      </c>
      <c r="J25">
        <v>971</v>
      </c>
      <c r="K25">
        <v>868</v>
      </c>
      <c r="L25">
        <v>-73.11</v>
      </c>
      <c r="M25">
        <v>-31.39</v>
      </c>
      <c r="N25">
        <v>-17.44</v>
      </c>
      <c r="O25">
        <v>17.91</v>
      </c>
      <c r="P25" t="b">
        <v>1</v>
      </c>
      <c r="Q25">
        <v>0</v>
      </c>
      <c r="R25">
        <v>251</v>
      </c>
      <c r="U25" t="s">
        <v>802</v>
      </c>
      <c r="V25" t="s">
        <v>1173</v>
      </c>
      <c r="W25">
        <v>0</v>
      </c>
      <c r="Y25" t="s">
        <v>1534</v>
      </c>
      <c r="Z25">
        <v>0</v>
      </c>
      <c r="AA25">
        <v>82</v>
      </c>
      <c r="AB25">
        <v>0</v>
      </c>
      <c r="AC25" t="s">
        <v>1886</v>
      </c>
      <c r="AD25">
        <v>26.13</v>
      </c>
      <c r="AE25" t="s">
        <v>2257</v>
      </c>
      <c r="AF25" t="s">
        <v>2628</v>
      </c>
      <c r="AG25">
        <v>214</v>
      </c>
      <c r="AH25">
        <v>17</v>
      </c>
      <c r="AK25" t="b">
        <v>1</v>
      </c>
    </row>
    <row r="26" spans="1:37">
      <c r="A26" s="1" t="s">
        <v>60</v>
      </c>
      <c r="B26" t="s">
        <v>431</v>
      </c>
      <c r="C26">
        <f>HYPERLINK("https://finance.naver.com/item/coinfo.nhn?code=030960", "A030960")</f>
        <v>0</v>
      </c>
      <c r="D26">
        <f>HYPERLINK("http://comp.fnguide.com/SVO2/ASP/SVD_Consensus.asp?pGB=1&amp;gicode=A030960&amp;cID=&amp;MenuYn=Y&amp;ReportGB=&amp;NewMenuID=108&amp;stkGb=701", "양지사")</f>
        <v>0</v>
      </c>
      <c r="E26">
        <v>3</v>
      </c>
      <c r="F26">
        <v>12300</v>
      </c>
      <c r="G26">
        <v>0</v>
      </c>
      <c r="H26">
        <v>161.78</v>
      </c>
      <c r="I26">
        <v>44252</v>
      </c>
      <c r="J26">
        <v>27535</v>
      </c>
      <c r="K26">
        <v>21944</v>
      </c>
      <c r="L26">
        <v>-259.77</v>
      </c>
      <c r="M26">
        <v>-123.86</v>
      </c>
      <c r="N26">
        <v>-78.41</v>
      </c>
      <c r="O26">
        <v>32.24</v>
      </c>
      <c r="P26" t="b">
        <v>0</v>
      </c>
      <c r="Q26">
        <v>0</v>
      </c>
      <c r="R26">
        <v>83</v>
      </c>
      <c r="U26" t="s">
        <v>803</v>
      </c>
      <c r="V26" t="s">
        <v>1174</v>
      </c>
      <c r="W26">
        <v>0</v>
      </c>
      <c r="X26">
        <v>-50.7</v>
      </c>
      <c r="Y26" t="s">
        <v>1544</v>
      </c>
      <c r="Z26">
        <v>-28.81332933249396</v>
      </c>
      <c r="AA26">
        <v>1966</v>
      </c>
      <c r="AB26">
        <v>129271</v>
      </c>
      <c r="AC26" t="s">
        <v>1887</v>
      </c>
      <c r="AD26">
        <v>75.53</v>
      </c>
      <c r="AE26" t="s">
        <v>2258</v>
      </c>
      <c r="AF26" t="s">
        <v>2629</v>
      </c>
      <c r="AG26">
        <v>444</v>
      </c>
      <c r="AH26">
        <v>-21</v>
      </c>
      <c r="AI26">
        <v>2243930</v>
      </c>
      <c r="AJ26">
        <v>0.37</v>
      </c>
      <c r="AK26" t="b">
        <v>1</v>
      </c>
    </row>
    <row r="27" spans="1:37">
      <c r="A27" s="1" t="s">
        <v>61</v>
      </c>
      <c r="B27" t="s">
        <v>432</v>
      </c>
      <c r="C27">
        <f>HYPERLINK("https://finance.naver.com/item/coinfo.nhn?code=052790", "A052790")</f>
        <v>0</v>
      </c>
      <c r="D27">
        <f>HYPERLINK("http://comp.fnguide.com/SVO2/ASP/SVD_Consensus.asp?pGB=1&amp;gicode=A052790&amp;cID=&amp;MenuYn=Y&amp;ReportGB=&amp;NewMenuID=108&amp;stkGb=701", "액토즈소프트")</f>
        <v>0</v>
      </c>
      <c r="E27">
        <v>3</v>
      </c>
      <c r="F27">
        <v>9410</v>
      </c>
      <c r="G27">
        <v>0</v>
      </c>
      <c r="H27">
        <v>5.06</v>
      </c>
      <c r="I27">
        <v>31942</v>
      </c>
      <c r="J27">
        <v>24232</v>
      </c>
      <c r="K27">
        <v>21654</v>
      </c>
      <c r="L27">
        <v>-239.45</v>
      </c>
      <c r="M27">
        <v>-157.51</v>
      </c>
      <c r="N27">
        <v>-130.11</v>
      </c>
      <c r="O27">
        <v>17.94</v>
      </c>
      <c r="P27" t="b">
        <v>1</v>
      </c>
      <c r="Q27">
        <v>0</v>
      </c>
      <c r="R27">
        <v>3302</v>
      </c>
      <c r="U27" t="s">
        <v>804</v>
      </c>
      <c r="V27" t="s">
        <v>1175</v>
      </c>
      <c r="W27">
        <v>0</v>
      </c>
      <c r="X27">
        <v>-67.8</v>
      </c>
      <c r="Y27" t="s">
        <v>1545</v>
      </c>
      <c r="Z27">
        <v>0</v>
      </c>
      <c r="AA27">
        <v>1066</v>
      </c>
      <c r="AB27">
        <v>7182</v>
      </c>
      <c r="AC27" t="s">
        <v>1888</v>
      </c>
      <c r="AD27">
        <v>51.08</v>
      </c>
      <c r="AE27" t="s">
        <v>2259</v>
      </c>
      <c r="AF27" t="s">
        <v>2630</v>
      </c>
      <c r="AG27">
        <v>583</v>
      </c>
      <c r="AH27">
        <v>254</v>
      </c>
      <c r="AI27">
        <v>406091</v>
      </c>
      <c r="AK27" t="b">
        <v>1</v>
      </c>
    </row>
    <row r="28" spans="1:37">
      <c r="A28" s="1" t="s">
        <v>62</v>
      </c>
      <c r="B28" t="s">
        <v>433</v>
      </c>
      <c r="C28">
        <f>HYPERLINK("https://finance.naver.com/item/coinfo.nhn?code=031310", "A031310")</f>
        <v>0</v>
      </c>
      <c r="D28">
        <f>HYPERLINK("http://comp.fnguide.com/SVO2/ASP/SVD_Consensus.asp?pGB=1&amp;gicode=A031310&amp;cID=&amp;MenuYn=Y&amp;ReportGB=&amp;NewMenuID=108&amp;stkGb=701", "아이즈비전")</f>
        <v>0</v>
      </c>
      <c r="E28">
        <v>3</v>
      </c>
      <c r="F28">
        <v>2965</v>
      </c>
      <c r="G28">
        <v>0</v>
      </c>
      <c r="H28">
        <v>4.13</v>
      </c>
      <c r="I28">
        <v>9511</v>
      </c>
      <c r="J28">
        <v>8802</v>
      </c>
      <c r="K28">
        <v>8565</v>
      </c>
      <c r="L28">
        <v>-220.77</v>
      </c>
      <c r="M28">
        <v>-196.88</v>
      </c>
      <c r="N28">
        <v>-188.88</v>
      </c>
      <c r="O28">
        <v>11.63</v>
      </c>
      <c r="P28" t="b">
        <v>1</v>
      </c>
      <c r="Q28">
        <v>0</v>
      </c>
      <c r="R28">
        <v>1070</v>
      </c>
      <c r="U28" t="s">
        <v>805</v>
      </c>
      <c r="V28" t="s">
        <v>1176</v>
      </c>
      <c r="W28">
        <v>0</v>
      </c>
      <c r="Y28" t="s">
        <v>1546</v>
      </c>
      <c r="Z28">
        <v>0</v>
      </c>
      <c r="AA28">
        <v>487</v>
      </c>
      <c r="AB28">
        <v>78256</v>
      </c>
      <c r="AC28" t="s">
        <v>1889</v>
      </c>
      <c r="AD28">
        <v>18.08</v>
      </c>
      <c r="AE28" t="s">
        <v>2260</v>
      </c>
      <c r="AF28" t="s">
        <v>2631</v>
      </c>
      <c r="AG28">
        <v>1450</v>
      </c>
      <c r="AH28">
        <v>86</v>
      </c>
      <c r="AI28">
        <v>904659</v>
      </c>
      <c r="AK28" t="b">
        <v>1</v>
      </c>
    </row>
    <row r="29" spans="1:37">
      <c r="A29" s="1" t="s">
        <v>63</v>
      </c>
      <c r="B29" t="s">
        <v>434</v>
      </c>
      <c r="C29">
        <f>HYPERLINK("https://finance.naver.com/item/coinfo.nhn?code=083930", "A083930")</f>
        <v>0</v>
      </c>
      <c r="D29">
        <f>HYPERLINK("http://comp.fnguide.com/SVO2/ASP/SVD_Consensus.asp?pGB=1&amp;gicode=A083930&amp;cID=&amp;MenuYn=Y&amp;ReportGB=&amp;NewMenuID=108&amp;stkGb=701", "아바코")</f>
        <v>0</v>
      </c>
      <c r="E29">
        <v>3</v>
      </c>
      <c r="F29">
        <v>10950</v>
      </c>
      <c r="G29">
        <v>0</v>
      </c>
      <c r="H29">
        <v>15.61</v>
      </c>
      <c r="I29">
        <v>12178</v>
      </c>
      <c r="J29">
        <v>11941</v>
      </c>
      <c r="K29">
        <v>11862</v>
      </c>
      <c r="L29">
        <v>-11.21</v>
      </c>
      <c r="M29">
        <v>-9.050000000000001</v>
      </c>
      <c r="N29">
        <v>-8.33</v>
      </c>
      <c r="O29">
        <v>10.42</v>
      </c>
      <c r="P29" t="b">
        <v>1</v>
      </c>
      <c r="Q29">
        <v>0</v>
      </c>
      <c r="R29">
        <v>813</v>
      </c>
      <c r="U29" t="s">
        <v>806</v>
      </c>
      <c r="V29" t="s">
        <v>1177</v>
      </c>
      <c r="W29">
        <v>0</v>
      </c>
      <c r="Y29" t="s">
        <v>1547</v>
      </c>
      <c r="Z29">
        <v>0</v>
      </c>
      <c r="AA29">
        <v>1688</v>
      </c>
      <c r="AB29">
        <v>22864</v>
      </c>
      <c r="AC29" t="s">
        <v>1890</v>
      </c>
      <c r="AD29">
        <v>28.17</v>
      </c>
      <c r="AE29" t="s">
        <v>2261</v>
      </c>
      <c r="AF29" t="s">
        <v>2632</v>
      </c>
      <c r="AG29">
        <v>1798</v>
      </c>
      <c r="AH29">
        <v>98</v>
      </c>
      <c r="AI29">
        <v>2090308</v>
      </c>
      <c r="AJ29">
        <v>2.36</v>
      </c>
      <c r="AK29" t="b">
        <v>1</v>
      </c>
    </row>
    <row r="30" spans="1:37">
      <c r="A30" s="1" t="s">
        <v>64</v>
      </c>
      <c r="B30" t="s">
        <v>435</v>
      </c>
      <c r="C30">
        <f>HYPERLINK("https://finance.naver.com/item/coinfo.nhn?code=236200", "A236200")</f>
        <v>0</v>
      </c>
      <c r="D30">
        <f>HYPERLINK("http://comp.fnguide.com/SVO2/ASP/SVD_Consensus.asp?pGB=1&amp;gicode=A236200&amp;cID=&amp;MenuYn=Y&amp;ReportGB=&amp;NewMenuID=108&amp;stkGb=701", "슈프리마")</f>
        <v>0</v>
      </c>
      <c r="E30">
        <v>3</v>
      </c>
      <c r="F30">
        <v>23800</v>
      </c>
      <c r="G30">
        <v>0</v>
      </c>
      <c r="H30">
        <v>7.92</v>
      </c>
      <c r="I30">
        <v>30970</v>
      </c>
      <c r="J30">
        <v>27096</v>
      </c>
      <c r="K30">
        <v>25800</v>
      </c>
      <c r="L30">
        <v>-30.12</v>
      </c>
      <c r="M30">
        <v>-13.85</v>
      </c>
      <c r="N30">
        <v>-8.4</v>
      </c>
      <c r="O30">
        <v>13.02</v>
      </c>
      <c r="P30" t="b">
        <v>1</v>
      </c>
      <c r="Q30">
        <v>0</v>
      </c>
      <c r="R30">
        <v>3149</v>
      </c>
      <c r="U30" t="s">
        <v>807</v>
      </c>
      <c r="V30" t="s">
        <v>1178</v>
      </c>
      <c r="W30">
        <v>0</v>
      </c>
      <c r="X30">
        <v>-50.6</v>
      </c>
      <c r="Y30" t="s">
        <v>1548</v>
      </c>
      <c r="Z30">
        <v>3.952509472414079</v>
      </c>
      <c r="AA30">
        <v>1712</v>
      </c>
      <c r="AB30">
        <v>125675</v>
      </c>
      <c r="AC30" t="s">
        <v>1891</v>
      </c>
      <c r="AD30">
        <v>31.28</v>
      </c>
      <c r="AE30" t="s">
        <v>2262</v>
      </c>
      <c r="AF30" t="s">
        <v>2633</v>
      </c>
      <c r="AG30">
        <v>726</v>
      </c>
      <c r="AH30">
        <v>162</v>
      </c>
      <c r="AI30">
        <v>246768</v>
      </c>
      <c r="AK30" t="b">
        <v>1</v>
      </c>
    </row>
    <row r="31" spans="1:37">
      <c r="A31" s="1" t="s">
        <v>65</v>
      </c>
      <c r="B31" t="s">
        <v>436</v>
      </c>
      <c r="C31">
        <f>HYPERLINK("https://finance.naver.com/item/coinfo.nhn?code=096530", "A096530")</f>
        <v>0</v>
      </c>
      <c r="D31">
        <f>HYPERLINK("http://comp.fnguide.com/SVO2/ASP/SVD_Consensus.asp?pGB=1&amp;gicode=A096530&amp;cID=&amp;MenuYn=Y&amp;ReportGB=&amp;NewMenuID=108&amp;stkGb=701", "씨젠")</f>
        <v>0</v>
      </c>
      <c r="E31">
        <v>3</v>
      </c>
      <c r="F31">
        <v>39700</v>
      </c>
      <c r="G31">
        <v>0.04</v>
      </c>
      <c r="H31">
        <v>5.94</v>
      </c>
      <c r="I31">
        <v>162619</v>
      </c>
      <c r="J31">
        <v>85131</v>
      </c>
      <c r="K31">
        <v>59216</v>
      </c>
      <c r="L31">
        <v>-309.62</v>
      </c>
      <c r="M31">
        <v>-114.44</v>
      </c>
      <c r="N31">
        <v>-49.16</v>
      </c>
      <c r="O31">
        <v>76.20999999999999</v>
      </c>
      <c r="P31" t="b">
        <v>1</v>
      </c>
      <c r="Q31">
        <v>0</v>
      </c>
      <c r="R31">
        <v>10274</v>
      </c>
      <c r="S31">
        <v>6818</v>
      </c>
      <c r="T31">
        <v>-33.6</v>
      </c>
      <c r="U31" t="s">
        <v>808</v>
      </c>
      <c r="V31" t="s">
        <v>1179</v>
      </c>
      <c r="W31">
        <v>137.2027121431553</v>
      </c>
      <c r="X31">
        <v>0.5</v>
      </c>
      <c r="Y31" t="s">
        <v>1549</v>
      </c>
      <c r="Z31">
        <v>177.8252384846843</v>
      </c>
      <c r="AA31">
        <v>20734</v>
      </c>
      <c r="AB31">
        <v>742199</v>
      </c>
      <c r="AC31" t="s">
        <v>1892</v>
      </c>
      <c r="AD31">
        <v>30.71</v>
      </c>
      <c r="AE31" t="s">
        <v>2263</v>
      </c>
      <c r="AF31" t="s">
        <v>2634</v>
      </c>
      <c r="AG31">
        <v>13708</v>
      </c>
      <c r="AH31">
        <v>6667</v>
      </c>
      <c r="AI31">
        <v>1797011</v>
      </c>
      <c r="AJ31">
        <v>1.64</v>
      </c>
      <c r="AK31" t="b">
        <v>1</v>
      </c>
    </row>
    <row r="32" spans="1:37">
      <c r="A32" s="1" t="s">
        <v>66</v>
      </c>
      <c r="B32" t="s">
        <v>437</v>
      </c>
      <c r="C32">
        <f>HYPERLINK("https://finance.naver.com/item/coinfo.nhn?code=376290", "A376290")</f>
        <v>0</v>
      </c>
      <c r="D32">
        <f>HYPERLINK("http://comp.fnguide.com/SVO2/ASP/SVD_Consensus.asp?pGB=1&amp;gicode=A376290&amp;cID=&amp;MenuYn=Y&amp;ReportGB=&amp;NewMenuID=108&amp;stkGb=701", "씨유테크")</f>
        <v>0</v>
      </c>
      <c r="E32">
        <v>3</v>
      </c>
      <c r="F32">
        <v>5390</v>
      </c>
      <c r="G32">
        <v>0</v>
      </c>
      <c r="H32">
        <v>6.89</v>
      </c>
      <c r="I32">
        <v>8704</v>
      </c>
      <c r="J32">
        <v>7082</v>
      </c>
      <c r="K32">
        <v>6539</v>
      </c>
      <c r="L32">
        <v>-61.49</v>
      </c>
      <c r="M32">
        <v>-31.39</v>
      </c>
      <c r="N32">
        <v>-21.32</v>
      </c>
      <c r="O32">
        <v>15.22</v>
      </c>
      <c r="P32" t="b">
        <v>1</v>
      </c>
      <c r="Q32">
        <v>0</v>
      </c>
      <c r="R32">
        <v>1026</v>
      </c>
      <c r="U32" t="s">
        <v>809</v>
      </c>
      <c r="V32" t="s">
        <v>1180</v>
      </c>
      <c r="W32">
        <v>0</v>
      </c>
      <c r="X32">
        <v>-91.5</v>
      </c>
      <c r="Y32" t="s">
        <v>1550</v>
      </c>
      <c r="Z32">
        <v>0</v>
      </c>
      <c r="AA32">
        <v>952</v>
      </c>
      <c r="AB32">
        <v>218163</v>
      </c>
      <c r="AC32" t="s">
        <v>1893</v>
      </c>
      <c r="AD32">
        <v>69.38</v>
      </c>
      <c r="AE32" t="s">
        <v>2264</v>
      </c>
      <c r="AF32" t="s">
        <v>2635</v>
      </c>
      <c r="AG32">
        <v>2638</v>
      </c>
      <c r="AH32">
        <v>199</v>
      </c>
      <c r="AJ32">
        <v>3.68</v>
      </c>
      <c r="AK32" t="b">
        <v>1</v>
      </c>
    </row>
    <row r="33" spans="1:38">
      <c r="A33" s="1" t="s">
        <v>67</v>
      </c>
      <c r="B33" t="s">
        <v>438</v>
      </c>
      <c r="C33">
        <f>HYPERLINK("https://finance.naver.com/item/coinfo.nhn?code=352700", "A352700")</f>
        <v>0</v>
      </c>
      <c r="D33">
        <f>HYPERLINK("http://comp.fnguide.com/SVO2/ASP/SVD_Consensus.asp?pGB=1&amp;gicode=A352700&amp;cID=&amp;MenuYn=Y&amp;ReportGB=&amp;NewMenuID=108&amp;stkGb=701", "씨앤투스성진")</f>
        <v>0</v>
      </c>
      <c r="E33">
        <v>3</v>
      </c>
      <c r="F33">
        <v>5730</v>
      </c>
      <c r="G33">
        <v>0</v>
      </c>
      <c r="H33">
        <v>4.8</v>
      </c>
      <c r="I33">
        <v>25805</v>
      </c>
      <c r="J33">
        <v>14809</v>
      </c>
      <c r="K33">
        <v>11131</v>
      </c>
      <c r="L33">
        <v>-350.34</v>
      </c>
      <c r="M33">
        <v>-158.44</v>
      </c>
      <c r="N33">
        <v>-94.27</v>
      </c>
      <c r="O33">
        <v>44.93</v>
      </c>
      <c r="P33" t="b">
        <v>1</v>
      </c>
      <c r="Q33">
        <v>0</v>
      </c>
      <c r="R33">
        <v>1597</v>
      </c>
      <c r="S33">
        <v>1427</v>
      </c>
      <c r="T33">
        <v>-10.6</v>
      </c>
      <c r="U33" t="s">
        <v>810</v>
      </c>
      <c r="V33" t="s">
        <v>1181</v>
      </c>
      <c r="W33">
        <v>0</v>
      </c>
      <c r="X33">
        <v>-34.3</v>
      </c>
      <c r="Y33" t="s">
        <v>1551</v>
      </c>
      <c r="Z33">
        <v>0</v>
      </c>
      <c r="AA33">
        <v>1620</v>
      </c>
      <c r="AB33">
        <v>145859</v>
      </c>
      <c r="AC33" t="s">
        <v>1894</v>
      </c>
      <c r="AD33">
        <v>40.75</v>
      </c>
      <c r="AE33" t="s">
        <v>2265</v>
      </c>
      <c r="AF33" t="s">
        <v>2636</v>
      </c>
      <c r="AG33">
        <v>1709</v>
      </c>
      <c r="AH33">
        <v>563</v>
      </c>
      <c r="AI33">
        <v>260247</v>
      </c>
      <c r="AJ33">
        <v>5.47</v>
      </c>
      <c r="AK33" t="b">
        <v>1</v>
      </c>
    </row>
    <row r="34" spans="1:38">
      <c r="A34" s="1" t="s">
        <v>68</v>
      </c>
      <c r="B34" t="s">
        <v>439</v>
      </c>
      <c r="C34">
        <f>HYPERLINK("https://finance.naver.com/item/coinfo.nhn?code=160980", "A160980")</f>
        <v>0</v>
      </c>
      <c r="D34">
        <f>HYPERLINK("http://comp.fnguide.com/SVO2/ASP/SVD_Consensus.asp?pGB=1&amp;gicode=A160980&amp;cID=&amp;MenuYn=Y&amp;ReportGB=&amp;NewMenuID=108&amp;stkGb=701", "싸이맥스")</f>
        <v>0</v>
      </c>
      <c r="E34">
        <v>3</v>
      </c>
      <c r="F34">
        <v>14750</v>
      </c>
      <c r="G34">
        <v>0</v>
      </c>
      <c r="H34">
        <v>8.960000000000001</v>
      </c>
      <c r="I34">
        <v>23390</v>
      </c>
      <c r="J34">
        <v>18489</v>
      </c>
      <c r="K34">
        <v>16850</v>
      </c>
      <c r="L34">
        <v>-58.57</v>
      </c>
      <c r="M34">
        <v>-25.35</v>
      </c>
      <c r="N34">
        <v>-14.24</v>
      </c>
      <c r="O34">
        <v>16.25</v>
      </c>
      <c r="P34" t="b">
        <v>1</v>
      </c>
      <c r="Q34">
        <v>0</v>
      </c>
      <c r="R34">
        <v>2233</v>
      </c>
      <c r="U34" t="s">
        <v>811</v>
      </c>
      <c r="V34" t="s">
        <v>1182</v>
      </c>
      <c r="W34">
        <v>0</v>
      </c>
      <c r="X34">
        <v>-45.5</v>
      </c>
      <c r="Y34" t="s">
        <v>1552</v>
      </c>
      <c r="Z34">
        <v>-9.991019042151683</v>
      </c>
      <c r="AA34">
        <v>1611</v>
      </c>
      <c r="AB34">
        <v>13555</v>
      </c>
      <c r="AC34" t="s">
        <v>1895</v>
      </c>
      <c r="AD34">
        <v>40.49</v>
      </c>
      <c r="AE34" t="s">
        <v>2266</v>
      </c>
      <c r="AF34" t="s">
        <v>2637</v>
      </c>
      <c r="AG34">
        <v>2423</v>
      </c>
      <c r="AH34">
        <v>324</v>
      </c>
      <c r="AI34">
        <v>703815</v>
      </c>
      <c r="AJ34">
        <v>2</v>
      </c>
      <c r="AK34" t="b">
        <v>1</v>
      </c>
    </row>
    <row r="35" spans="1:38">
      <c r="A35" s="1" t="s">
        <v>69</v>
      </c>
      <c r="B35" t="s">
        <v>440</v>
      </c>
      <c r="C35">
        <f>HYPERLINK("https://finance.naver.com/item/coinfo.nhn?code=036710", "A036710")</f>
        <v>0</v>
      </c>
      <c r="D35">
        <f>HYPERLINK("http://comp.fnguide.com/SVO2/ASP/SVD_Consensus.asp?pGB=1&amp;gicode=A036710&amp;cID=&amp;MenuYn=Y&amp;ReportGB=&amp;NewMenuID=108&amp;stkGb=701", "심텍홀딩스")</f>
        <v>0</v>
      </c>
      <c r="E35">
        <v>3</v>
      </c>
      <c r="F35">
        <v>3980</v>
      </c>
      <c r="G35">
        <v>0</v>
      </c>
      <c r="H35">
        <v>7.69</v>
      </c>
      <c r="I35">
        <v>7372</v>
      </c>
      <c r="J35">
        <v>6171</v>
      </c>
      <c r="K35">
        <v>5770</v>
      </c>
      <c r="L35">
        <v>-85.22</v>
      </c>
      <c r="M35">
        <v>-55.06</v>
      </c>
      <c r="N35">
        <v>-44.98</v>
      </c>
      <c r="O35">
        <v>14.29</v>
      </c>
      <c r="P35" t="b">
        <v>1</v>
      </c>
      <c r="Q35">
        <v>0</v>
      </c>
      <c r="R35">
        <v>619</v>
      </c>
      <c r="U35" t="s">
        <v>812</v>
      </c>
      <c r="V35" t="s">
        <v>1183</v>
      </c>
      <c r="W35">
        <v>0</v>
      </c>
      <c r="X35">
        <v>486.7</v>
      </c>
      <c r="Y35" t="s">
        <v>1553</v>
      </c>
      <c r="Z35">
        <v>0</v>
      </c>
      <c r="AA35">
        <v>1618</v>
      </c>
      <c r="AB35">
        <v>792373</v>
      </c>
      <c r="AC35" t="s">
        <v>1896</v>
      </c>
      <c r="AD35">
        <v>47.96</v>
      </c>
      <c r="AE35" t="s">
        <v>2267</v>
      </c>
      <c r="AF35" t="s">
        <v>2638</v>
      </c>
      <c r="AG35">
        <v>13661</v>
      </c>
      <c r="AH35">
        <v>1708</v>
      </c>
      <c r="AI35">
        <v>2013455</v>
      </c>
      <c r="AJ35">
        <v>1.05</v>
      </c>
      <c r="AK35" t="b">
        <v>1</v>
      </c>
    </row>
    <row r="36" spans="1:38">
      <c r="A36" s="1" t="s">
        <v>70</v>
      </c>
      <c r="B36" t="s">
        <v>441</v>
      </c>
      <c r="C36">
        <f>HYPERLINK("https://finance.naver.com/item/coinfo.nhn?code=192440", "A192440")</f>
        <v>0</v>
      </c>
      <c r="D36">
        <f>HYPERLINK("http://comp.fnguide.com/SVO2/ASP/SVD_Consensus.asp?pGB=1&amp;gicode=A192440&amp;cID=&amp;MenuYn=Y&amp;ReportGB=&amp;NewMenuID=108&amp;stkGb=701", "슈피겐코리아")</f>
        <v>0</v>
      </c>
      <c r="E36">
        <v>3</v>
      </c>
      <c r="F36">
        <v>38050</v>
      </c>
      <c r="G36">
        <v>0</v>
      </c>
      <c r="H36">
        <v>5.92</v>
      </c>
      <c r="I36">
        <v>90304</v>
      </c>
      <c r="J36">
        <v>75383</v>
      </c>
      <c r="K36">
        <v>70393</v>
      </c>
      <c r="L36">
        <v>-137.33</v>
      </c>
      <c r="M36">
        <v>-98.12</v>
      </c>
      <c r="N36">
        <v>-85</v>
      </c>
      <c r="O36">
        <v>14.38</v>
      </c>
      <c r="P36" t="b">
        <v>1</v>
      </c>
      <c r="Q36">
        <v>0</v>
      </c>
      <c r="R36">
        <v>7269</v>
      </c>
      <c r="U36" t="s">
        <v>813</v>
      </c>
      <c r="V36" t="s">
        <v>1184</v>
      </c>
      <c r="W36">
        <v>0</v>
      </c>
      <c r="X36">
        <v>-72.3</v>
      </c>
      <c r="Y36" t="s">
        <v>1554</v>
      </c>
      <c r="Z36">
        <v>-20.98669610735467</v>
      </c>
      <c r="AA36">
        <v>2365</v>
      </c>
      <c r="AB36">
        <v>4883</v>
      </c>
      <c r="AC36" t="s">
        <v>1897</v>
      </c>
      <c r="AD36">
        <v>40.99</v>
      </c>
      <c r="AE36" t="s">
        <v>2268</v>
      </c>
      <c r="AF36" t="s">
        <v>2639</v>
      </c>
      <c r="AG36">
        <v>3853</v>
      </c>
      <c r="AH36">
        <v>444</v>
      </c>
      <c r="AI36">
        <v>186531</v>
      </c>
      <c r="AJ36">
        <v>1.95</v>
      </c>
      <c r="AK36" t="b">
        <v>1</v>
      </c>
    </row>
    <row r="37" spans="1:38">
      <c r="A37" s="1" t="s">
        <v>71</v>
      </c>
      <c r="B37" t="s">
        <v>442</v>
      </c>
      <c r="C37">
        <f>HYPERLINK("https://finance.naver.com/item/coinfo.nhn?code=014100", "A014100")</f>
        <v>0</v>
      </c>
      <c r="D37">
        <f>HYPERLINK("http://comp.fnguide.com/SVO2/ASP/SVD_Consensus.asp?pGB=1&amp;gicode=A014100&amp;cID=&amp;MenuYn=Y&amp;ReportGB=&amp;NewMenuID=108&amp;stkGb=701", "메디앙스")</f>
        <v>0</v>
      </c>
      <c r="E37">
        <v>3</v>
      </c>
      <c r="F37">
        <v>4065</v>
      </c>
      <c r="G37">
        <v>0</v>
      </c>
      <c r="H37">
        <v>16.76</v>
      </c>
      <c r="I37">
        <v>9765</v>
      </c>
      <c r="J37">
        <v>8824</v>
      </c>
      <c r="K37">
        <v>8510</v>
      </c>
      <c r="L37">
        <v>-140.21</v>
      </c>
      <c r="M37">
        <v>-117.08</v>
      </c>
      <c r="N37">
        <v>-109.34</v>
      </c>
      <c r="O37">
        <v>12.19</v>
      </c>
      <c r="P37" t="b">
        <v>1</v>
      </c>
      <c r="Q37">
        <v>0</v>
      </c>
      <c r="R37">
        <v>370</v>
      </c>
      <c r="U37" t="s">
        <v>814</v>
      </c>
      <c r="V37" t="s">
        <v>1185</v>
      </c>
      <c r="W37">
        <v>0</v>
      </c>
      <c r="Y37" t="s">
        <v>1555</v>
      </c>
      <c r="Z37">
        <v>0</v>
      </c>
      <c r="AA37">
        <v>480</v>
      </c>
      <c r="AB37">
        <v>23941</v>
      </c>
      <c r="AC37" t="s">
        <v>1898</v>
      </c>
      <c r="AD37">
        <v>31.93</v>
      </c>
      <c r="AE37" t="s">
        <v>2269</v>
      </c>
      <c r="AF37" t="s">
        <v>2640</v>
      </c>
      <c r="AG37">
        <v>715</v>
      </c>
      <c r="AH37">
        <v>45</v>
      </c>
      <c r="AI37">
        <v>236868</v>
      </c>
      <c r="AK37" t="b">
        <v>1</v>
      </c>
    </row>
    <row r="38" spans="1:38">
      <c r="A38" s="1" t="s">
        <v>72</v>
      </c>
      <c r="B38" t="s">
        <v>443</v>
      </c>
      <c r="C38">
        <f>HYPERLINK("https://finance.naver.com/item/coinfo.nhn?code=041920", "A041920")</f>
        <v>0</v>
      </c>
      <c r="D38">
        <f>HYPERLINK("http://comp.fnguide.com/SVO2/ASP/SVD_Consensus.asp?pGB=1&amp;gicode=A041920&amp;cID=&amp;MenuYn=Y&amp;ReportGB=&amp;NewMenuID=108&amp;stkGb=701", "메디아나")</f>
        <v>0</v>
      </c>
      <c r="E38">
        <v>3</v>
      </c>
      <c r="F38">
        <v>4990</v>
      </c>
      <c r="G38">
        <v>0</v>
      </c>
      <c r="H38">
        <v>12.11</v>
      </c>
      <c r="I38">
        <v>6903</v>
      </c>
      <c r="J38">
        <v>5822</v>
      </c>
      <c r="K38">
        <v>5460</v>
      </c>
      <c r="L38">
        <v>-38.33</v>
      </c>
      <c r="M38">
        <v>-16.67</v>
      </c>
      <c r="N38">
        <v>-9.43</v>
      </c>
      <c r="O38">
        <v>14.06</v>
      </c>
      <c r="P38" t="b">
        <v>1</v>
      </c>
      <c r="Q38">
        <v>0</v>
      </c>
      <c r="R38">
        <v>548</v>
      </c>
      <c r="U38" t="s">
        <v>815</v>
      </c>
      <c r="V38" t="s">
        <v>1186</v>
      </c>
      <c r="W38">
        <v>0</v>
      </c>
      <c r="X38">
        <v>-8.9</v>
      </c>
      <c r="Y38" t="s">
        <v>1556</v>
      </c>
      <c r="Z38">
        <v>20.46120602442891</v>
      </c>
      <c r="AA38">
        <v>798</v>
      </c>
      <c r="AB38">
        <v>165056</v>
      </c>
      <c r="AC38" t="s">
        <v>1899</v>
      </c>
      <c r="AD38">
        <v>37.92</v>
      </c>
      <c r="AE38" t="s">
        <v>2270</v>
      </c>
      <c r="AF38" t="s">
        <v>2641</v>
      </c>
      <c r="AG38">
        <v>568</v>
      </c>
      <c r="AH38">
        <v>83</v>
      </c>
      <c r="AI38">
        <v>47620</v>
      </c>
      <c r="AJ38">
        <v>0.41</v>
      </c>
      <c r="AK38" t="b">
        <v>1</v>
      </c>
    </row>
    <row r="39" spans="1:38">
      <c r="A39" s="1" t="s">
        <v>73</v>
      </c>
      <c r="B39" t="s">
        <v>444</v>
      </c>
      <c r="C39">
        <f>HYPERLINK("https://finance.naver.com/item/coinfo.nhn?code=093520", "A093520")</f>
        <v>0</v>
      </c>
      <c r="D39">
        <f>HYPERLINK("http://comp.fnguide.com/SVO2/ASP/SVD_Consensus.asp?pGB=1&amp;gicode=A093520&amp;cID=&amp;MenuYn=Y&amp;ReportGB=&amp;NewMenuID=108&amp;stkGb=701", "매커스")</f>
        <v>0</v>
      </c>
      <c r="E39">
        <v>3</v>
      </c>
      <c r="F39">
        <v>8340</v>
      </c>
      <c r="G39">
        <v>0</v>
      </c>
      <c r="H39">
        <v>5.2</v>
      </c>
      <c r="I39">
        <v>16288</v>
      </c>
      <c r="J39">
        <v>10985</v>
      </c>
      <c r="K39">
        <v>9211</v>
      </c>
      <c r="L39">
        <v>-95.31</v>
      </c>
      <c r="M39">
        <v>-31.72</v>
      </c>
      <c r="N39">
        <v>-10.45</v>
      </c>
      <c r="O39">
        <v>24.7</v>
      </c>
      <c r="P39" t="b">
        <v>1</v>
      </c>
      <c r="Q39">
        <v>0</v>
      </c>
      <c r="R39">
        <v>1545</v>
      </c>
      <c r="U39" t="s">
        <v>816</v>
      </c>
      <c r="V39" t="s">
        <v>1187</v>
      </c>
      <c r="W39">
        <v>0</v>
      </c>
      <c r="X39">
        <v>41.3</v>
      </c>
      <c r="Y39" t="s">
        <v>1557</v>
      </c>
      <c r="Z39">
        <v>30.97484487532196</v>
      </c>
      <c r="AA39">
        <v>1348</v>
      </c>
      <c r="AB39">
        <v>150594</v>
      </c>
      <c r="AC39" t="s">
        <v>1900</v>
      </c>
      <c r="AD39">
        <v>15.93</v>
      </c>
      <c r="AE39" t="s">
        <v>2271</v>
      </c>
      <c r="AF39" t="s">
        <v>2642</v>
      </c>
      <c r="AG39">
        <v>1407</v>
      </c>
      <c r="AH39">
        <v>260</v>
      </c>
      <c r="AI39">
        <v>4135008</v>
      </c>
      <c r="AJ39">
        <v>1.49</v>
      </c>
      <c r="AK39" t="b">
        <v>1</v>
      </c>
    </row>
    <row r="40" spans="1:38">
      <c r="A40" s="1" t="s">
        <v>74</v>
      </c>
      <c r="B40" t="s">
        <v>445</v>
      </c>
      <c r="C40">
        <f>HYPERLINK("https://finance.naver.com/item/coinfo.nhn?code=121440", "A121440")</f>
        <v>0</v>
      </c>
      <c r="D40">
        <f>HYPERLINK("http://comp.fnguide.com/SVO2/ASP/SVD_Consensus.asp?pGB=1&amp;gicode=A121440&amp;cID=&amp;MenuYn=Y&amp;ReportGB=&amp;NewMenuID=108&amp;stkGb=701", "골프존뉴딘홀딩스")</f>
        <v>0</v>
      </c>
      <c r="E40">
        <v>3</v>
      </c>
      <c r="F40">
        <v>6990</v>
      </c>
      <c r="G40">
        <v>0</v>
      </c>
      <c r="H40">
        <v>2.84</v>
      </c>
      <c r="I40">
        <v>20458</v>
      </c>
      <c r="J40">
        <v>16921</v>
      </c>
      <c r="K40">
        <v>15738</v>
      </c>
      <c r="L40">
        <v>-192.67</v>
      </c>
      <c r="M40">
        <v>-142.07</v>
      </c>
      <c r="N40">
        <v>-125.14</v>
      </c>
      <c r="O40">
        <v>14.67</v>
      </c>
      <c r="P40" t="b">
        <v>1</v>
      </c>
      <c r="Q40">
        <v>0</v>
      </c>
      <c r="R40">
        <v>3146</v>
      </c>
      <c r="U40" t="s">
        <v>817</v>
      </c>
      <c r="V40" t="s">
        <v>1188</v>
      </c>
      <c r="W40">
        <v>0</v>
      </c>
      <c r="X40">
        <v>107.2</v>
      </c>
      <c r="Y40" t="s">
        <v>1558</v>
      </c>
      <c r="Z40">
        <v>0</v>
      </c>
      <c r="AA40">
        <v>2994</v>
      </c>
      <c r="AB40">
        <v>33692</v>
      </c>
      <c r="AC40" t="s">
        <v>1901</v>
      </c>
      <c r="AD40">
        <v>55.54</v>
      </c>
      <c r="AE40" t="s">
        <v>2272</v>
      </c>
      <c r="AF40" t="s">
        <v>2643</v>
      </c>
      <c r="AG40">
        <v>4177</v>
      </c>
      <c r="AH40">
        <v>732</v>
      </c>
      <c r="AI40">
        <v>77616</v>
      </c>
      <c r="AJ40">
        <v>1.57</v>
      </c>
      <c r="AK40" t="b">
        <v>1</v>
      </c>
    </row>
    <row r="41" spans="1:38">
      <c r="A41" s="1" t="s">
        <v>75</v>
      </c>
      <c r="B41" t="s">
        <v>446</v>
      </c>
      <c r="C41">
        <f>HYPERLINK("https://finance.naver.com/item/coinfo.nhn?code=137940", "A137940")</f>
        <v>0</v>
      </c>
      <c r="D41">
        <f>HYPERLINK("http://comp.fnguide.com/SVO2/ASP/SVD_Consensus.asp?pGB=1&amp;gicode=A137940&amp;cID=&amp;MenuYn=Y&amp;ReportGB=&amp;NewMenuID=108&amp;stkGb=701", "넥스트아이")</f>
        <v>0</v>
      </c>
      <c r="E41">
        <v>3</v>
      </c>
      <c r="F41">
        <v>757</v>
      </c>
      <c r="G41">
        <v>0</v>
      </c>
      <c r="I41">
        <v>1991</v>
      </c>
      <c r="J41">
        <v>1654</v>
      </c>
      <c r="K41">
        <v>1542</v>
      </c>
      <c r="L41">
        <v>-162.99</v>
      </c>
      <c r="M41">
        <v>-118.55</v>
      </c>
      <c r="N41">
        <v>-103.69</v>
      </c>
      <c r="O41">
        <v>14.52</v>
      </c>
      <c r="P41" t="b">
        <v>0</v>
      </c>
      <c r="Q41">
        <v>0</v>
      </c>
      <c r="R41">
        <v>-233</v>
      </c>
      <c r="U41" t="s">
        <v>818</v>
      </c>
      <c r="V41" t="s">
        <v>1189</v>
      </c>
      <c r="W41">
        <v>0</v>
      </c>
      <c r="Y41" t="s">
        <v>1534</v>
      </c>
      <c r="Z41">
        <v>0</v>
      </c>
      <c r="AA41">
        <v>593</v>
      </c>
      <c r="AB41">
        <v>105042</v>
      </c>
      <c r="AC41" t="s">
        <v>1902</v>
      </c>
      <c r="AD41">
        <v>23.61</v>
      </c>
      <c r="AE41" t="s">
        <v>2273</v>
      </c>
      <c r="AF41" t="s">
        <v>2644</v>
      </c>
      <c r="AG41">
        <v>287</v>
      </c>
      <c r="AH41">
        <v>-115</v>
      </c>
      <c r="AI41">
        <v>1759210</v>
      </c>
      <c r="AL41" t="b">
        <v>0</v>
      </c>
    </row>
    <row r="42" spans="1:38">
      <c r="A42" s="1" t="s">
        <v>76</v>
      </c>
      <c r="B42" t="s">
        <v>447</v>
      </c>
      <c r="C42">
        <f>HYPERLINK("https://finance.naver.com/item/coinfo.nhn?code=042420", "A042420")</f>
        <v>0</v>
      </c>
      <c r="D42">
        <f>HYPERLINK("http://comp.fnguide.com/SVO2/ASP/SVD_Consensus.asp?pGB=1&amp;gicode=A042420&amp;cID=&amp;MenuYn=Y&amp;ReportGB=&amp;NewMenuID=108&amp;stkGb=701", "네오위즈홀딩스")</f>
        <v>0</v>
      </c>
      <c r="E42">
        <v>3</v>
      </c>
      <c r="F42">
        <v>31850</v>
      </c>
      <c r="G42">
        <v>0</v>
      </c>
      <c r="H42">
        <v>13.11</v>
      </c>
      <c r="I42">
        <v>84572</v>
      </c>
      <c r="J42">
        <v>70802</v>
      </c>
      <c r="K42">
        <v>66197</v>
      </c>
      <c r="L42">
        <v>-165.53</v>
      </c>
      <c r="M42">
        <v>-122.3</v>
      </c>
      <c r="N42">
        <v>-107.84</v>
      </c>
      <c r="O42">
        <v>14.29</v>
      </c>
      <c r="P42" t="b">
        <v>1</v>
      </c>
      <c r="Q42">
        <v>0</v>
      </c>
      <c r="R42">
        <v>7343</v>
      </c>
      <c r="U42" t="s">
        <v>819</v>
      </c>
      <c r="V42" t="s">
        <v>1190</v>
      </c>
      <c r="W42">
        <v>0</v>
      </c>
      <c r="Y42" t="s">
        <v>1559</v>
      </c>
      <c r="Z42">
        <v>0</v>
      </c>
      <c r="AA42">
        <v>2821</v>
      </c>
      <c r="AB42">
        <v>105424</v>
      </c>
      <c r="AC42" t="s">
        <v>1903</v>
      </c>
      <c r="AD42">
        <v>42.57</v>
      </c>
      <c r="AE42" t="s">
        <v>2274</v>
      </c>
      <c r="AF42" t="s">
        <v>2645</v>
      </c>
      <c r="AG42">
        <v>2693</v>
      </c>
      <c r="AH42">
        <v>194</v>
      </c>
      <c r="AI42">
        <v>1655069</v>
      </c>
      <c r="AJ42">
        <v>0.72</v>
      </c>
      <c r="AK42" t="b">
        <v>1</v>
      </c>
    </row>
    <row r="43" spans="1:38">
      <c r="A43" s="1" t="s">
        <v>77</v>
      </c>
      <c r="B43" t="s">
        <v>448</v>
      </c>
      <c r="C43">
        <f>HYPERLINK("https://finance.naver.com/item/coinfo.nhn?code=036800", "A036800")</f>
        <v>0</v>
      </c>
      <c r="D43">
        <f>HYPERLINK("http://comp.fnguide.com/SVO2/ASP/SVD_Consensus.asp?pGB=1&amp;gicode=A036800&amp;cID=&amp;MenuYn=Y&amp;ReportGB=&amp;NewMenuID=108&amp;stkGb=701", "나이스정보통신")</f>
        <v>0</v>
      </c>
      <c r="E43">
        <v>3</v>
      </c>
      <c r="F43">
        <v>25300</v>
      </c>
      <c r="G43">
        <v>1.02</v>
      </c>
      <c r="H43">
        <v>7.41</v>
      </c>
      <c r="I43">
        <v>35112</v>
      </c>
      <c r="J43">
        <v>32100</v>
      </c>
      <c r="K43">
        <v>31093</v>
      </c>
      <c r="L43">
        <v>-38.78</v>
      </c>
      <c r="M43">
        <v>-26.88</v>
      </c>
      <c r="N43">
        <v>-22.9</v>
      </c>
      <c r="O43">
        <v>11.91</v>
      </c>
      <c r="P43" t="b">
        <v>1</v>
      </c>
      <c r="Q43">
        <v>0</v>
      </c>
      <c r="R43">
        <v>3980</v>
      </c>
      <c r="S43">
        <v>3715</v>
      </c>
      <c r="T43">
        <v>-6.7</v>
      </c>
      <c r="U43" t="s">
        <v>820</v>
      </c>
      <c r="V43" t="s">
        <v>1191</v>
      </c>
      <c r="W43">
        <v>7.263898112525791</v>
      </c>
      <c r="X43">
        <v>3.8</v>
      </c>
      <c r="Y43" t="s">
        <v>1560</v>
      </c>
      <c r="Z43">
        <v>2.419113505528636</v>
      </c>
      <c r="AA43">
        <v>2530</v>
      </c>
      <c r="AB43">
        <v>14311</v>
      </c>
      <c r="AC43" t="s">
        <v>1904</v>
      </c>
      <c r="AD43">
        <v>42.74</v>
      </c>
      <c r="AE43" t="s">
        <v>2275</v>
      </c>
      <c r="AF43" t="s">
        <v>2646</v>
      </c>
      <c r="AG43">
        <v>6705</v>
      </c>
      <c r="AH43">
        <v>468</v>
      </c>
      <c r="AI43">
        <v>625978</v>
      </c>
      <c r="AJ43">
        <v>2</v>
      </c>
      <c r="AK43" t="b">
        <v>1</v>
      </c>
    </row>
    <row r="44" spans="1:38">
      <c r="A44" s="1" t="s">
        <v>78</v>
      </c>
      <c r="B44" t="s">
        <v>449</v>
      </c>
      <c r="C44">
        <f>HYPERLINK("https://finance.naver.com/item/coinfo.nhn?code=293580", "A293580")</f>
        <v>0</v>
      </c>
      <c r="D44">
        <f>HYPERLINK("http://comp.fnguide.com/SVO2/ASP/SVD_Consensus.asp?pGB=1&amp;gicode=A293580&amp;cID=&amp;MenuYn=Y&amp;ReportGB=&amp;NewMenuID=108&amp;stkGb=701", "나우IB")</f>
        <v>0</v>
      </c>
      <c r="E44">
        <v>3</v>
      </c>
      <c r="F44">
        <v>8330</v>
      </c>
      <c r="G44">
        <v>0</v>
      </c>
      <c r="H44">
        <v>7.7</v>
      </c>
      <c r="I44">
        <v>10973</v>
      </c>
      <c r="J44">
        <v>10055</v>
      </c>
      <c r="K44">
        <v>9748</v>
      </c>
      <c r="L44">
        <v>-31.73</v>
      </c>
      <c r="M44">
        <v>-20.71</v>
      </c>
      <c r="N44">
        <v>-17.02</v>
      </c>
      <c r="O44">
        <v>11.86</v>
      </c>
      <c r="P44" t="b">
        <v>0</v>
      </c>
      <c r="Q44">
        <v>0</v>
      </c>
      <c r="R44">
        <v>1325</v>
      </c>
      <c r="U44" t="s">
        <v>821</v>
      </c>
      <c r="V44" t="s">
        <v>1192</v>
      </c>
      <c r="W44">
        <v>0</v>
      </c>
      <c r="Y44" t="s">
        <v>1536</v>
      </c>
      <c r="Z44">
        <v>0.8796481250032739</v>
      </c>
      <c r="AA44">
        <v>798</v>
      </c>
      <c r="AB44">
        <v>20750</v>
      </c>
      <c r="AC44" t="s">
        <v>1905</v>
      </c>
      <c r="AD44">
        <v>72</v>
      </c>
      <c r="AE44" t="s">
        <v>2276</v>
      </c>
      <c r="AF44" t="s">
        <v>2647</v>
      </c>
      <c r="AG44">
        <v>265</v>
      </c>
      <c r="AH44">
        <v>162</v>
      </c>
      <c r="AI44">
        <v>168405</v>
      </c>
      <c r="AJ44">
        <v>1.47</v>
      </c>
      <c r="AK44" t="b">
        <v>1</v>
      </c>
    </row>
    <row r="45" spans="1:38">
      <c r="A45" s="1" t="s">
        <v>79</v>
      </c>
      <c r="B45" t="s">
        <v>450</v>
      </c>
      <c r="C45">
        <f>HYPERLINK("https://finance.naver.com/item/coinfo.nhn?code=036190", "A036190")</f>
        <v>0</v>
      </c>
      <c r="D45">
        <f>HYPERLINK("http://comp.fnguide.com/SVO2/ASP/SVD_Consensus.asp?pGB=1&amp;gicode=A036190&amp;cID=&amp;MenuYn=Y&amp;ReportGB=&amp;NewMenuID=108&amp;stkGb=701", "금화피에스시")</f>
        <v>0</v>
      </c>
      <c r="E45">
        <v>3</v>
      </c>
      <c r="F45">
        <v>29600</v>
      </c>
      <c r="G45">
        <v>0</v>
      </c>
      <c r="H45">
        <v>8.26</v>
      </c>
      <c r="I45">
        <v>47930</v>
      </c>
      <c r="J45">
        <v>47069</v>
      </c>
      <c r="K45">
        <v>46781</v>
      </c>
      <c r="L45">
        <v>-61.92</v>
      </c>
      <c r="M45">
        <v>-59.02</v>
      </c>
      <c r="N45">
        <v>-58.04</v>
      </c>
      <c r="O45">
        <v>10.39</v>
      </c>
      <c r="P45" t="b">
        <v>1</v>
      </c>
      <c r="Q45">
        <v>0</v>
      </c>
      <c r="R45">
        <v>3858</v>
      </c>
      <c r="U45" t="s">
        <v>822</v>
      </c>
      <c r="V45" t="s">
        <v>1193</v>
      </c>
      <c r="W45">
        <v>0</v>
      </c>
      <c r="X45">
        <v>-15.7</v>
      </c>
      <c r="Y45" t="s">
        <v>1561</v>
      </c>
      <c r="Z45">
        <v>-1.124366665318355</v>
      </c>
      <c r="AA45">
        <v>1776</v>
      </c>
      <c r="AB45">
        <v>1523</v>
      </c>
      <c r="AC45" t="s">
        <v>1906</v>
      </c>
      <c r="AD45">
        <v>36.68</v>
      </c>
      <c r="AE45" t="s">
        <v>2277</v>
      </c>
      <c r="AF45" t="s">
        <v>2648</v>
      </c>
      <c r="AG45">
        <v>2387</v>
      </c>
      <c r="AH45">
        <v>256</v>
      </c>
      <c r="AI45">
        <v>94210</v>
      </c>
      <c r="AJ45">
        <v>4.08</v>
      </c>
      <c r="AK45" t="b">
        <v>1</v>
      </c>
    </row>
    <row r="46" spans="1:38">
      <c r="A46" s="1" t="s">
        <v>80</v>
      </c>
      <c r="B46" t="s">
        <v>451</v>
      </c>
      <c r="C46">
        <f>HYPERLINK("https://finance.naver.com/item/coinfo.nhn?code=066620", "A066620")</f>
        <v>0</v>
      </c>
      <c r="D46">
        <f>HYPERLINK("http://comp.fnguide.com/SVO2/ASP/SVD_Consensus.asp?pGB=1&amp;gicode=A066620&amp;cID=&amp;MenuYn=Y&amp;ReportGB=&amp;NewMenuID=108&amp;stkGb=701", "국보디자인")</f>
        <v>0</v>
      </c>
      <c r="E46">
        <v>3</v>
      </c>
      <c r="F46">
        <v>17100</v>
      </c>
      <c r="G46">
        <v>0</v>
      </c>
      <c r="H46">
        <v>8.06</v>
      </c>
      <c r="I46">
        <v>39134</v>
      </c>
      <c r="J46">
        <v>35815</v>
      </c>
      <c r="K46">
        <v>34705</v>
      </c>
      <c r="L46">
        <v>-128.86</v>
      </c>
      <c r="M46">
        <v>-109.45</v>
      </c>
      <c r="N46">
        <v>-102.96</v>
      </c>
      <c r="O46">
        <v>11.89</v>
      </c>
      <c r="P46" t="b">
        <v>1</v>
      </c>
      <c r="Q46">
        <v>0</v>
      </c>
      <c r="R46">
        <v>2606</v>
      </c>
      <c r="U46" t="s">
        <v>823</v>
      </c>
      <c r="V46" t="s">
        <v>1194</v>
      </c>
      <c r="W46">
        <v>0</v>
      </c>
      <c r="X46">
        <v>2.3</v>
      </c>
      <c r="Y46" t="s">
        <v>1562</v>
      </c>
      <c r="Z46">
        <v>8.423162489036894</v>
      </c>
      <c r="AA46">
        <v>1283</v>
      </c>
      <c r="AB46">
        <v>7564</v>
      </c>
      <c r="AC46" t="s">
        <v>1907</v>
      </c>
      <c r="AD46">
        <v>53.09</v>
      </c>
      <c r="AE46" t="s">
        <v>2278</v>
      </c>
      <c r="AF46" t="s">
        <v>2649</v>
      </c>
      <c r="AG46">
        <v>3230</v>
      </c>
      <c r="AH46">
        <v>257</v>
      </c>
      <c r="AI46">
        <v>627314</v>
      </c>
      <c r="AJ46">
        <v>1.62</v>
      </c>
      <c r="AK46" t="b">
        <v>1</v>
      </c>
    </row>
    <row r="47" spans="1:38">
      <c r="A47" s="1" t="s">
        <v>81</v>
      </c>
      <c r="B47" t="s">
        <v>452</v>
      </c>
      <c r="C47">
        <f>HYPERLINK("https://finance.naver.com/item/coinfo.nhn?code=040300", "A040300")</f>
        <v>0</v>
      </c>
      <c r="D47">
        <f>HYPERLINK("http://comp.fnguide.com/SVO2/ASP/SVD_Consensus.asp?pGB=1&amp;gicode=A040300&amp;cID=&amp;MenuYn=Y&amp;ReportGB=&amp;NewMenuID=108&amp;stkGb=701", "YTN")</f>
        <v>0</v>
      </c>
      <c r="E47">
        <v>3</v>
      </c>
      <c r="F47">
        <v>3600</v>
      </c>
      <c r="G47">
        <v>0</v>
      </c>
      <c r="H47">
        <v>2.4</v>
      </c>
      <c r="I47">
        <v>7644</v>
      </c>
      <c r="J47">
        <v>6610</v>
      </c>
      <c r="K47">
        <v>6264</v>
      </c>
      <c r="L47">
        <v>-112.33</v>
      </c>
      <c r="M47">
        <v>-83.59999999999999</v>
      </c>
      <c r="N47">
        <v>-73.98999999999999</v>
      </c>
      <c r="O47">
        <v>13.34</v>
      </c>
      <c r="P47" t="b">
        <v>1</v>
      </c>
      <c r="Q47">
        <v>0</v>
      </c>
      <c r="R47">
        <v>1228</v>
      </c>
      <c r="U47" t="s">
        <v>824</v>
      </c>
      <c r="V47" t="s">
        <v>1195</v>
      </c>
      <c r="W47">
        <v>0</v>
      </c>
      <c r="Y47" t="s">
        <v>1563</v>
      </c>
      <c r="Z47">
        <v>0</v>
      </c>
      <c r="AA47">
        <v>1512</v>
      </c>
      <c r="AB47">
        <v>8587</v>
      </c>
      <c r="AC47" t="s">
        <v>1908</v>
      </c>
      <c r="AD47">
        <v>21.87</v>
      </c>
      <c r="AE47" t="s">
        <v>2279</v>
      </c>
      <c r="AF47" t="s">
        <v>2650</v>
      </c>
      <c r="AG47">
        <v>1452</v>
      </c>
      <c r="AH47">
        <v>34</v>
      </c>
      <c r="AJ47">
        <v>1.69</v>
      </c>
      <c r="AK47" t="b">
        <v>1</v>
      </c>
    </row>
    <row r="48" spans="1:38">
      <c r="A48" s="1" t="s">
        <v>82</v>
      </c>
      <c r="B48" t="s">
        <v>453</v>
      </c>
      <c r="C48">
        <f>HYPERLINK("https://finance.naver.com/item/coinfo.nhn?code=270870", "A270870")</f>
        <v>0</v>
      </c>
      <c r="D48">
        <f>HYPERLINK("http://comp.fnguide.com/SVO2/ASP/SVD_Consensus.asp?pGB=1&amp;gicode=A270870&amp;cID=&amp;MenuYn=Y&amp;ReportGB=&amp;NewMenuID=108&amp;stkGb=701", "뉴트리")</f>
        <v>0</v>
      </c>
      <c r="E48">
        <v>3</v>
      </c>
      <c r="F48">
        <v>12500</v>
      </c>
      <c r="G48">
        <v>0</v>
      </c>
      <c r="H48">
        <v>10.16</v>
      </c>
      <c r="I48">
        <v>25818</v>
      </c>
      <c r="J48">
        <v>17340</v>
      </c>
      <c r="K48">
        <v>14505</v>
      </c>
      <c r="L48">
        <v>-106.54</v>
      </c>
      <c r="M48">
        <v>-38.72</v>
      </c>
      <c r="N48">
        <v>-16.04</v>
      </c>
      <c r="O48">
        <v>25.02</v>
      </c>
      <c r="P48" t="b">
        <v>1</v>
      </c>
      <c r="Q48">
        <v>0</v>
      </c>
      <c r="R48">
        <v>2161</v>
      </c>
      <c r="U48" t="s">
        <v>825</v>
      </c>
      <c r="V48" t="s">
        <v>1196</v>
      </c>
      <c r="W48">
        <v>0</v>
      </c>
      <c r="X48">
        <v>-45.1</v>
      </c>
      <c r="Y48" t="s">
        <v>1564</v>
      </c>
      <c r="Z48">
        <v>28.69740777525431</v>
      </c>
      <c r="AA48">
        <v>1150</v>
      </c>
      <c r="AB48">
        <v>175468</v>
      </c>
      <c r="AC48" t="s">
        <v>1909</v>
      </c>
      <c r="AD48">
        <v>50.04</v>
      </c>
      <c r="AE48" t="s">
        <v>2280</v>
      </c>
      <c r="AF48" t="s">
        <v>2651</v>
      </c>
      <c r="AG48">
        <v>2475</v>
      </c>
      <c r="AH48">
        <v>208</v>
      </c>
      <c r="AI48">
        <v>205378</v>
      </c>
      <c r="AJ48">
        <v>1.14</v>
      </c>
      <c r="AK48" t="b">
        <v>1</v>
      </c>
    </row>
    <row r="49" spans="1:38">
      <c r="A49" s="1" t="s">
        <v>83</v>
      </c>
      <c r="B49" t="s">
        <v>454</v>
      </c>
      <c r="C49">
        <f>HYPERLINK("https://finance.naver.com/item/coinfo.nhn?code=016250", "A016250")</f>
        <v>0</v>
      </c>
      <c r="D49">
        <f>HYPERLINK("http://comp.fnguide.com/SVO2/ASP/SVD_Consensus.asp?pGB=1&amp;gicode=A016250&amp;cID=&amp;MenuYn=Y&amp;ReportGB=&amp;NewMenuID=108&amp;stkGb=701", "SGC이테크건설")</f>
        <v>0</v>
      </c>
      <c r="E49">
        <v>3</v>
      </c>
      <c r="F49">
        <v>45200</v>
      </c>
      <c r="G49">
        <v>0.03</v>
      </c>
      <c r="H49">
        <v>2.3</v>
      </c>
      <c r="I49">
        <v>397184</v>
      </c>
      <c r="J49">
        <v>225136</v>
      </c>
      <c r="K49">
        <v>167596</v>
      </c>
      <c r="L49">
        <v>-778.73</v>
      </c>
      <c r="M49">
        <v>-398.09</v>
      </c>
      <c r="N49">
        <v>-270.79</v>
      </c>
      <c r="O49">
        <v>47.67</v>
      </c>
      <c r="P49" t="b">
        <v>1</v>
      </c>
      <c r="Q49">
        <v>0</v>
      </c>
      <c r="R49">
        <v>26905</v>
      </c>
      <c r="S49">
        <v>22428</v>
      </c>
      <c r="T49">
        <v>-16.6</v>
      </c>
      <c r="U49" t="s">
        <v>826</v>
      </c>
      <c r="V49" t="s">
        <v>1197</v>
      </c>
      <c r="W49">
        <v>74.65813365814493</v>
      </c>
      <c r="X49">
        <v>145.9</v>
      </c>
      <c r="Y49" t="s">
        <v>1565</v>
      </c>
      <c r="Z49">
        <v>60.0643715912686</v>
      </c>
      <c r="AA49">
        <v>1175</v>
      </c>
      <c r="AB49">
        <v>3220</v>
      </c>
      <c r="AC49" t="s">
        <v>1910</v>
      </c>
      <c r="AD49">
        <v>42.88</v>
      </c>
      <c r="AE49" t="s">
        <v>2281</v>
      </c>
      <c r="AF49" t="s">
        <v>2652</v>
      </c>
      <c r="AG49">
        <v>13079</v>
      </c>
      <c r="AH49">
        <v>691</v>
      </c>
      <c r="AI49">
        <v>106919</v>
      </c>
      <c r="AJ49">
        <v>1.89</v>
      </c>
      <c r="AL49" t="b">
        <v>0</v>
      </c>
    </row>
    <row r="50" spans="1:38">
      <c r="A50" s="1" t="s">
        <v>84</v>
      </c>
      <c r="B50" t="s">
        <v>455</v>
      </c>
      <c r="C50">
        <f>HYPERLINK("https://finance.naver.com/item/coinfo.nhn?code=035600", "A035600")</f>
        <v>0</v>
      </c>
      <c r="D50">
        <f>HYPERLINK("http://comp.fnguide.com/SVO2/ASP/SVD_Consensus.asp?pGB=1&amp;gicode=A035600&amp;cID=&amp;MenuYn=Y&amp;ReportGB=&amp;NewMenuID=108&amp;stkGb=701", "KG이니시스")</f>
        <v>0</v>
      </c>
      <c r="E50">
        <v>3</v>
      </c>
      <c r="F50">
        <v>13800</v>
      </c>
      <c r="G50">
        <v>5.06</v>
      </c>
      <c r="H50">
        <v>11.02</v>
      </c>
      <c r="I50">
        <v>21305</v>
      </c>
      <c r="J50">
        <v>17004</v>
      </c>
      <c r="K50">
        <v>15565</v>
      </c>
      <c r="L50">
        <v>-54.39</v>
      </c>
      <c r="M50">
        <v>-23.22</v>
      </c>
      <c r="N50">
        <v>-12.79</v>
      </c>
      <c r="O50">
        <v>15.9</v>
      </c>
      <c r="P50" t="b">
        <v>1</v>
      </c>
      <c r="Q50">
        <v>2</v>
      </c>
      <c r="R50">
        <v>1725</v>
      </c>
      <c r="S50">
        <v>1912</v>
      </c>
      <c r="T50">
        <v>10.8</v>
      </c>
      <c r="U50" t="s">
        <v>827</v>
      </c>
      <c r="V50" t="s">
        <v>1198</v>
      </c>
      <c r="W50">
        <v>2.177083389009571</v>
      </c>
      <c r="X50">
        <v>-21.2</v>
      </c>
      <c r="Y50" t="s">
        <v>1566</v>
      </c>
      <c r="Z50">
        <v>0</v>
      </c>
      <c r="AA50">
        <v>3851</v>
      </c>
      <c r="AB50">
        <v>81789</v>
      </c>
      <c r="AC50" t="s">
        <v>1911</v>
      </c>
      <c r="AD50">
        <v>41.04</v>
      </c>
      <c r="AE50" t="s">
        <v>2282</v>
      </c>
      <c r="AF50" t="s">
        <v>2653</v>
      </c>
      <c r="AG50">
        <v>10120</v>
      </c>
      <c r="AH50">
        <v>1066</v>
      </c>
      <c r="AI50">
        <v>1285946</v>
      </c>
      <c r="AJ50">
        <v>2.11</v>
      </c>
      <c r="AK50" t="b">
        <v>1</v>
      </c>
    </row>
    <row r="51" spans="1:38">
      <c r="A51" s="1" t="s">
        <v>85</v>
      </c>
      <c r="B51" t="s">
        <v>456</v>
      </c>
      <c r="C51">
        <f>HYPERLINK("https://finance.naver.com/item/coinfo.nhn?code=021320", "A021320")</f>
        <v>0</v>
      </c>
      <c r="D51">
        <f>HYPERLINK("http://comp.fnguide.com/SVO2/ASP/SVD_Consensus.asp?pGB=1&amp;gicode=A021320&amp;cID=&amp;MenuYn=Y&amp;ReportGB=&amp;NewMenuID=108&amp;stkGb=701", "KCC건설")</f>
        <v>0</v>
      </c>
      <c r="E51">
        <v>3</v>
      </c>
      <c r="F51">
        <v>6940</v>
      </c>
      <c r="G51">
        <v>0</v>
      </c>
      <c r="H51">
        <v>3.71</v>
      </c>
      <c r="I51">
        <v>22325</v>
      </c>
      <c r="J51">
        <v>22249</v>
      </c>
      <c r="K51">
        <v>22223</v>
      </c>
      <c r="L51">
        <v>-221.69</v>
      </c>
      <c r="M51">
        <v>-220.58</v>
      </c>
      <c r="N51">
        <v>-220.22</v>
      </c>
      <c r="O51">
        <v>10.11</v>
      </c>
      <c r="P51" t="b">
        <v>1</v>
      </c>
      <c r="Q51">
        <v>0</v>
      </c>
      <c r="R51">
        <v>2205</v>
      </c>
      <c r="U51" t="s">
        <v>828</v>
      </c>
      <c r="V51" t="s">
        <v>1199</v>
      </c>
      <c r="W51">
        <v>0</v>
      </c>
      <c r="X51">
        <v>-64.09999999999999</v>
      </c>
      <c r="Y51" t="s">
        <v>1567</v>
      </c>
      <c r="Z51">
        <v>-5.505140113387375</v>
      </c>
      <c r="AA51">
        <v>1485</v>
      </c>
      <c r="AB51">
        <v>25436</v>
      </c>
      <c r="AC51" t="s">
        <v>1912</v>
      </c>
      <c r="AD51">
        <v>66.26000000000001</v>
      </c>
      <c r="AE51" t="s">
        <v>2283</v>
      </c>
      <c r="AF51" t="s">
        <v>2654</v>
      </c>
      <c r="AG51">
        <v>13640</v>
      </c>
      <c r="AH51">
        <v>319</v>
      </c>
      <c r="AI51">
        <v>1454564</v>
      </c>
      <c r="AJ51">
        <v>2.2</v>
      </c>
      <c r="AK51" t="b">
        <v>1</v>
      </c>
    </row>
    <row r="52" spans="1:38">
      <c r="A52" s="1" t="s">
        <v>86</v>
      </c>
      <c r="B52" t="s">
        <v>457</v>
      </c>
      <c r="C52">
        <f>HYPERLINK("https://finance.naver.com/item/coinfo.nhn?code=036640", "A036640")</f>
        <v>0</v>
      </c>
      <c r="D52">
        <f>HYPERLINK("http://comp.fnguide.com/SVO2/ASP/SVD_Consensus.asp?pGB=1&amp;gicode=A036640&amp;cID=&amp;MenuYn=Y&amp;ReportGB=&amp;NewMenuID=108&amp;stkGb=701", "HRS")</f>
        <v>0</v>
      </c>
      <c r="E52">
        <v>3</v>
      </c>
      <c r="F52">
        <v>6550</v>
      </c>
      <c r="G52">
        <v>0.04</v>
      </c>
      <c r="H52">
        <v>5.68</v>
      </c>
      <c r="I52">
        <v>9743</v>
      </c>
      <c r="J52">
        <v>7813</v>
      </c>
      <c r="K52">
        <v>7167</v>
      </c>
      <c r="L52">
        <v>-48.76</v>
      </c>
      <c r="M52">
        <v>-19.28</v>
      </c>
      <c r="N52">
        <v>-9.42</v>
      </c>
      <c r="O52">
        <v>15.73</v>
      </c>
      <c r="P52" t="b">
        <v>1</v>
      </c>
      <c r="Q52">
        <v>0</v>
      </c>
      <c r="R52">
        <v>1273</v>
      </c>
      <c r="S52">
        <v>984</v>
      </c>
      <c r="T52">
        <v>-22.7</v>
      </c>
      <c r="U52" t="s">
        <v>829</v>
      </c>
      <c r="V52" t="s">
        <v>1200</v>
      </c>
      <c r="W52">
        <v>154.0625137995673</v>
      </c>
      <c r="X52">
        <v>11.1</v>
      </c>
      <c r="Y52" t="s">
        <v>1568</v>
      </c>
      <c r="Z52">
        <v>0</v>
      </c>
      <c r="AA52">
        <v>1071</v>
      </c>
      <c r="AB52">
        <v>190982</v>
      </c>
      <c r="AC52" t="s">
        <v>1913</v>
      </c>
      <c r="AD52">
        <v>45.04</v>
      </c>
      <c r="AE52" t="s">
        <v>2284</v>
      </c>
      <c r="AF52" t="s">
        <v>2655</v>
      </c>
      <c r="AG52">
        <v>841</v>
      </c>
      <c r="AH52">
        <v>179</v>
      </c>
      <c r="AI52">
        <v>373035</v>
      </c>
      <c r="AJ52">
        <v>2.77</v>
      </c>
      <c r="AK52" t="b">
        <v>1</v>
      </c>
    </row>
    <row r="53" spans="1:38">
      <c r="A53" s="1" t="s">
        <v>87</v>
      </c>
      <c r="B53" t="s">
        <v>458</v>
      </c>
      <c r="C53">
        <f>HYPERLINK("https://finance.naver.com/item/coinfo.nhn?code=900290", "A900290")</f>
        <v>0</v>
      </c>
      <c r="D53">
        <f>HYPERLINK("http://comp.fnguide.com/SVO2/ASP/SVD_Consensus.asp?pGB=1&amp;gicode=A900290&amp;cID=&amp;MenuYn=Y&amp;ReportGB=&amp;NewMenuID=108&amp;stkGb=701", "GRT")</f>
        <v>0</v>
      </c>
      <c r="E53">
        <v>3</v>
      </c>
      <c r="F53">
        <v>1315</v>
      </c>
      <c r="G53">
        <v>0</v>
      </c>
      <c r="H53">
        <v>2.28</v>
      </c>
      <c r="I53">
        <v>8605</v>
      </c>
      <c r="J53">
        <v>8578</v>
      </c>
      <c r="K53">
        <v>8569</v>
      </c>
      <c r="L53">
        <v>-554.36</v>
      </c>
      <c r="M53">
        <v>-552.35</v>
      </c>
      <c r="N53">
        <v>-551.67</v>
      </c>
      <c r="O53">
        <v>10.11</v>
      </c>
      <c r="P53" t="b">
        <v>0</v>
      </c>
      <c r="Q53">
        <v>0</v>
      </c>
      <c r="R53">
        <v>658</v>
      </c>
      <c r="U53" t="s">
        <v>830</v>
      </c>
      <c r="V53" t="s">
        <v>1201</v>
      </c>
      <c r="W53">
        <v>0</v>
      </c>
      <c r="X53">
        <v>-29.1</v>
      </c>
      <c r="Y53" t="s">
        <v>1569</v>
      </c>
      <c r="Z53">
        <v>-9.666963428167607</v>
      </c>
      <c r="AA53">
        <v>886</v>
      </c>
      <c r="AB53">
        <v>95435</v>
      </c>
      <c r="AC53" t="s">
        <v>1914</v>
      </c>
      <c r="AD53">
        <v>71.09</v>
      </c>
      <c r="AE53" t="s">
        <v>2285</v>
      </c>
      <c r="AF53" t="s">
        <v>2656</v>
      </c>
      <c r="AG53">
        <v>3678</v>
      </c>
      <c r="AH53">
        <v>567</v>
      </c>
      <c r="AK53" t="b">
        <v>1</v>
      </c>
    </row>
    <row r="54" spans="1:38">
      <c r="A54" s="1" t="s">
        <v>88</v>
      </c>
      <c r="B54" t="s">
        <v>459</v>
      </c>
      <c r="C54">
        <f>HYPERLINK("https://finance.naver.com/item/coinfo.nhn?code=068790", "A068790")</f>
        <v>0</v>
      </c>
      <c r="D54">
        <f>HYPERLINK("http://comp.fnguide.com/SVO2/ASP/SVD_Consensus.asp?pGB=1&amp;gicode=A068790&amp;cID=&amp;MenuYn=Y&amp;ReportGB=&amp;NewMenuID=108&amp;stkGb=701", "DMS")</f>
        <v>0</v>
      </c>
      <c r="E54">
        <v>3</v>
      </c>
      <c r="F54">
        <v>5360</v>
      </c>
      <c r="G54">
        <v>0</v>
      </c>
      <c r="H54">
        <v>5.02</v>
      </c>
      <c r="I54">
        <v>16602</v>
      </c>
      <c r="J54">
        <v>13430</v>
      </c>
      <c r="K54">
        <v>12369</v>
      </c>
      <c r="L54">
        <v>-209.74</v>
      </c>
      <c r="M54">
        <v>-150.56</v>
      </c>
      <c r="N54">
        <v>-130.77</v>
      </c>
      <c r="O54">
        <v>15.42</v>
      </c>
      <c r="P54" t="b">
        <v>1</v>
      </c>
      <c r="Q54">
        <v>0</v>
      </c>
      <c r="R54">
        <v>1347</v>
      </c>
      <c r="U54" t="s">
        <v>831</v>
      </c>
      <c r="V54" t="s">
        <v>1202</v>
      </c>
      <c r="W54">
        <v>0</v>
      </c>
      <c r="X54">
        <v>27.4</v>
      </c>
      <c r="Y54" t="s">
        <v>1570</v>
      </c>
      <c r="Z54">
        <v>58.66708107963348</v>
      </c>
      <c r="AA54">
        <v>1317</v>
      </c>
      <c r="AB54">
        <v>87667</v>
      </c>
      <c r="AC54" t="s">
        <v>1915</v>
      </c>
      <c r="AD54">
        <v>20.92</v>
      </c>
      <c r="AE54" t="s">
        <v>2286</v>
      </c>
      <c r="AF54" t="s">
        <v>2657</v>
      </c>
      <c r="AG54">
        <v>2254</v>
      </c>
      <c r="AH54">
        <v>320</v>
      </c>
      <c r="AI54">
        <v>133797</v>
      </c>
      <c r="AJ54">
        <v>1.48</v>
      </c>
      <c r="AK54" t="b">
        <v>1</v>
      </c>
    </row>
    <row r="55" spans="1:38">
      <c r="A55" s="1" t="s">
        <v>89</v>
      </c>
      <c r="B55" t="s">
        <v>460</v>
      </c>
      <c r="C55">
        <f>HYPERLINK("https://finance.naver.com/item/coinfo.nhn?code=217270", "A217270")</f>
        <v>0</v>
      </c>
      <c r="D55">
        <f>HYPERLINK("http://comp.fnguide.com/SVO2/ASP/SVD_Consensus.asp?pGB=1&amp;gicode=A217270&amp;cID=&amp;MenuYn=Y&amp;ReportGB=&amp;NewMenuID=108&amp;stkGb=701", "넵튠")</f>
        <v>0</v>
      </c>
      <c r="E55">
        <v>3</v>
      </c>
      <c r="F55">
        <v>14950</v>
      </c>
      <c r="G55">
        <v>0</v>
      </c>
      <c r="H55">
        <v>11.17</v>
      </c>
      <c r="I55">
        <v>37895</v>
      </c>
      <c r="J55">
        <v>23648</v>
      </c>
      <c r="K55">
        <v>18884</v>
      </c>
      <c r="L55">
        <v>-153.48</v>
      </c>
      <c r="M55">
        <v>-58.18</v>
      </c>
      <c r="N55">
        <v>-26.31</v>
      </c>
      <c r="O55">
        <v>31.9</v>
      </c>
      <c r="P55" t="b">
        <v>1</v>
      </c>
      <c r="Q55">
        <v>0</v>
      </c>
      <c r="R55">
        <v>2508</v>
      </c>
      <c r="U55" t="s">
        <v>832</v>
      </c>
      <c r="V55" t="s">
        <v>1203</v>
      </c>
      <c r="W55">
        <v>0</v>
      </c>
      <c r="Y55" t="s">
        <v>1571</v>
      </c>
      <c r="Z55">
        <v>0</v>
      </c>
      <c r="AA55">
        <v>4935</v>
      </c>
      <c r="AB55">
        <v>133103</v>
      </c>
      <c r="AC55" t="s">
        <v>1916</v>
      </c>
      <c r="AD55">
        <v>49.71</v>
      </c>
      <c r="AE55" t="s">
        <v>2287</v>
      </c>
      <c r="AF55" t="s">
        <v>2658</v>
      </c>
      <c r="AG55">
        <v>203</v>
      </c>
      <c r="AH55">
        <v>-246</v>
      </c>
      <c r="AI55">
        <v>66497</v>
      </c>
      <c r="AK55" t="b">
        <v>1</v>
      </c>
    </row>
    <row r="56" spans="1:38">
      <c r="A56" s="1" t="s">
        <v>90</v>
      </c>
      <c r="B56" t="s">
        <v>461</v>
      </c>
      <c r="C56">
        <f>HYPERLINK("https://finance.naver.com/item/coinfo.nhn?code=144960", "A144960")</f>
        <v>0</v>
      </c>
      <c r="D56">
        <f>HYPERLINK("http://comp.fnguide.com/SVO2/ASP/SVD_Consensus.asp?pGB=1&amp;gicode=A144960&amp;cID=&amp;MenuYn=Y&amp;ReportGB=&amp;NewMenuID=108&amp;stkGb=701", "뉴파워프라즈마")</f>
        <v>0</v>
      </c>
      <c r="E56">
        <v>3</v>
      </c>
      <c r="F56">
        <v>4665</v>
      </c>
      <c r="G56">
        <v>0</v>
      </c>
      <c r="H56">
        <v>12.07</v>
      </c>
      <c r="I56">
        <v>7592</v>
      </c>
      <c r="J56">
        <v>6137</v>
      </c>
      <c r="K56">
        <v>5651</v>
      </c>
      <c r="L56">
        <v>-62.74</v>
      </c>
      <c r="M56">
        <v>-31.56</v>
      </c>
      <c r="N56">
        <v>-21.14</v>
      </c>
      <c r="O56">
        <v>15.44</v>
      </c>
      <c r="P56" t="b">
        <v>1</v>
      </c>
      <c r="Q56">
        <v>0</v>
      </c>
      <c r="R56">
        <v>531</v>
      </c>
      <c r="U56" t="s">
        <v>833</v>
      </c>
      <c r="V56" t="s">
        <v>1204</v>
      </c>
      <c r="W56">
        <v>0</v>
      </c>
      <c r="X56">
        <v>-46.1</v>
      </c>
      <c r="Y56" t="s">
        <v>1572</v>
      </c>
      <c r="Z56">
        <v>-8.947628962410869</v>
      </c>
      <c r="AA56">
        <v>2038</v>
      </c>
      <c r="AB56">
        <v>83908</v>
      </c>
      <c r="AC56" t="s">
        <v>1917</v>
      </c>
      <c r="AD56">
        <v>36.55</v>
      </c>
      <c r="AE56" t="s">
        <v>2288</v>
      </c>
      <c r="AF56" t="s">
        <v>2659</v>
      </c>
      <c r="AG56">
        <v>3101</v>
      </c>
      <c r="AH56">
        <v>245</v>
      </c>
      <c r="AI56">
        <v>2414229</v>
      </c>
      <c r="AJ56">
        <v>0.78</v>
      </c>
      <c r="AK56" t="b">
        <v>1</v>
      </c>
    </row>
    <row r="57" spans="1:38">
      <c r="A57" s="1" t="s">
        <v>91</v>
      </c>
      <c r="B57" t="s">
        <v>462</v>
      </c>
      <c r="C57">
        <f>HYPERLINK("https://finance.naver.com/item/coinfo.nhn?code=267980", "A267980")</f>
        <v>0</v>
      </c>
      <c r="D57">
        <f>HYPERLINK("http://comp.fnguide.com/SVO2/ASP/SVD_Consensus.asp?pGB=1&amp;gicode=A267980&amp;cID=&amp;MenuYn=Y&amp;ReportGB=&amp;NewMenuID=108&amp;stkGb=701", "매일유업")</f>
        <v>0</v>
      </c>
      <c r="E57">
        <v>3</v>
      </c>
      <c r="F57">
        <v>59400</v>
      </c>
      <c r="G57">
        <v>6.94</v>
      </c>
      <c r="H57">
        <v>7.26</v>
      </c>
      <c r="I57">
        <v>103906</v>
      </c>
      <c r="J57">
        <v>84255</v>
      </c>
      <c r="K57">
        <v>77682</v>
      </c>
      <c r="L57">
        <v>-74.93000000000001</v>
      </c>
      <c r="M57">
        <v>-41.84</v>
      </c>
      <c r="N57">
        <v>-30.78</v>
      </c>
      <c r="O57">
        <v>15.33</v>
      </c>
      <c r="P57" t="b">
        <v>1</v>
      </c>
      <c r="Q57">
        <v>0</v>
      </c>
      <c r="R57">
        <v>9466</v>
      </c>
      <c r="S57">
        <v>8461</v>
      </c>
      <c r="T57">
        <v>-10.6</v>
      </c>
      <c r="U57" t="s">
        <v>834</v>
      </c>
      <c r="V57" t="s">
        <v>1205</v>
      </c>
      <c r="W57">
        <v>1.046311212886253</v>
      </c>
      <c r="X57">
        <v>-45.1</v>
      </c>
      <c r="Y57" t="s">
        <v>1573</v>
      </c>
      <c r="Z57">
        <v>1.984580102364042</v>
      </c>
      <c r="AA57">
        <v>4659</v>
      </c>
      <c r="AB57">
        <v>10631</v>
      </c>
      <c r="AC57" t="s">
        <v>1918</v>
      </c>
      <c r="AD57">
        <v>56.51</v>
      </c>
      <c r="AE57" t="s">
        <v>2289</v>
      </c>
      <c r="AF57" t="s">
        <v>2660</v>
      </c>
      <c r="AG57">
        <v>15519</v>
      </c>
      <c r="AH57">
        <v>878</v>
      </c>
      <c r="AI57">
        <v>541507</v>
      </c>
      <c r="AJ57">
        <v>1.75</v>
      </c>
      <c r="AK57" t="b">
        <v>1</v>
      </c>
    </row>
    <row r="58" spans="1:38">
      <c r="A58" s="1" t="s">
        <v>92</v>
      </c>
      <c r="B58" t="s">
        <v>463</v>
      </c>
      <c r="C58">
        <f>HYPERLINK("https://finance.naver.com/item/coinfo.nhn?code=187870", "A187870")</f>
        <v>0</v>
      </c>
      <c r="D58">
        <f>HYPERLINK("http://comp.fnguide.com/SVO2/ASP/SVD_Consensus.asp?pGB=1&amp;gicode=A187870&amp;cID=&amp;MenuYn=Y&amp;ReportGB=&amp;NewMenuID=108&amp;stkGb=701", "디바이스이엔지")</f>
        <v>0</v>
      </c>
      <c r="E58">
        <v>3</v>
      </c>
      <c r="F58">
        <v>18750</v>
      </c>
      <c r="G58">
        <v>0</v>
      </c>
      <c r="H58">
        <v>6.76</v>
      </c>
      <c r="I58">
        <v>51235</v>
      </c>
      <c r="J58">
        <v>33386</v>
      </c>
      <c r="K58">
        <v>27417</v>
      </c>
      <c r="L58">
        <v>-173.25</v>
      </c>
      <c r="M58">
        <v>-78.06</v>
      </c>
      <c r="N58">
        <v>-46.22</v>
      </c>
      <c r="O58">
        <v>27.51</v>
      </c>
      <c r="P58" t="b">
        <v>1</v>
      </c>
      <c r="Q58">
        <v>0</v>
      </c>
      <c r="R58">
        <v>4470</v>
      </c>
      <c r="U58" t="s">
        <v>835</v>
      </c>
      <c r="V58" t="s">
        <v>1206</v>
      </c>
      <c r="W58">
        <v>0</v>
      </c>
      <c r="X58">
        <v>-48.2</v>
      </c>
      <c r="Y58" t="s">
        <v>1574</v>
      </c>
      <c r="Z58">
        <v>11.93222858667049</v>
      </c>
      <c r="AA58">
        <v>1319</v>
      </c>
      <c r="AB58">
        <v>9928</v>
      </c>
      <c r="AC58" t="s">
        <v>1919</v>
      </c>
      <c r="AD58">
        <v>33.46</v>
      </c>
      <c r="AE58" t="s">
        <v>2290</v>
      </c>
      <c r="AF58" t="s">
        <v>2661</v>
      </c>
      <c r="AG58">
        <v>1251</v>
      </c>
      <c r="AH58">
        <v>358</v>
      </c>
      <c r="AI58">
        <v>122823</v>
      </c>
      <c r="AJ58">
        <v>1.49</v>
      </c>
      <c r="AK58" t="b">
        <v>1</v>
      </c>
    </row>
    <row r="59" spans="1:38">
      <c r="A59" s="1" t="s">
        <v>93</v>
      </c>
      <c r="B59" t="s">
        <v>464</v>
      </c>
      <c r="C59">
        <f>HYPERLINK("https://finance.naver.com/item/coinfo.nhn?code=147760", "A147760")</f>
        <v>0</v>
      </c>
      <c r="D59">
        <f>HYPERLINK("http://comp.fnguide.com/SVO2/ASP/SVD_Consensus.asp?pGB=1&amp;gicode=A147760&amp;cID=&amp;MenuYn=Y&amp;ReportGB=&amp;NewMenuID=108&amp;stkGb=701", "마이크로프랜드")</f>
        <v>0</v>
      </c>
      <c r="E59">
        <v>3</v>
      </c>
      <c r="F59">
        <v>5130</v>
      </c>
      <c r="G59">
        <v>0</v>
      </c>
      <c r="H59">
        <v>12.28</v>
      </c>
      <c r="I59">
        <v>6363</v>
      </c>
      <c r="J59">
        <v>5696</v>
      </c>
      <c r="K59">
        <v>5473</v>
      </c>
      <c r="L59">
        <v>-24.03</v>
      </c>
      <c r="M59">
        <v>-11.03</v>
      </c>
      <c r="N59">
        <v>-6.69</v>
      </c>
      <c r="O59">
        <v>12.42</v>
      </c>
      <c r="P59" t="b">
        <v>1</v>
      </c>
      <c r="Q59">
        <v>0</v>
      </c>
      <c r="R59">
        <v>726</v>
      </c>
      <c r="U59" t="s">
        <v>836</v>
      </c>
      <c r="V59" t="s">
        <v>1207</v>
      </c>
      <c r="W59">
        <v>0</v>
      </c>
      <c r="Y59" t="s">
        <v>1575</v>
      </c>
      <c r="Z59">
        <v>0</v>
      </c>
      <c r="AA59">
        <v>555</v>
      </c>
      <c r="AB59">
        <v>18096</v>
      </c>
      <c r="AC59" t="s">
        <v>1920</v>
      </c>
      <c r="AD59">
        <v>34.8</v>
      </c>
      <c r="AE59" t="s">
        <v>2291</v>
      </c>
      <c r="AF59" t="s">
        <v>2662</v>
      </c>
      <c r="AG59">
        <v>605</v>
      </c>
      <c r="AH59">
        <v>102</v>
      </c>
      <c r="AK59" t="b">
        <v>1</v>
      </c>
    </row>
    <row r="60" spans="1:38">
      <c r="A60" s="1" t="s">
        <v>94</v>
      </c>
      <c r="B60" t="s">
        <v>465</v>
      </c>
      <c r="C60">
        <f>HYPERLINK("https://finance.naver.com/item/coinfo.nhn?code=042500", "A042500")</f>
        <v>0</v>
      </c>
      <c r="D60">
        <f>HYPERLINK("http://comp.fnguide.com/SVO2/ASP/SVD_Consensus.asp?pGB=1&amp;gicode=A042500&amp;cID=&amp;MenuYn=Y&amp;ReportGB=&amp;NewMenuID=108&amp;stkGb=701", "링네트")</f>
        <v>0</v>
      </c>
      <c r="E60">
        <v>3</v>
      </c>
      <c r="F60">
        <v>5070</v>
      </c>
      <c r="G60">
        <v>0</v>
      </c>
      <c r="H60">
        <v>11.85</v>
      </c>
      <c r="I60">
        <v>7332</v>
      </c>
      <c r="J60">
        <v>6635</v>
      </c>
      <c r="K60">
        <v>6402</v>
      </c>
      <c r="L60">
        <v>-44.62</v>
      </c>
      <c r="M60">
        <v>-30.87</v>
      </c>
      <c r="N60">
        <v>-26.27</v>
      </c>
      <c r="O60">
        <v>12.15</v>
      </c>
      <c r="P60" t="b">
        <v>1</v>
      </c>
      <c r="Q60">
        <v>0</v>
      </c>
      <c r="R60">
        <v>565</v>
      </c>
      <c r="U60" t="s">
        <v>837</v>
      </c>
      <c r="V60" t="s">
        <v>1208</v>
      </c>
      <c r="W60">
        <v>0</v>
      </c>
      <c r="X60">
        <v>61.9</v>
      </c>
      <c r="Y60" t="s">
        <v>1576</v>
      </c>
      <c r="Z60">
        <v>23.59811181326539</v>
      </c>
      <c r="AA60">
        <v>779</v>
      </c>
      <c r="AB60">
        <v>175345</v>
      </c>
      <c r="AC60" t="s">
        <v>1921</v>
      </c>
      <c r="AD60">
        <v>26.02</v>
      </c>
      <c r="AE60" t="s">
        <v>2292</v>
      </c>
      <c r="AF60" t="s">
        <v>2663</v>
      </c>
      <c r="AG60">
        <v>2148</v>
      </c>
      <c r="AH60">
        <v>106</v>
      </c>
      <c r="AI60">
        <v>3051475</v>
      </c>
      <c r="AK60" t="b">
        <v>1</v>
      </c>
    </row>
    <row r="61" spans="1:38">
      <c r="A61" s="1" t="s">
        <v>95</v>
      </c>
      <c r="B61" t="s">
        <v>466</v>
      </c>
      <c r="C61">
        <f>HYPERLINK("https://finance.naver.com/item/coinfo.nhn?code=377450", "A377450")</f>
        <v>0</v>
      </c>
      <c r="D61">
        <f>HYPERLINK("http://comp.fnguide.com/SVO2/ASP/SVD_Consensus.asp?pGB=1&amp;gicode=A377450&amp;cID=&amp;MenuYn=Y&amp;ReportGB=&amp;NewMenuID=108&amp;stkGb=701", "리파인")</f>
        <v>0</v>
      </c>
      <c r="E61">
        <v>3</v>
      </c>
      <c r="F61">
        <v>11450</v>
      </c>
      <c r="G61">
        <v>0</v>
      </c>
      <c r="H61">
        <v>11.73</v>
      </c>
      <c r="I61">
        <v>24209</v>
      </c>
      <c r="J61">
        <v>15526</v>
      </c>
      <c r="K61">
        <v>12621</v>
      </c>
      <c r="L61">
        <v>-111.43</v>
      </c>
      <c r="M61">
        <v>-35.59</v>
      </c>
      <c r="N61">
        <v>-10.23</v>
      </c>
      <c r="O61">
        <v>29</v>
      </c>
      <c r="P61" t="b">
        <v>1</v>
      </c>
      <c r="Q61">
        <v>0</v>
      </c>
      <c r="R61">
        <v>1224</v>
      </c>
      <c r="U61" t="s">
        <v>838</v>
      </c>
      <c r="V61" t="s">
        <v>1209</v>
      </c>
      <c r="W61">
        <v>0</v>
      </c>
      <c r="X61">
        <v>-34.1</v>
      </c>
      <c r="Y61" t="s">
        <v>1577</v>
      </c>
      <c r="Z61">
        <v>0</v>
      </c>
      <c r="AA61">
        <v>1984</v>
      </c>
      <c r="AB61">
        <v>40934</v>
      </c>
      <c r="AC61" t="s">
        <v>1922</v>
      </c>
      <c r="AD61">
        <v>30.39</v>
      </c>
      <c r="AE61" t="s">
        <v>2293</v>
      </c>
      <c r="AF61" t="s">
        <v>2664</v>
      </c>
      <c r="AG61">
        <v>588</v>
      </c>
      <c r="AH61">
        <v>210</v>
      </c>
      <c r="AI61">
        <v>1248766</v>
      </c>
      <c r="AK61" t="b">
        <v>1</v>
      </c>
    </row>
    <row r="62" spans="1:38">
      <c r="A62" s="1" t="s">
        <v>96</v>
      </c>
      <c r="B62" t="s">
        <v>467</v>
      </c>
      <c r="C62">
        <f>HYPERLINK("https://finance.naver.com/item/coinfo.nhn?code=012700", "A012700")</f>
        <v>0</v>
      </c>
      <c r="D62">
        <f>HYPERLINK("http://comp.fnguide.com/SVO2/ASP/SVD_Consensus.asp?pGB=1&amp;gicode=A012700&amp;cID=&amp;MenuYn=Y&amp;ReportGB=&amp;NewMenuID=108&amp;stkGb=701", "리드코프")</f>
        <v>0</v>
      </c>
      <c r="E62">
        <v>3</v>
      </c>
      <c r="F62">
        <v>8270</v>
      </c>
      <c r="G62">
        <v>0</v>
      </c>
      <c r="H62">
        <v>5.8</v>
      </c>
      <c r="I62">
        <v>17774</v>
      </c>
      <c r="J62">
        <v>17233</v>
      </c>
      <c r="K62">
        <v>17052</v>
      </c>
      <c r="L62">
        <v>-114.92</v>
      </c>
      <c r="M62">
        <v>-108.38</v>
      </c>
      <c r="N62">
        <v>-106.19</v>
      </c>
      <c r="O62">
        <v>10.64</v>
      </c>
      <c r="P62" t="b">
        <v>1</v>
      </c>
      <c r="Q62">
        <v>0</v>
      </c>
      <c r="R62">
        <v>1520</v>
      </c>
      <c r="U62" t="s">
        <v>839</v>
      </c>
      <c r="V62" t="s">
        <v>1210</v>
      </c>
      <c r="W62">
        <v>0</v>
      </c>
      <c r="X62">
        <v>1.9</v>
      </c>
      <c r="Y62" t="s">
        <v>1578</v>
      </c>
      <c r="Z62">
        <v>2.710720242964859</v>
      </c>
      <c r="AA62">
        <v>2187</v>
      </c>
      <c r="AB62">
        <v>58310</v>
      </c>
      <c r="AC62" t="s">
        <v>1923</v>
      </c>
      <c r="AD62">
        <v>40.34</v>
      </c>
      <c r="AE62" t="s">
        <v>2294</v>
      </c>
      <c r="AF62" t="s">
        <v>2665</v>
      </c>
      <c r="AG62">
        <v>4925</v>
      </c>
      <c r="AH62">
        <v>614</v>
      </c>
      <c r="AI62">
        <v>851283</v>
      </c>
      <c r="AJ62">
        <v>9.08</v>
      </c>
      <c r="AK62" t="b">
        <v>1</v>
      </c>
    </row>
    <row r="63" spans="1:38">
      <c r="A63" s="1" t="s">
        <v>97</v>
      </c>
      <c r="B63" t="s">
        <v>468</v>
      </c>
      <c r="C63">
        <f>HYPERLINK("https://finance.naver.com/item/coinfo.nhn?code=016100", "A016100")</f>
        <v>0</v>
      </c>
      <c r="D63">
        <f>HYPERLINK("http://comp.fnguide.com/SVO2/ASP/SVD_Consensus.asp?pGB=1&amp;gicode=A016100&amp;cID=&amp;MenuYn=Y&amp;ReportGB=&amp;NewMenuID=108&amp;stkGb=701", "리더스코스메틱")</f>
        <v>0</v>
      </c>
      <c r="E63">
        <v>3</v>
      </c>
      <c r="F63">
        <v>2650</v>
      </c>
      <c r="G63">
        <v>0</v>
      </c>
      <c r="I63">
        <v>4727</v>
      </c>
      <c r="J63">
        <v>3800</v>
      </c>
      <c r="K63">
        <v>3490</v>
      </c>
      <c r="L63">
        <v>-78.39</v>
      </c>
      <c r="M63">
        <v>-43.4</v>
      </c>
      <c r="N63">
        <v>-31.69</v>
      </c>
      <c r="O63">
        <v>15.64</v>
      </c>
      <c r="P63" t="b">
        <v>0</v>
      </c>
      <c r="Q63">
        <v>0</v>
      </c>
      <c r="R63">
        <v>-208</v>
      </c>
      <c r="U63" t="s">
        <v>840</v>
      </c>
      <c r="V63" t="s">
        <v>1211</v>
      </c>
      <c r="W63">
        <v>0</v>
      </c>
      <c r="Y63" t="s">
        <v>1534</v>
      </c>
      <c r="Z63">
        <v>0</v>
      </c>
      <c r="AA63">
        <v>506</v>
      </c>
      <c r="AB63">
        <v>6101</v>
      </c>
      <c r="AC63" t="s">
        <v>1924</v>
      </c>
      <c r="AD63">
        <v>29.23</v>
      </c>
      <c r="AE63" t="s">
        <v>2295</v>
      </c>
      <c r="AF63" t="s">
        <v>2666</v>
      </c>
      <c r="AG63">
        <v>874</v>
      </c>
      <c r="AH63">
        <v>-42</v>
      </c>
      <c r="AI63">
        <v>765067</v>
      </c>
      <c r="AL63" t="b">
        <v>0</v>
      </c>
    </row>
    <row r="64" spans="1:38">
      <c r="A64" s="1" t="s">
        <v>98</v>
      </c>
      <c r="B64" t="s">
        <v>469</v>
      </c>
      <c r="C64">
        <f>HYPERLINK("https://finance.naver.com/item/coinfo.nhn?code=084650", "A084650")</f>
        <v>0</v>
      </c>
      <c r="D64">
        <f>HYPERLINK("http://comp.fnguide.com/SVO2/ASP/SVD_Consensus.asp?pGB=1&amp;gicode=A084650&amp;cID=&amp;MenuYn=Y&amp;ReportGB=&amp;NewMenuID=108&amp;stkGb=701", "랩지노믹스")</f>
        <v>0</v>
      </c>
      <c r="E64">
        <v>3</v>
      </c>
      <c r="F64">
        <v>7840</v>
      </c>
      <c r="G64">
        <v>0.01</v>
      </c>
      <c r="H64">
        <v>3.42</v>
      </c>
      <c r="I64">
        <v>28181</v>
      </c>
      <c r="J64">
        <v>15260</v>
      </c>
      <c r="K64">
        <v>10938</v>
      </c>
      <c r="L64">
        <v>-259.45</v>
      </c>
      <c r="M64">
        <v>-94.64</v>
      </c>
      <c r="N64">
        <v>-39.52</v>
      </c>
      <c r="O64">
        <v>61.05</v>
      </c>
      <c r="P64" t="b">
        <v>1</v>
      </c>
      <c r="Q64">
        <v>3</v>
      </c>
      <c r="R64">
        <v>2441</v>
      </c>
      <c r="S64">
        <v>2906</v>
      </c>
      <c r="T64">
        <v>19</v>
      </c>
      <c r="U64" t="s">
        <v>841</v>
      </c>
      <c r="V64" t="s">
        <v>1212</v>
      </c>
      <c r="W64">
        <v>344.8327902356932</v>
      </c>
      <c r="X64">
        <v>185.6</v>
      </c>
      <c r="Y64" t="s">
        <v>1579</v>
      </c>
      <c r="Z64">
        <v>0</v>
      </c>
      <c r="AA64">
        <v>2665</v>
      </c>
      <c r="AB64">
        <v>1251560</v>
      </c>
      <c r="AC64" t="s">
        <v>1925</v>
      </c>
      <c r="AD64">
        <v>12.71</v>
      </c>
      <c r="AE64" t="s">
        <v>2296</v>
      </c>
      <c r="AF64" t="s">
        <v>2667</v>
      </c>
      <c r="AG64">
        <v>2024</v>
      </c>
      <c r="AH64">
        <v>1045</v>
      </c>
      <c r="AJ64">
        <v>1.2</v>
      </c>
      <c r="AK64" t="b">
        <v>1</v>
      </c>
    </row>
    <row r="65" spans="1:37">
      <c r="A65" s="1" t="s">
        <v>99</v>
      </c>
      <c r="B65" t="s">
        <v>470</v>
      </c>
      <c r="C65">
        <f>HYPERLINK("https://finance.naver.com/item/coinfo.nhn?code=013120", "A013120")</f>
        <v>0</v>
      </c>
      <c r="D65">
        <f>HYPERLINK("http://comp.fnguide.com/SVO2/ASP/SVD_Consensus.asp?pGB=1&amp;gicode=A013120&amp;cID=&amp;MenuYn=Y&amp;ReportGB=&amp;NewMenuID=108&amp;stkGb=701", "동원개발")</f>
        <v>0</v>
      </c>
      <c r="E65">
        <v>3</v>
      </c>
      <c r="F65">
        <v>4140</v>
      </c>
      <c r="G65">
        <v>0</v>
      </c>
      <c r="H65">
        <v>6.68</v>
      </c>
      <c r="I65">
        <v>12142</v>
      </c>
      <c r="J65">
        <v>11259</v>
      </c>
      <c r="K65">
        <v>10964</v>
      </c>
      <c r="L65">
        <v>-193.29</v>
      </c>
      <c r="M65">
        <v>-171.96</v>
      </c>
      <c r="N65">
        <v>-164.82</v>
      </c>
      <c r="O65">
        <v>11.59</v>
      </c>
      <c r="P65" t="b">
        <v>1</v>
      </c>
      <c r="Q65">
        <v>0</v>
      </c>
      <c r="R65">
        <v>799</v>
      </c>
      <c r="U65" t="s">
        <v>842</v>
      </c>
      <c r="V65" t="s">
        <v>1213</v>
      </c>
      <c r="W65">
        <v>0</v>
      </c>
      <c r="X65">
        <v>32.6</v>
      </c>
      <c r="Y65" t="s">
        <v>1580</v>
      </c>
      <c r="Z65">
        <v>-0.8564048244674383</v>
      </c>
      <c r="AA65">
        <v>3759</v>
      </c>
      <c r="AB65">
        <v>47054</v>
      </c>
      <c r="AC65" t="s">
        <v>1926</v>
      </c>
      <c r="AD65">
        <v>60.95</v>
      </c>
      <c r="AE65" t="s">
        <v>2297</v>
      </c>
      <c r="AF65" t="s">
        <v>2668</v>
      </c>
      <c r="AG65">
        <v>4174</v>
      </c>
      <c r="AH65">
        <v>973</v>
      </c>
      <c r="AJ65">
        <v>2.81</v>
      </c>
      <c r="AK65" t="b">
        <v>1</v>
      </c>
    </row>
    <row r="66" spans="1:37">
      <c r="A66" s="1" t="s">
        <v>100</v>
      </c>
      <c r="B66" t="s">
        <v>471</v>
      </c>
      <c r="C66">
        <f>HYPERLINK("https://finance.naver.com/item/coinfo.nhn?code=298870", "A298870")</f>
        <v>0</v>
      </c>
      <c r="D66">
        <f>HYPERLINK("http://comp.fnguide.com/SVO2/ASP/SVD_Consensus.asp?pGB=1&amp;gicode=A298870&amp;cID=&amp;MenuYn=Y&amp;ReportGB=&amp;NewMenuID=108&amp;stkGb=701", "다올인베스트먼트")</f>
        <v>0</v>
      </c>
      <c r="E66">
        <v>3</v>
      </c>
      <c r="F66">
        <v>3310</v>
      </c>
      <c r="G66">
        <v>0</v>
      </c>
      <c r="H66">
        <v>6.43</v>
      </c>
      <c r="I66">
        <v>7960</v>
      </c>
      <c r="J66">
        <v>5343</v>
      </c>
      <c r="K66">
        <v>4468</v>
      </c>
      <c r="L66">
        <v>-140.47</v>
      </c>
      <c r="M66">
        <v>-61.42</v>
      </c>
      <c r="N66">
        <v>-34.98</v>
      </c>
      <c r="O66">
        <v>25.06</v>
      </c>
      <c r="P66" t="b">
        <v>0</v>
      </c>
      <c r="Q66">
        <v>0</v>
      </c>
      <c r="R66">
        <v>797</v>
      </c>
      <c r="U66" t="s">
        <v>843</v>
      </c>
      <c r="V66" t="s">
        <v>1214</v>
      </c>
      <c r="W66">
        <v>0</v>
      </c>
      <c r="Y66" t="s">
        <v>1536</v>
      </c>
      <c r="Z66">
        <v>0</v>
      </c>
      <c r="AA66">
        <v>3310</v>
      </c>
      <c r="AB66">
        <v>645181</v>
      </c>
      <c r="AC66" t="s">
        <v>1927</v>
      </c>
      <c r="AD66">
        <v>52</v>
      </c>
      <c r="AE66" t="s">
        <v>2298</v>
      </c>
      <c r="AF66" t="s">
        <v>2669</v>
      </c>
      <c r="AG66">
        <v>1140</v>
      </c>
      <c r="AH66">
        <v>840</v>
      </c>
      <c r="AI66">
        <v>2766491</v>
      </c>
      <c r="AJ66">
        <v>2.92</v>
      </c>
      <c r="AK66" t="b">
        <v>1</v>
      </c>
    </row>
    <row r="67" spans="1:37">
      <c r="A67" s="1" t="s">
        <v>101</v>
      </c>
      <c r="B67" t="s">
        <v>472</v>
      </c>
      <c r="C67">
        <f>HYPERLINK("https://finance.naver.com/item/coinfo.nhn?code=060380", "A060380")</f>
        <v>0</v>
      </c>
      <c r="D67">
        <f>HYPERLINK("http://comp.fnguide.com/SVO2/ASP/SVD_Consensus.asp?pGB=1&amp;gicode=A060380&amp;cID=&amp;MenuYn=Y&amp;ReportGB=&amp;NewMenuID=108&amp;stkGb=701", "동양에스텍")</f>
        <v>0</v>
      </c>
      <c r="E67">
        <v>3</v>
      </c>
      <c r="F67">
        <v>2730</v>
      </c>
      <c r="G67">
        <v>0</v>
      </c>
      <c r="H67">
        <v>3.8</v>
      </c>
      <c r="I67">
        <v>6739</v>
      </c>
      <c r="J67">
        <v>5102</v>
      </c>
      <c r="K67">
        <v>4555</v>
      </c>
      <c r="L67">
        <v>-146.86</v>
      </c>
      <c r="M67">
        <v>-86.89</v>
      </c>
      <c r="N67">
        <v>-66.83</v>
      </c>
      <c r="O67">
        <v>18.03</v>
      </c>
      <c r="P67" t="b">
        <v>1</v>
      </c>
      <c r="Q67">
        <v>0</v>
      </c>
      <c r="R67">
        <v>918</v>
      </c>
      <c r="U67" t="s">
        <v>844</v>
      </c>
      <c r="V67" t="s">
        <v>1215</v>
      </c>
      <c r="W67">
        <v>0</v>
      </c>
      <c r="X67">
        <v>-49.1</v>
      </c>
      <c r="Y67" t="s">
        <v>1581</v>
      </c>
      <c r="Z67">
        <v>0</v>
      </c>
      <c r="AA67">
        <v>538</v>
      </c>
      <c r="AB67">
        <v>178758</v>
      </c>
      <c r="AC67" t="s">
        <v>1928</v>
      </c>
      <c r="AD67">
        <v>54.83</v>
      </c>
      <c r="AE67" t="s">
        <v>2299</v>
      </c>
      <c r="AF67" t="s">
        <v>2670</v>
      </c>
      <c r="AG67">
        <v>2424</v>
      </c>
      <c r="AH67">
        <v>228</v>
      </c>
      <c r="AI67">
        <v>400000</v>
      </c>
      <c r="AJ67">
        <v>1.43</v>
      </c>
      <c r="AK67" t="b">
        <v>1</v>
      </c>
    </row>
    <row r="68" spans="1:37">
      <c r="A68" s="1" t="s">
        <v>102</v>
      </c>
      <c r="B68" t="s">
        <v>473</v>
      </c>
      <c r="C68">
        <f>HYPERLINK("https://finance.naver.com/item/coinfo.nhn?code=067990", "A067990")</f>
        <v>0</v>
      </c>
      <c r="D68">
        <f>HYPERLINK("http://comp.fnguide.com/SVO2/ASP/SVD_Consensus.asp?pGB=1&amp;gicode=A067990&amp;cID=&amp;MenuYn=Y&amp;ReportGB=&amp;NewMenuID=108&amp;stkGb=701", "도이치모터스")</f>
        <v>0</v>
      </c>
      <c r="E68">
        <v>3</v>
      </c>
      <c r="F68">
        <v>8710</v>
      </c>
      <c r="G68">
        <v>-0.5600000000000001</v>
      </c>
      <c r="H68">
        <v>6.48</v>
      </c>
      <c r="I68">
        <v>12299</v>
      </c>
      <c r="J68">
        <v>11193</v>
      </c>
      <c r="K68">
        <v>10823</v>
      </c>
      <c r="L68">
        <v>-41.2</v>
      </c>
      <c r="M68">
        <v>-28.51</v>
      </c>
      <c r="N68">
        <v>-24.26</v>
      </c>
      <c r="O68">
        <v>12.02</v>
      </c>
      <c r="P68" t="b">
        <v>1</v>
      </c>
      <c r="Q68">
        <v>2</v>
      </c>
      <c r="R68">
        <v>1175</v>
      </c>
      <c r="S68">
        <v>1357</v>
      </c>
      <c r="T68">
        <v>15.5</v>
      </c>
      <c r="U68" t="s">
        <v>845</v>
      </c>
      <c r="V68" t="s">
        <v>1216</v>
      </c>
      <c r="W68">
        <v>-11.53665790929612</v>
      </c>
      <c r="X68">
        <v>83</v>
      </c>
      <c r="Y68" t="s">
        <v>1582</v>
      </c>
      <c r="Z68">
        <v>73.24115649221608</v>
      </c>
      <c r="AA68">
        <v>2742</v>
      </c>
      <c r="AB68">
        <v>369980</v>
      </c>
      <c r="AC68" t="s">
        <v>1929</v>
      </c>
      <c r="AD68">
        <v>31.93</v>
      </c>
      <c r="AE68" t="s">
        <v>2300</v>
      </c>
      <c r="AF68" t="s">
        <v>2671</v>
      </c>
      <c r="AG68">
        <v>17033</v>
      </c>
      <c r="AH68">
        <v>564</v>
      </c>
      <c r="AI68">
        <v>1002492</v>
      </c>
      <c r="AJ68">
        <v>4.6</v>
      </c>
      <c r="AK68" t="b">
        <v>1</v>
      </c>
    </row>
    <row r="69" spans="1:37">
      <c r="A69" s="1" t="s">
        <v>103</v>
      </c>
      <c r="B69" t="s">
        <v>474</v>
      </c>
      <c r="C69">
        <f>HYPERLINK("https://finance.naver.com/item/coinfo.nhn?code=023910", "A023910")</f>
        <v>0</v>
      </c>
      <c r="D69">
        <f>HYPERLINK("http://comp.fnguide.com/SVO2/ASP/SVD_Consensus.asp?pGB=1&amp;gicode=A023910&amp;cID=&amp;MenuYn=Y&amp;ReportGB=&amp;NewMenuID=108&amp;stkGb=701", "대한약품")</f>
        <v>0</v>
      </c>
      <c r="E69">
        <v>3</v>
      </c>
      <c r="F69">
        <v>27400</v>
      </c>
      <c r="G69">
        <v>0</v>
      </c>
      <c r="H69">
        <v>7.6</v>
      </c>
      <c r="I69">
        <v>41283</v>
      </c>
      <c r="J69">
        <v>37176</v>
      </c>
      <c r="K69">
        <v>35802</v>
      </c>
      <c r="L69">
        <v>-50.67</v>
      </c>
      <c r="M69">
        <v>-35.68</v>
      </c>
      <c r="N69">
        <v>-30.66</v>
      </c>
      <c r="O69">
        <v>12.28</v>
      </c>
      <c r="P69" t="b">
        <v>1</v>
      </c>
      <c r="Q69">
        <v>0</v>
      </c>
      <c r="R69">
        <v>3778</v>
      </c>
      <c r="U69" t="s">
        <v>846</v>
      </c>
      <c r="V69" t="s">
        <v>1217</v>
      </c>
      <c r="W69">
        <v>0</v>
      </c>
      <c r="X69">
        <v>19.8</v>
      </c>
      <c r="Y69" t="s">
        <v>1583</v>
      </c>
      <c r="Z69">
        <v>1.799039707668992</v>
      </c>
      <c r="AA69">
        <v>1644</v>
      </c>
      <c r="AB69">
        <v>3069</v>
      </c>
      <c r="AC69" t="s">
        <v>1930</v>
      </c>
      <c r="AD69">
        <v>35.11</v>
      </c>
      <c r="AE69" t="s">
        <v>2301</v>
      </c>
      <c r="AF69" t="s">
        <v>2672</v>
      </c>
      <c r="AG69">
        <v>1715</v>
      </c>
      <c r="AH69">
        <v>291</v>
      </c>
      <c r="AJ69">
        <v>1.39</v>
      </c>
      <c r="AK69" t="b">
        <v>1</v>
      </c>
    </row>
    <row r="70" spans="1:37">
      <c r="A70" s="1" t="s">
        <v>104</v>
      </c>
      <c r="B70" t="s">
        <v>475</v>
      </c>
      <c r="C70">
        <f>HYPERLINK("https://finance.naver.com/item/coinfo.nhn?code=290120", "A290120")</f>
        <v>0</v>
      </c>
      <c r="D70">
        <f>HYPERLINK("http://comp.fnguide.com/SVO2/ASP/SVD_Consensus.asp?pGB=1&amp;gicode=A290120&amp;cID=&amp;MenuYn=Y&amp;ReportGB=&amp;NewMenuID=108&amp;stkGb=701", "대유에이피")</f>
        <v>0</v>
      </c>
      <c r="E70">
        <v>3</v>
      </c>
      <c r="F70">
        <v>6140</v>
      </c>
      <c r="G70">
        <v>0</v>
      </c>
      <c r="H70">
        <v>8.1</v>
      </c>
      <c r="I70">
        <v>8028</v>
      </c>
      <c r="J70">
        <v>6742</v>
      </c>
      <c r="K70">
        <v>6312</v>
      </c>
      <c r="L70">
        <v>-30.75</v>
      </c>
      <c r="M70">
        <v>-9.800000000000001</v>
      </c>
      <c r="N70">
        <v>-2.8</v>
      </c>
      <c r="O70">
        <v>14.19</v>
      </c>
      <c r="P70" t="b">
        <v>1</v>
      </c>
      <c r="Q70">
        <v>0</v>
      </c>
      <c r="R70">
        <v>736</v>
      </c>
      <c r="U70" t="s">
        <v>847</v>
      </c>
      <c r="V70" t="s">
        <v>1218</v>
      </c>
      <c r="W70">
        <v>0</v>
      </c>
      <c r="X70">
        <v>140.6</v>
      </c>
      <c r="Y70" t="s">
        <v>1584</v>
      </c>
      <c r="Z70">
        <v>16.80764010939399</v>
      </c>
      <c r="AA70">
        <v>706</v>
      </c>
      <c r="AB70">
        <v>13847</v>
      </c>
      <c r="AC70" t="s">
        <v>1931</v>
      </c>
      <c r="AD70">
        <v>69.54000000000001</v>
      </c>
      <c r="AE70" t="s">
        <v>2302</v>
      </c>
      <c r="AF70" t="s">
        <v>2673</v>
      </c>
      <c r="AG70">
        <v>1790</v>
      </c>
      <c r="AH70">
        <v>114</v>
      </c>
      <c r="AJ70">
        <v>3.36</v>
      </c>
      <c r="AK70" t="b">
        <v>1</v>
      </c>
    </row>
    <row r="71" spans="1:37">
      <c r="A71" s="1" t="s">
        <v>105</v>
      </c>
      <c r="B71" t="s">
        <v>476</v>
      </c>
      <c r="C71">
        <f>HYPERLINK("https://finance.naver.com/item/coinfo.nhn?code=097950", "A097950")</f>
        <v>0</v>
      </c>
      <c r="D71">
        <f>HYPERLINK("http://comp.fnguide.com/SVO2/ASP/SVD_Consensus.asp?pGB=1&amp;gicode=A097950&amp;cID=&amp;MenuYn=Y&amp;ReportGB=&amp;NewMenuID=108&amp;stkGb=701", "CJ제일제당")</f>
        <v>0</v>
      </c>
      <c r="E71">
        <v>3</v>
      </c>
      <c r="F71">
        <v>391500</v>
      </c>
      <c r="G71">
        <v>0.15</v>
      </c>
      <c r="H71">
        <v>10.36</v>
      </c>
      <c r="I71">
        <v>430735</v>
      </c>
      <c r="J71">
        <v>422632</v>
      </c>
      <c r="K71">
        <v>419922</v>
      </c>
      <c r="L71">
        <v>-10.02</v>
      </c>
      <c r="M71">
        <v>-7.95</v>
      </c>
      <c r="N71">
        <v>-7.26</v>
      </c>
      <c r="O71">
        <v>10.41</v>
      </c>
      <c r="P71" t="b">
        <v>1</v>
      </c>
      <c r="Q71">
        <v>1</v>
      </c>
      <c r="R71">
        <v>37413</v>
      </c>
      <c r="S71">
        <v>45968</v>
      </c>
      <c r="T71">
        <v>22.9</v>
      </c>
      <c r="U71" t="s">
        <v>848</v>
      </c>
      <c r="V71" t="s">
        <v>1219</v>
      </c>
      <c r="W71">
        <v>70.28412284786265</v>
      </c>
      <c r="X71">
        <v>20.3</v>
      </c>
      <c r="Y71" t="s">
        <v>1585</v>
      </c>
      <c r="Z71">
        <v>12.02166106732834</v>
      </c>
      <c r="AA71">
        <v>58937</v>
      </c>
      <c r="AB71">
        <v>27618</v>
      </c>
      <c r="AC71" t="s">
        <v>1932</v>
      </c>
      <c r="AD71">
        <v>45.51</v>
      </c>
      <c r="AE71" t="s">
        <v>2303</v>
      </c>
      <c r="AF71" t="s">
        <v>2674</v>
      </c>
      <c r="AG71">
        <v>262892</v>
      </c>
      <c r="AH71">
        <v>15244</v>
      </c>
      <c r="AI71">
        <v>357303</v>
      </c>
      <c r="AJ71">
        <v>1.29</v>
      </c>
      <c r="AK71" t="b">
        <v>1</v>
      </c>
    </row>
    <row r="72" spans="1:37">
      <c r="A72" s="1" t="s">
        <v>106</v>
      </c>
      <c r="B72" t="s">
        <v>477</v>
      </c>
      <c r="C72">
        <f>HYPERLINK("https://finance.naver.com/item/coinfo.nhn?code=032190", "A032190")</f>
        <v>0</v>
      </c>
      <c r="D72">
        <f>HYPERLINK("http://comp.fnguide.com/SVO2/ASP/SVD_Consensus.asp?pGB=1&amp;gicode=A032190&amp;cID=&amp;MenuYn=Y&amp;ReportGB=&amp;NewMenuID=108&amp;stkGb=701", "다우데이타")</f>
        <v>0</v>
      </c>
      <c r="E72">
        <v>3</v>
      </c>
      <c r="F72">
        <v>11500</v>
      </c>
      <c r="G72">
        <v>0</v>
      </c>
      <c r="H72">
        <v>3.93</v>
      </c>
      <c r="I72">
        <v>37574</v>
      </c>
      <c r="J72">
        <v>30152</v>
      </c>
      <c r="K72">
        <v>27670</v>
      </c>
      <c r="L72">
        <v>-226.73</v>
      </c>
      <c r="M72">
        <v>-162.19</v>
      </c>
      <c r="N72">
        <v>-140.61</v>
      </c>
      <c r="O72">
        <v>15.7</v>
      </c>
      <c r="P72" t="b">
        <v>1</v>
      </c>
      <c r="Q72">
        <v>0</v>
      </c>
      <c r="R72">
        <v>3838</v>
      </c>
      <c r="U72" t="s">
        <v>849</v>
      </c>
      <c r="V72" t="s">
        <v>1220</v>
      </c>
      <c r="W72">
        <v>0</v>
      </c>
      <c r="X72">
        <v>-54</v>
      </c>
      <c r="Y72" t="s">
        <v>1586</v>
      </c>
      <c r="Z72">
        <v>13.53659701992991</v>
      </c>
      <c r="AA72">
        <v>4405</v>
      </c>
      <c r="AB72">
        <v>50802</v>
      </c>
      <c r="AC72" t="s">
        <v>1933</v>
      </c>
      <c r="AD72">
        <v>67.14</v>
      </c>
      <c r="AE72" t="s">
        <v>2304</v>
      </c>
      <c r="AF72" t="s">
        <v>2675</v>
      </c>
      <c r="AG72">
        <v>65801</v>
      </c>
      <c r="AH72">
        <v>13155</v>
      </c>
      <c r="AJ72">
        <v>1.99</v>
      </c>
      <c r="AK72" t="b">
        <v>1</v>
      </c>
    </row>
    <row r="73" spans="1:37">
      <c r="A73" s="1" t="s">
        <v>107</v>
      </c>
      <c r="B73" t="s">
        <v>478</v>
      </c>
      <c r="C73">
        <f>HYPERLINK("https://finance.naver.com/item/coinfo.nhn?code=041910", "A041910")</f>
        <v>0</v>
      </c>
      <c r="D73">
        <f>HYPERLINK("http://comp.fnguide.com/SVO2/ASP/SVD_Consensus.asp?pGB=1&amp;gicode=A041910&amp;cID=&amp;MenuYn=Y&amp;ReportGB=&amp;NewMenuID=108&amp;stkGb=701", "에스텍파마")</f>
        <v>0</v>
      </c>
      <c r="E73">
        <v>3</v>
      </c>
      <c r="F73">
        <v>8400</v>
      </c>
      <c r="G73">
        <v>0</v>
      </c>
      <c r="H73">
        <v>16.61</v>
      </c>
      <c r="I73">
        <v>10823</v>
      </c>
      <c r="J73">
        <v>10677</v>
      </c>
      <c r="K73">
        <v>10628</v>
      </c>
      <c r="L73">
        <v>-28.84</v>
      </c>
      <c r="M73">
        <v>-27.1</v>
      </c>
      <c r="N73">
        <v>-26.52</v>
      </c>
      <c r="O73">
        <v>10.3</v>
      </c>
      <c r="P73" t="b">
        <v>1</v>
      </c>
      <c r="Q73">
        <v>0</v>
      </c>
      <c r="R73">
        <v>578</v>
      </c>
      <c r="U73" t="s">
        <v>850</v>
      </c>
      <c r="V73" t="s">
        <v>1221</v>
      </c>
      <c r="W73">
        <v>0</v>
      </c>
      <c r="X73">
        <v>-58.6</v>
      </c>
      <c r="Y73" t="s">
        <v>1587</v>
      </c>
      <c r="Z73">
        <v>0.5688825005876197</v>
      </c>
      <c r="AA73">
        <v>999</v>
      </c>
      <c r="AB73">
        <v>29475</v>
      </c>
      <c r="AC73" t="s">
        <v>1934</v>
      </c>
      <c r="AD73">
        <v>24.9</v>
      </c>
      <c r="AE73" t="s">
        <v>2305</v>
      </c>
      <c r="AF73" t="s">
        <v>2676</v>
      </c>
      <c r="AG73">
        <v>604</v>
      </c>
      <c r="AH73">
        <v>42</v>
      </c>
      <c r="AI73">
        <v>218257</v>
      </c>
      <c r="AJ73">
        <v>1.04</v>
      </c>
      <c r="AK73" t="b">
        <v>1</v>
      </c>
    </row>
    <row r="74" spans="1:37">
      <c r="A74" s="1" t="s">
        <v>108</v>
      </c>
      <c r="B74" t="s">
        <v>479</v>
      </c>
      <c r="C74">
        <f>HYPERLINK("https://finance.naver.com/item/coinfo.nhn?code=003800", "A003800")</f>
        <v>0</v>
      </c>
      <c r="D74">
        <f>HYPERLINK("http://comp.fnguide.com/SVO2/ASP/SVD_Consensus.asp?pGB=1&amp;gicode=A003800&amp;cID=&amp;MenuYn=Y&amp;ReportGB=&amp;NewMenuID=108&amp;stkGb=701", "에이스침대")</f>
        <v>0</v>
      </c>
      <c r="E74">
        <v>3</v>
      </c>
      <c r="F74">
        <v>42900</v>
      </c>
      <c r="G74">
        <v>0</v>
      </c>
      <c r="H74">
        <v>7.47</v>
      </c>
      <c r="I74">
        <v>59965</v>
      </c>
      <c r="J74">
        <v>57172</v>
      </c>
      <c r="K74">
        <v>56239</v>
      </c>
      <c r="L74">
        <v>-39.78</v>
      </c>
      <c r="M74">
        <v>-33.27</v>
      </c>
      <c r="N74">
        <v>-31.09</v>
      </c>
      <c r="O74">
        <v>10.98</v>
      </c>
      <c r="P74" t="b">
        <v>1</v>
      </c>
      <c r="Q74">
        <v>0</v>
      </c>
      <c r="R74">
        <v>5761</v>
      </c>
      <c r="U74" t="s">
        <v>851</v>
      </c>
      <c r="V74" t="s">
        <v>1222</v>
      </c>
      <c r="W74">
        <v>0</v>
      </c>
      <c r="X74">
        <v>-1.4</v>
      </c>
      <c r="Y74" t="s">
        <v>1588</v>
      </c>
      <c r="Z74">
        <v>18.94175199496877</v>
      </c>
      <c r="AA74">
        <v>4758</v>
      </c>
      <c r="AB74">
        <v>485</v>
      </c>
      <c r="AC74" t="s">
        <v>1935</v>
      </c>
      <c r="AD74">
        <v>79.56</v>
      </c>
      <c r="AE74" t="s">
        <v>2306</v>
      </c>
      <c r="AF74" t="s">
        <v>2677</v>
      </c>
      <c r="AG74">
        <v>3464</v>
      </c>
      <c r="AH74">
        <v>768</v>
      </c>
      <c r="AI74">
        <v>838055</v>
      </c>
      <c r="AJ74">
        <v>3.09</v>
      </c>
      <c r="AK74" t="b">
        <v>1</v>
      </c>
    </row>
    <row r="75" spans="1:37">
      <c r="A75" s="1" t="s">
        <v>109</v>
      </c>
      <c r="B75" t="s">
        <v>480</v>
      </c>
      <c r="C75">
        <f>HYPERLINK("https://finance.naver.com/item/coinfo.nhn?code=081660", "A081660")</f>
        <v>0</v>
      </c>
      <c r="D75">
        <f>HYPERLINK("http://comp.fnguide.com/SVO2/ASP/SVD_Consensus.asp?pGB=1&amp;gicode=A081660&amp;cID=&amp;MenuYn=Y&amp;ReportGB=&amp;NewMenuID=108&amp;stkGb=701", "휠라홀딩스")</f>
        <v>0</v>
      </c>
      <c r="E75">
        <v>3</v>
      </c>
      <c r="F75">
        <v>30400</v>
      </c>
      <c r="G75">
        <v>12.9</v>
      </c>
      <c r="H75">
        <v>9.26</v>
      </c>
      <c r="I75">
        <v>41915</v>
      </c>
      <c r="J75">
        <v>33622</v>
      </c>
      <c r="K75">
        <v>30848</v>
      </c>
      <c r="L75">
        <v>-37.88</v>
      </c>
      <c r="M75">
        <v>-10.6</v>
      </c>
      <c r="N75">
        <v>-1.47</v>
      </c>
      <c r="O75">
        <v>15.71</v>
      </c>
      <c r="P75" t="b">
        <v>1</v>
      </c>
      <c r="Q75">
        <v>2</v>
      </c>
      <c r="R75">
        <v>3872</v>
      </c>
      <c r="S75">
        <v>4458</v>
      </c>
      <c r="T75">
        <v>15.1</v>
      </c>
      <c r="U75" t="s">
        <v>852</v>
      </c>
      <c r="V75" t="s">
        <v>1223</v>
      </c>
      <c r="W75">
        <v>0.7179023621426861</v>
      </c>
      <c r="X75">
        <v>-10.6</v>
      </c>
      <c r="Y75" t="s">
        <v>1589</v>
      </c>
      <c r="Z75">
        <v>27.45570798360099</v>
      </c>
      <c r="AA75">
        <v>18469</v>
      </c>
      <c r="AB75">
        <v>204646</v>
      </c>
      <c r="AC75" t="s">
        <v>1936</v>
      </c>
      <c r="AD75">
        <v>25.87</v>
      </c>
      <c r="AE75" t="s">
        <v>2307</v>
      </c>
      <c r="AF75" t="s">
        <v>2678</v>
      </c>
      <c r="AG75">
        <v>37940</v>
      </c>
      <c r="AH75">
        <v>4929</v>
      </c>
      <c r="AI75">
        <v>656383</v>
      </c>
      <c r="AJ75">
        <v>2.79</v>
      </c>
      <c r="AK75" t="b">
        <v>1</v>
      </c>
    </row>
    <row r="76" spans="1:37">
      <c r="A76" s="1" t="s">
        <v>110</v>
      </c>
      <c r="B76" t="s">
        <v>481</v>
      </c>
      <c r="C76">
        <f>HYPERLINK("https://finance.naver.com/item/coinfo.nhn?code=072990", "A072990")</f>
        <v>0</v>
      </c>
      <c r="D76">
        <f>HYPERLINK("http://comp.fnguide.com/SVO2/ASP/SVD_Consensus.asp?pGB=1&amp;gicode=A072990&amp;cID=&amp;MenuYn=Y&amp;ReportGB=&amp;NewMenuID=108&amp;stkGb=701", "에이치시티")</f>
        <v>0</v>
      </c>
      <c r="E76">
        <v>3</v>
      </c>
      <c r="F76">
        <v>11250</v>
      </c>
      <c r="G76">
        <v>0.43</v>
      </c>
      <c r="H76">
        <v>11.04</v>
      </c>
      <c r="I76">
        <v>16784</v>
      </c>
      <c r="J76">
        <v>13103</v>
      </c>
      <c r="K76">
        <v>11872</v>
      </c>
      <c r="L76">
        <v>-49.19</v>
      </c>
      <c r="M76">
        <v>-16.47</v>
      </c>
      <c r="N76">
        <v>-5.53</v>
      </c>
      <c r="O76">
        <v>16.74</v>
      </c>
      <c r="P76" t="b">
        <v>1</v>
      </c>
      <c r="Q76">
        <v>3</v>
      </c>
      <c r="R76">
        <v>1476</v>
      </c>
      <c r="S76">
        <v>1718</v>
      </c>
      <c r="T76">
        <v>16.4</v>
      </c>
      <c r="U76" t="s">
        <v>853</v>
      </c>
      <c r="V76" t="s">
        <v>1224</v>
      </c>
      <c r="W76">
        <v>25.5411656303848</v>
      </c>
      <c r="X76">
        <v>2.5</v>
      </c>
      <c r="Y76" t="s">
        <v>1590</v>
      </c>
      <c r="Z76">
        <v>161.0854412274889</v>
      </c>
      <c r="AA76">
        <v>796</v>
      </c>
      <c r="AB76">
        <v>34811</v>
      </c>
      <c r="AC76" t="s">
        <v>1937</v>
      </c>
      <c r="AD76">
        <v>35.47</v>
      </c>
      <c r="AE76" t="s">
        <v>2308</v>
      </c>
      <c r="AF76" t="s">
        <v>2679</v>
      </c>
      <c r="AG76">
        <v>633</v>
      </c>
      <c r="AH76">
        <v>111</v>
      </c>
      <c r="AI76">
        <v>204684</v>
      </c>
      <c r="AJ76">
        <v>0.43</v>
      </c>
      <c r="AK76" t="b">
        <v>1</v>
      </c>
    </row>
    <row r="77" spans="1:37">
      <c r="A77" s="1" t="s">
        <v>111</v>
      </c>
      <c r="B77" t="s">
        <v>482</v>
      </c>
      <c r="C77">
        <f>HYPERLINK("https://finance.naver.com/item/coinfo.nhn?code=170790", "A170790")</f>
        <v>0</v>
      </c>
      <c r="D77">
        <f>HYPERLINK("http://comp.fnguide.com/SVO2/ASP/SVD_Consensus.asp?pGB=1&amp;gicode=A170790&amp;cID=&amp;MenuYn=Y&amp;ReportGB=&amp;NewMenuID=108&amp;stkGb=701", "파이오링크")</f>
        <v>0</v>
      </c>
      <c r="E77">
        <v>3</v>
      </c>
      <c r="F77">
        <v>11550</v>
      </c>
      <c r="G77">
        <v>0</v>
      </c>
      <c r="H77">
        <v>10.84</v>
      </c>
      <c r="I77">
        <v>18666</v>
      </c>
      <c r="J77">
        <v>13507</v>
      </c>
      <c r="K77">
        <v>11781</v>
      </c>
      <c r="L77">
        <v>-61.61</v>
      </c>
      <c r="M77">
        <v>-16.94</v>
      </c>
      <c r="N77">
        <v>-2</v>
      </c>
      <c r="O77">
        <v>20.25</v>
      </c>
      <c r="P77" t="b">
        <v>1</v>
      </c>
      <c r="Q77">
        <v>0</v>
      </c>
      <c r="R77">
        <v>1629</v>
      </c>
      <c r="U77" t="s">
        <v>854</v>
      </c>
      <c r="V77" t="s">
        <v>1225</v>
      </c>
      <c r="W77">
        <v>0</v>
      </c>
      <c r="X77">
        <v>89.5</v>
      </c>
      <c r="Y77" t="s">
        <v>1591</v>
      </c>
      <c r="Z77">
        <v>0</v>
      </c>
      <c r="AA77">
        <v>792</v>
      </c>
      <c r="AB77">
        <v>8336</v>
      </c>
      <c r="AC77" t="s">
        <v>1938</v>
      </c>
      <c r="AD77">
        <v>39.28</v>
      </c>
      <c r="AE77" t="s">
        <v>2309</v>
      </c>
      <c r="AF77" t="s">
        <v>2680</v>
      </c>
      <c r="AG77">
        <v>543</v>
      </c>
      <c r="AH77">
        <v>109</v>
      </c>
      <c r="AI77">
        <v>176221</v>
      </c>
      <c r="AJ77">
        <v>1.42</v>
      </c>
      <c r="AK77" t="b">
        <v>1</v>
      </c>
    </row>
    <row r="78" spans="1:37">
      <c r="A78" s="1" t="s">
        <v>112</v>
      </c>
      <c r="B78" t="s">
        <v>483</v>
      </c>
      <c r="C78">
        <f>HYPERLINK("https://finance.naver.com/item/coinfo.nhn?code=104480", "A104480")</f>
        <v>0</v>
      </c>
      <c r="D78">
        <f>HYPERLINK("http://comp.fnguide.com/SVO2/ASP/SVD_Consensus.asp?pGB=1&amp;gicode=A104480&amp;cID=&amp;MenuYn=Y&amp;ReportGB=&amp;NewMenuID=108&amp;stkGb=701", "티케이케미칼")</f>
        <v>0</v>
      </c>
      <c r="E78">
        <v>3</v>
      </c>
      <c r="F78">
        <v>4245</v>
      </c>
      <c r="G78">
        <v>0</v>
      </c>
      <c r="H78">
        <v>1.47</v>
      </c>
      <c r="I78">
        <v>27863</v>
      </c>
      <c r="J78">
        <v>16602</v>
      </c>
      <c r="K78">
        <v>12836</v>
      </c>
      <c r="L78">
        <v>-556.38</v>
      </c>
      <c r="M78">
        <v>-291.1</v>
      </c>
      <c r="N78">
        <v>-202.38</v>
      </c>
      <c r="O78">
        <v>38.12</v>
      </c>
      <c r="P78" t="b">
        <v>1</v>
      </c>
      <c r="Q78">
        <v>0</v>
      </c>
      <c r="R78">
        <v>3860</v>
      </c>
      <c r="U78" t="s">
        <v>855</v>
      </c>
      <c r="V78" t="s">
        <v>1226</v>
      </c>
      <c r="W78">
        <v>0</v>
      </c>
      <c r="X78">
        <v>150</v>
      </c>
      <c r="Y78" t="s">
        <v>1592</v>
      </c>
      <c r="Z78">
        <v>0</v>
      </c>
      <c r="AA78">
        <v>3859</v>
      </c>
      <c r="AB78">
        <v>465569</v>
      </c>
      <c r="AC78" t="s">
        <v>1939</v>
      </c>
      <c r="AD78">
        <v>47.89</v>
      </c>
      <c r="AE78" t="s">
        <v>2310</v>
      </c>
      <c r="AF78" t="s">
        <v>2681</v>
      </c>
      <c r="AG78">
        <v>6939</v>
      </c>
      <c r="AH78">
        <v>665</v>
      </c>
      <c r="AK78" t="b">
        <v>1</v>
      </c>
    </row>
    <row r="79" spans="1:37">
      <c r="A79" s="1" t="s">
        <v>113</v>
      </c>
      <c r="B79" t="s">
        <v>484</v>
      </c>
      <c r="C79">
        <f>HYPERLINK("https://finance.naver.com/item/coinfo.nhn?code=124560", "A124560")</f>
        <v>0</v>
      </c>
      <c r="D79">
        <f>HYPERLINK("http://comp.fnguide.com/SVO2/ASP/SVD_Consensus.asp?pGB=1&amp;gicode=A124560&amp;cID=&amp;MenuYn=Y&amp;ReportGB=&amp;NewMenuID=108&amp;stkGb=701", "태웅로직스")</f>
        <v>0</v>
      </c>
      <c r="E79">
        <v>3</v>
      </c>
      <c r="F79">
        <v>5040</v>
      </c>
      <c r="G79">
        <v>0</v>
      </c>
      <c r="H79">
        <v>2.7</v>
      </c>
      <c r="I79">
        <v>14816</v>
      </c>
      <c r="J79">
        <v>8477</v>
      </c>
      <c r="K79">
        <v>6356</v>
      </c>
      <c r="L79">
        <v>-193.98</v>
      </c>
      <c r="M79">
        <v>-68.19</v>
      </c>
      <c r="N79">
        <v>-26.12</v>
      </c>
      <c r="O79">
        <v>45.59</v>
      </c>
      <c r="P79" t="b">
        <v>1</v>
      </c>
      <c r="Q79">
        <v>0</v>
      </c>
      <c r="R79">
        <v>1658</v>
      </c>
      <c r="U79" t="s">
        <v>856</v>
      </c>
      <c r="V79" t="s">
        <v>1227</v>
      </c>
      <c r="W79">
        <v>0</v>
      </c>
      <c r="X79">
        <v>206.8</v>
      </c>
      <c r="Y79" t="s">
        <v>1593</v>
      </c>
      <c r="Z79">
        <v>284.8070288381672</v>
      </c>
      <c r="AA79">
        <v>1936</v>
      </c>
      <c r="AB79">
        <v>481200</v>
      </c>
      <c r="AC79" t="s">
        <v>1940</v>
      </c>
      <c r="AD79">
        <v>38.76</v>
      </c>
      <c r="AE79" t="s">
        <v>2311</v>
      </c>
      <c r="AF79" t="s">
        <v>2682</v>
      </c>
      <c r="AG79">
        <v>9390</v>
      </c>
      <c r="AH79">
        <v>793</v>
      </c>
      <c r="AI79">
        <v>1217000</v>
      </c>
      <c r="AJ79">
        <v>1.13</v>
      </c>
      <c r="AK79" t="b">
        <v>1</v>
      </c>
    </row>
    <row r="80" spans="1:37">
      <c r="A80" s="1" t="s">
        <v>114</v>
      </c>
      <c r="B80" t="s">
        <v>485</v>
      </c>
      <c r="C80">
        <f>HYPERLINK("https://finance.naver.com/item/coinfo.nhn?code=110790", "A110790")</f>
        <v>0</v>
      </c>
      <c r="D80">
        <f>HYPERLINK("http://comp.fnguide.com/SVO2/ASP/SVD_Consensus.asp?pGB=1&amp;gicode=A110790&amp;cID=&amp;MenuYn=Y&amp;ReportGB=&amp;NewMenuID=108&amp;stkGb=701", "크리스에프앤씨")</f>
        <v>0</v>
      </c>
      <c r="E80">
        <v>3</v>
      </c>
      <c r="F80">
        <v>35500</v>
      </c>
      <c r="G80">
        <v>0</v>
      </c>
      <c r="H80">
        <v>7.55</v>
      </c>
      <c r="I80">
        <v>56405</v>
      </c>
      <c r="J80">
        <v>40931</v>
      </c>
      <c r="K80">
        <v>35755</v>
      </c>
      <c r="L80">
        <v>-58.89</v>
      </c>
      <c r="M80">
        <v>-15.3</v>
      </c>
      <c r="N80">
        <v>-0.72</v>
      </c>
      <c r="O80">
        <v>20.09</v>
      </c>
      <c r="P80" t="b">
        <v>1</v>
      </c>
      <c r="Q80">
        <v>0</v>
      </c>
      <c r="R80">
        <v>5829</v>
      </c>
      <c r="U80" t="s">
        <v>857</v>
      </c>
      <c r="V80" t="s">
        <v>1228</v>
      </c>
      <c r="W80">
        <v>0</v>
      </c>
      <c r="X80">
        <v>22.8</v>
      </c>
      <c r="Y80" t="s">
        <v>1594</v>
      </c>
      <c r="Z80">
        <v>16.24205666506853</v>
      </c>
      <c r="AA80">
        <v>4159</v>
      </c>
      <c r="AB80">
        <v>16668</v>
      </c>
      <c r="AC80" t="s">
        <v>1941</v>
      </c>
      <c r="AD80">
        <v>40.12</v>
      </c>
      <c r="AE80" t="s">
        <v>2312</v>
      </c>
      <c r="AF80" t="s">
        <v>2683</v>
      </c>
      <c r="AG80">
        <v>3759</v>
      </c>
      <c r="AH80">
        <v>871</v>
      </c>
      <c r="AI80">
        <v>861917</v>
      </c>
      <c r="AJ80">
        <v>2.27</v>
      </c>
      <c r="AK80" t="b">
        <v>1</v>
      </c>
    </row>
    <row r="81" spans="1:37">
      <c r="A81" s="1" t="s">
        <v>115</v>
      </c>
      <c r="B81" t="s">
        <v>486</v>
      </c>
      <c r="C81">
        <f>HYPERLINK("https://finance.naver.com/item/coinfo.nhn?code=049430", "A049430")</f>
        <v>0</v>
      </c>
      <c r="D81">
        <f>HYPERLINK("http://comp.fnguide.com/SVO2/ASP/SVD_Consensus.asp?pGB=1&amp;gicode=A049430&amp;cID=&amp;MenuYn=Y&amp;ReportGB=&amp;NewMenuID=108&amp;stkGb=701", "코메론")</f>
        <v>0</v>
      </c>
      <c r="E81">
        <v>3</v>
      </c>
      <c r="F81">
        <v>9430</v>
      </c>
      <c r="G81">
        <v>0</v>
      </c>
      <c r="H81">
        <v>5.08</v>
      </c>
      <c r="I81">
        <v>21208</v>
      </c>
      <c r="J81">
        <v>20662</v>
      </c>
      <c r="K81">
        <v>20479</v>
      </c>
      <c r="L81">
        <v>-124.9</v>
      </c>
      <c r="M81">
        <v>-119.11</v>
      </c>
      <c r="N81">
        <v>-117.17</v>
      </c>
      <c r="O81">
        <v>10.54</v>
      </c>
      <c r="P81" t="b">
        <v>1</v>
      </c>
      <c r="Q81">
        <v>0</v>
      </c>
      <c r="R81">
        <v>2187</v>
      </c>
      <c r="U81" t="s">
        <v>858</v>
      </c>
      <c r="V81" t="s">
        <v>1229</v>
      </c>
      <c r="W81">
        <v>0</v>
      </c>
      <c r="X81">
        <v>-62.5</v>
      </c>
      <c r="Y81" t="s">
        <v>1595</v>
      </c>
      <c r="Z81">
        <v>-4.831623649576045</v>
      </c>
      <c r="AA81">
        <v>853</v>
      </c>
      <c r="AB81">
        <v>17694</v>
      </c>
      <c r="AC81" t="s">
        <v>1942</v>
      </c>
      <c r="AD81">
        <v>35.46</v>
      </c>
      <c r="AE81" t="s">
        <v>2313</v>
      </c>
      <c r="AF81" t="s">
        <v>2684</v>
      </c>
      <c r="AG81">
        <v>778</v>
      </c>
      <c r="AH81">
        <v>166</v>
      </c>
      <c r="AI81">
        <v>63630</v>
      </c>
      <c r="AJ81">
        <v>1.8</v>
      </c>
      <c r="AK81" t="b">
        <v>1</v>
      </c>
    </row>
    <row r="82" spans="1:37">
      <c r="A82" s="1" t="s">
        <v>116</v>
      </c>
      <c r="B82" t="s">
        <v>487</v>
      </c>
      <c r="C82">
        <f>HYPERLINK("https://finance.naver.com/item/coinfo.nhn?code=190650", "A190650")</f>
        <v>0</v>
      </c>
      <c r="D82">
        <f>HYPERLINK("http://comp.fnguide.com/SVO2/ASP/SVD_Consensus.asp?pGB=1&amp;gicode=A190650&amp;cID=&amp;MenuYn=Y&amp;ReportGB=&amp;NewMenuID=108&amp;stkGb=701", "코리아에셋투자증권")</f>
        <v>0</v>
      </c>
      <c r="E82">
        <v>3</v>
      </c>
      <c r="F82">
        <v>9530</v>
      </c>
      <c r="G82">
        <v>0</v>
      </c>
      <c r="H82">
        <v>4.77</v>
      </c>
      <c r="I82">
        <v>24411</v>
      </c>
      <c r="J82">
        <v>19227</v>
      </c>
      <c r="K82">
        <v>17493</v>
      </c>
      <c r="L82">
        <v>-156.15</v>
      </c>
      <c r="M82">
        <v>-101.75</v>
      </c>
      <c r="N82">
        <v>-83.56</v>
      </c>
      <c r="O82">
        <v>16.39</v>
      </c>
      <c r="P82" t="b">
        <v>0</v>
      </c>
      <c r="Q82">
        <v>0</v>
      </c>
      <c r="R82">
        <v>2612</v>
      </c>
      <c r="U82" t="s">
        <v>859</v>
      </c>
      <c r="V82" t="s">
        <v>1230</v>
      </c>
      <c r="W82">
        <v>0</v>
      </c>
      <c r="X82">
        <v>18.9</v>
      </c>
      <c r="Y82" t="s">
        <v>1596</v>
      </c>
      <c r="Z82">
        <v>13.80213972152477</v>
      </c>
      <c r="AA82">
        <v>609</v>
      </c>
      <c r="AB82">
        <v>6998</v>
      </c>
      <c r="AC82" t="s">
        <v>1943</v>
      </c>
      <c r="AD82">
        <v>50.75</v>
      </c>
      <c r="AE82" t="s">
        <v>2314</v>
      </c>
      <c r="AF82" t="s">
        <v>2685</v>
      </c>
      <c r="AG82">
        <v>876</v>
      </c>
      <c r="AH82">
        <v>215</v>
      </c>
      <c r="AJ82">
        <v>5.62</v>
      </c>
      <c r="AK82" t="b">
        <v>1</v>
      </c>
    </row>
    <row r="83" spans="1:37">
      <c r="A83" s="1" t="s">
        <v>117</v>
      </c>
      <c r="B83" t="s">
        <v>488</v>
      </c>
      <c r="C83">
        <f>HYPERLINK("https://finance.naver.com/item/coinfo.nhn?code=064820", "A064820")</f>
        <v>0</v>
      </c>
      <c r="D83">
        <f>HYPERLINK("http://comp.fnguide.com/SVO2/ASP/SVD_Consensus.asp?pGB=1&amp;gicode=A064820&amp;cID=&amp;MenuYn=Y&amp;ReportGB=&amp;NewMenuID=108&amp;stkGb=701", "케이프")</f>
        <v>0</v>
      </c>
      <c r="E83">
        <v>3</v>
      </c>
      <c r="F83">
        <v>4590</v>
      </c>
      <c r="G83">
        <v>0</v>
      </c>
      <c r="H83">
        <v>5.06</v>
      </c>
      <c r="I83">
        <v>6663</v>
      </c>
      <c r="J83">
        <v>6578</v>
      </c>
      <c r="K83">
        <v>6549</v>
      </c>
      <c r="L83">
        <v>-45.17</v>
      </c>
      <c r="M83">
        <v>-43.31</v>
      </c>
      <c r="N83">
        <v>-42.69</v>
      </c>
      <c r="O83">
        <v>10.29</v>
      </c>
      <c r="P83" t="b">
        <v>1</v>
      </c>
      <c r="Q83">
        <v>0</v>
      </c>
      <c r="R83">
        <v>931</v>
      </c>
      <c r="U83" t="s">
        <v>860</v>
      </c>
      <c r="V83" t="s">
        <v>1231</v>
      </c>
      <c r="W83">
        <v>0</v>
      </c>
      <c r="X83">
        <v>-23.6</v>
      </c>
      <c r="Y83" t="s">
        <v>1597</v>
      </c>
      <c r="Z83">
        <v>85.5655059412955</v>
      </c>
      <c r="AA83">
        <v>1418</v>
      </c>
      <c r="AB83">
        <v>63690</v>
      </c>
      <c r="AC83" t="s">
        <v>1944</v>
      </c>
      <c r="AD83">
        <v>33.63</v>
      </c>
      <c r="AE83" t="s">
        <v>2315</v>
      </c>
      <c r="AF83" t="s">
        <v>2686</v>
      </c>
      <c r="AG83">
        <v>4277</v>
      </c>
      <c r="AH83">
        <v>474</v>
      </c>
      <c r="AJ83">
        <v>2.12</v>
      </c>
      <c r="AK83" t="b">
        <v>1</v>
      </c>
    </row>
    <row r="84" spans="1:37">
      <c r="A84" s="1" t="s">
        <v>118</v>
      </c>
      <c r="B84" t="s">
        <v>489</v>
      </c>
      <c r="C84">
        <f>HYPERLINK("https://finance.naver.com/item/coinfo.nhn?code=083550", "A083550")</f>
        <v>0</v>
      </c>
      <c r="D84">
        <f>HYPERLINK("http://comp.fnguide.com/SVO2/ASP/SVD_Consensus.asp?pGB=1&amp;gicode=A083550&amp;cID=&amp;MenuYn=Y&amp;ReportGB=&amp;NewMenuID=108&amp;stkGb=701", "케이엠")</f>
        <v>0</v>
      </c>
      <c r="E84">
        <v>3</v>
      </c>
      <c r="F84">
        <v>7700</v>
      </c>
      <c r="G84">
        <v>0</v>
      </c>
      <c r="H84">
        <v>12.53</v>
      </c>
      <c r="I84">
        <v>18506</v>
      </c>
      <c r="J84">
        <v>14955</v>
      </c>
      <c r="K84">
        <v>13767</v>
      </c>
      <c r="L84">
        <v>-140.34</v>
      </c>
      <c r="M84">
        <v>-94.22</v>
      </c>
      <c r="N84">
        <v>-78.8</v>
      </c>
      <c r="O84">
        <v>15.45</v>
      </c>
      <c r="P84" t="b">
        <v>1</v>
      </c>
      <c r="Q84">
        <v>0</v>
      </c>
      <c r="R84">
        <v>667</v>
      </c>
      <c r="U84" t="s">
        <v>861</v>
      </c>
      <c r="V84" t="s">
        <v>1232</v>
      </c>
      <c r="W84">
        <v>0</v>
      </c>
      <c r="X84">
        <v>-57.5</v>
      </c>
      <c r="Y84" t="s">
        <v>1598</v>
      </c>
      <c r="Z84">
        <v>-6.062727792561729</v>
      </c>
      <c r="AA84">
        <v>866</v>
      </c>
      <c r="AB84">
        <v>402862</v>
      </c>
      <c r="AC84" t="s">
        <v>1945</v>
      </c>
      <c r="AD84">
        <v>31.69</v>
      </c>
      <c r="AE84" t="s">
        <v>2316</v>
      </c>
      <c r="AF84" t="s">
        <v>2687</v>
      </c>
      <c r="AG84">
        <v>1432</v>
      </c>
      <c r="AH84">
        <v>83</v>
      </c>
      <c r="AI84">
        <v>825065</v>
      </c>
      <c r="AJ84">
        <v>0.8</v>
      </c>
      <c r="AK84" t="b">
        <v>1</v>
      </c>
    </row>
    <row r="85" spans="1:37">
      <c r="A85" s="1" t="s">
        <v>119</v>
      </c>
      <c r="B85" t="s">
        <v>490</v>
      </c>
      <c r="C85">
        <f>HYPERLINK("https://finance.naver.com/item/coinfo.nhn?code=307930", "A307930")</f>
        <v>0</v>
      </c>
      <c r="D85">
        <f>HYPERLINK("http://comp.fnguide.com/SVO2/ASP/SVD_Consensus.asp?pGB=1&amp;gicode=A307930&amp;cID=&amp;MenuYn=Y&amp;ReportGB=&amp;NewMenuID=108&amp;stkGb=701", "컴퍼니케이")</f>
        <v>0</v>
      </c>
      <c r="E85">
        <v>3</v>
      </c>
      <c r="F85">
        <v>6330</v>
      </c>
      <c r="G85">
        <v>0</v>
      </c>
      <c r="H85">
        <v>6.58</v>
      </c>
      <c r="I85">
        <v>11392</v>
      </c>
      <c r="J85">
        <v>7755</v>
      </c>
      <c r="K85">
        <v>6539</v>
      </c>
      <c r="L85">
        <v>-79.97</v>
      </c>
      <c r="M85">
        <v>-22.52</v>
      </c>
      <c r="N85">
        <v>-3.3</v>
      </c>
      <c r="O85">
        <v>24.02</v>
      </c>
      <c r="P85" t="b">
        <v>0</v>
      </c>
      <c r="Q85">
        <v>0</v>
      </c>
      <c r="R85">
        <v>1210</v>
      </c>
      <c r="U85" t="s">
        <v>862</v>
      </c>
      <c r="V85" t="s">
        <v>1233</v>
      </c>
      <c r="W85">
        <v>0</v>
      </c>
      <c r="Y85" t="s">
        <v>1536</v>
      </c>
      <c r="Z85">
        <v>-29.11608766896807</v>
      </c>
      <c r="AA85">
        <v>988</v>
      </c>
      <c r="AB85">
        <v>23926</v>
      </c>
      <c r="AC85" t="s">
        <v>1946</v>
      </c>
      <c r="AD85">
        <v>71.36</v>
      </c>
      <c r="AE85" t="s">
        <v>2317</v>
      </c>
      <c r="AF85" t="s">
        <v>2688</v>
      </c>
      <c r="AG85">
        <v>274</v>
      </c>
      <c r="AH85">
        <v>212</v>
      </c>
      <c r="AJ85">
        <v>3.14</v>
      </c>
      <c r="AK85" t="b">
        <v>1</v>
      </c>
    </row>
    <row r="86" spans="1:37">
      <c r="A86" s="1" t="s">
        <v>120</v>
      </c>
      <c r="B86" t="s">
        <v>491</v>
      </c>
      <c r="C86">
        <f>HYPERLINK("https://finance.naver.com/item/coinfo.nhn?code=078340", "A078340")</f>
        <v>0</v>
      </c>
      <c r="D86">
        <f>HYPERLINK("http://comp.fnguide.com/SVO2/ASP/SVD_Consensus.asp?pGB=1&amp;gicode=A078340&amp;cID=&amp;MenuYn=Y&amp;ReportGB=&amp;NewMenuID=108&amp;stkGb=701", "컴투스")</f>
        <v>0</v>
      </c>
      <c r="E86">
        <v>3</v>
      </c>
      <c r="F86">
        <v>76700</v>
      </c>
      <c r="G86">
        <v>-0.65</v>
      </c>
      <c r="H86">
        <v>15.72</v>
      </c>
      <c r="I86">
        <v>107821</v>
      </c>
      <c r="J86">
        <v>102841</v>
      </c>
      <c r="K86">
        <v>101176</v>
      </c>
      <c r="L86">
        <v>-40.57</v>
      </c>
      <c r="M86">
        <v>-34.08</v>
      </c>
      <c r="N86">
        <v>-31.91</v>
      </c>
      <c r="O86">
        <v>10.97</v>
      </c>
      <c r="P86" t="b">
        <v>1</v>
      </c>
      <c r="Q86">
        <v>0</v>
      </c>
      <c r="R86">
        <v>10060</v>
      </c>
      <c r="S86">
        <v>3790</v>
      </c>
      <c r="T86">
        <v>-62.3</v>
      </c>
      <c r="U86" t="s">
        <v>863</v>
      </c>
      <c r="V86" t="s">
        <v>1234</v>
      </c>
      <c r="W86">
        <v>-24.13258961857451</v>
      </c>
      <c r="X86">
        <v>-80.3</v>
      </c>
      <c r="Y86" t="s">
        <v>1599</v>
      </c>
      <c r="Z86">
        <v>-29.11608766896807</v>
      </c>
      <c r="AA86">
        <v>9869</v>
      </c>
      <c r="AB86">
        <v>132362</v>
      </c>
      <c r="AC86" t="s">
        <v>1947</v>
      </c>
      <c r="AD86">
        <v>29.5</v>
      </c>
      <c r="AE86" t="s">
        <v>2318</v>
      </c>
      <c r="AF86" t="s">
        <v>2689</v>
      </c>
      <c r="AG86">
        <v>5587</v>
      </c>
      <c r="AH86">
        <v>526</v>
      </c>
      <c r="AI86">
        <v>978610</v>
      </c>
      <c r="AJ86">
        <v>0.82</v>
      </c>
      <c r="AK86" t="b">
        <v>1</v>
      </c>
    </row>
    <row r="87" spans="1:37">
      <c r="A87" s="1" t="s">
        <v>121</v>
      </c>
      <c r="B87" t="s">
        <v>492</v>
      </c>
      <c r="C87">
        <f>HYPERLINK("https://finance.naver.com/item/coinfo.nhn?code=900310", "A900310")</f>
        <v>0</v>
      </c>
      <c r="D87">
        <f>HYPERLINK("http://comp.fnguide.com/SVO2/ASP/SVD_Consensus.asp?pGB=1&amp;gicode=A900310&amp;cID=&amp;MenuYn=Y&amp;ReportGB=&amp;NewMenuID=108&amp;stkGb=701", "컬러레이")</f>
        <v>0</v>
      </c>
      <c r="E87">
        <v>3</v>
      </c>
      <c r="F87">
        <v>1020</v>
      </c>
      <c r="G87">
        <v>0</v>
      </c>
      <c r="H87">
        <v>3.14</v>
      </c>
      <c r="I87">
        <v>4609</v>
      </c>
      <c r="J87">
        <v>4027</v>
      </c>
      <c r="K87">
        <v>3833</v>
      </c>
      <c r="L87">
        <v>-351.89</v>
      </c>
      <c r="M87">
        <v>-294.85</v>
      </c>
      <c r="N87">
        <v>-275.77</v>
      </c>
      <c r="O87">
        <v>13.05</v>
      </c>
      <c r="P87" t="b">
        <v>0</v>
      </c>
      <c r="Q87">
        <v>0</v>
      </c>
      <c r="R87">
        <v>449</v>
      </c>
      <c r="U87" t="s">
        <v>864</v>
      </c>
      <c r="V87" t="s">
        <v>1235</v>
      </c>
      <c r="W87">
        <v>0</v>
      </c>
      <c r="X87">
        <v>-26.6</v>
      </c>
      <c r="Y87" t="s">
        <v>1600</v>
      </c>
      <c r="Z87">
        <v>-8.634155980204561</v>
      </c>
      <c r="AA87">
        <v>653</v>
      </c>
      <c r="AB87">
        <v>253301</v>
      </c>
      <c r="AC87" t="s">
        <v>1948</v>
      </c>
      <c r="AD87">
        <v>45.56</v>
      </c>
      <c r="AE87" t="s">
        <v>2319</v>
      </c>
      <c r="AF87" t="s">
        <v>2690</v>
      </c>
      <c r="AG87">
        <v>564</v>
      </c>
      <c r="AH87">
        <v>293</v>
      </c>
      <c r="AK87" t="b">
        <v>1</v>
      </c>
    </row>
    <row r="88" spans="1:37">
      <c r="A88" s="1" t="s">
        <v>122</v>
      </c>
      <c r="B88" t="s">
        <v>493</v>
      </c>
      <c r="C88">
        <f>HYPERLINK("https://finance.naver.com/item/coinfo.nhn?code=052300", "A052300")</f>
        <v>0</v>
      </c>
      <c r="D88">
        <f>HYPERLINK("http://comp.fnguide.com/SVO2/ASP/SVD_Consensus.asp?pGB=1&amp;gicode=A052300&amp;cID=&amp;MenuYn=Y&amp;ReportGB=&amp;NewMenuID=108&amp;stkGb=701", "초록뱀컴퍼니")</f>
        <v>0</v>
      </c>
      <c r="E88">
        <v>3</v>
      </c>
      <c r="F88">
        <v>900</v>
      </c>
      <c r="G88">
        <v>0</v>
      </c>
      <c r="H88">
        <v>1.72</v>
      </c>
      <c r="I88">
        <v>4948</v>
      </c>
      <c r="J88">
        <v>3511</v>
      </c>
      <c r="K88">
        <v>3031</v>
      </c>
      <c r="L88">
        <v>-449.74</v>
      </c>
      <c r="M88">
        <v>-290.15</v>
      </c>
      <c r="N88">
        <v>-236.77</v>
      </c>
      <c r="O88">
        <v>21.33</v>
      </c>
      <c r="P88" t="b">
        <v>1</v>
      </c>
      <c r="Q88">
        <v>0</v>
      </c>
      <c r="R88">
        <v>772</v>
      </c>
      <c r="U88" t="s">
        <v>865</v>
      </c>
      <c r="V88" t="s">
        <v>1236</v>
      </c>
      <c r="W88">
        <v>0</v>
      </c>
      <c r="Y88" t="s">
        <v>1601</v>
      </c>
      <c r="Z88">
        <v>0</v>
      </c>
      <c r="AA88">
        <v>1036</v>
      </c>
      <c r="AB88">
        <v>2071632</v>
      </c>
      <c r="AC88" t="s">
        <v>1949</v>
      </c>
      <c r="AD88">
        <v>16.84</v>
      </c>
      <c r="AE88" t="s">
        <v>2320</v>
      </c>
      <c r="AF88" t="s">
        <v>2691</v>
      </c>
      <c r="AG88">
        <v>620</v>
      </c>
      <c r="AH88">
        <v>-15</v>
      </c>
      <c r="AI88">
        <v>12034</v>
      </c>
      <c r="AK88" t="b">
        <v>1</v>
      </c>
    </row>
    <row r="89" spans="1:37">
      <c r="A89" s="1" t="s">
        <v>123</v>
      </c>
      <c r="B89" t="s">
        <v>494</v>
      </c>
      <c r="C89">
        <f>HYPERLINK("https://finance.naver.com/item/coinfo.nhn?code=007370", "A007370")</f>
        <v>0</v>
      </c>
      <c r="D89">
        <f>HYPERLINK("http://comp.fnguide.com/SVO2/ASP/SVD_Consensus.asp?pGB=1&amp;gicode=A007370&amp;cID=&amp;MenuYn=Y&amp;ReportGB=&amp;NewMenuID=108&amp;stkGb=701", "진양제약")</f>
        <v>0</v>
      </c>
      <c r="E89">
        <v>3</v>
      </c>
      <c r="F89">
        <v>6190</v>
      </c>
      <c r="G89">
        <v>0</v>
      </c>
      <c r="H89">
        <v>8.859999999999999</v>
      </c>
      <c r="I89">
        <v>7455</v>
      </c>
      <c r="J89">
        <v>6570</v>
      </c>
      <c r="K89">
        <v>6274</v>
      </c>
      <c r="L89">
        <v>-20.44</v>
      </c>
      <c r="M89">
        <v>-6.14</v>
      </c>
      <c r="N89">
        <v>-1.35</v>
      </c>
      <c r="O89">
        <v>12.82</v>
      </c>
      <c r="P89" t="b">
        <v>1</v>
      </c>
      <c r="Q89">
        <v>0</v>
      </c>
      <c r="R89">
        <v>795</v>
      </c>
      <c r="U89" t="s">
        <v>866</v>
      </c>
      <c r="V89" t="s">
        <v>1237</v>
      </c>
      <c r="W89">
        <v>0</v>
      </c>
      <c r="X89">
        <v>126.7</v>
      </c>
      <c r="Y89" t="s">
        <v>1602</v>
      </c>
      <c r="Z89">
        <v>0</v>
      </c>
      <c r="AA89">
        <v>743</v>
      </c>
      <c r="AB89">
        <v>9368</v>
      </c>
      <c r="AC89" t="s">
        <v>1950</v>
      </c>
      <c r="AD89">
        <v>29.52</v>
      </c>
      <c r="AE89" t="s">
        <v>2321</v>
      </c>
      <c r="AF89" t="s">
        <v>2692</v>
      </c>
      <c r="AG89">
        <v>628</v>
      </c>
      <c r="AH89">
        <v>70</v>
      </c>
      <c r="AI89">
        <v>822557</v>
      </c>
      <c r="AJ89">
        <v>1.42</v>
      </c>
      <c r="AK89" t="b">
        <v>1</v>
      </c>
    </row>
    <row r="90" spans="1:37">
      <c r="A90" s="1" t="s">
        <v>124</v>
      </c>
      <c r="B90" t="s">
        <v>495</v>
      </c>
      <c r="C90">
        <f>HYPERLINK("https://finance.naver.com/item/coinfo.nhn?code=064800", "A064800")</f>
        <v>0</v>
      </c>
      <c r="D90">
        <f>HYPERLINK("http://comp.fnguide.com/SVO2/ASP/SVD_Consensus.asp?pGB=1&amp;gicode=A064800&amp;cID=&amp;MenuYn=Y&amp;ReportGB=&amp;NewMenuID=108&amp;stkGb=701", "젬백스링크")</f>
        <v>0</v>
      </c>
      <c r="E90">
        <v>3</v>
      </c>
      <c r="F90">
        <v>1305</v>
      </c>
      <c r="G90">
        <v>0</v>
      </c>
      <c r="H90">
        <v>4.12</v>
      </c>
      <c r="I90">
        <v>2936</v>
      </c>
      <c r="J90">
        <v>2574</v>
      </c>
      <c r="K90">
        <v>2453</v>
      </c>
      <c r="L90">
        <v>-125.01</v>
      </c>
      <c r="M90">
        <v>-97.23</v>
      </c>
      <c r="N90">
        <v>-87.94</v>
      </c>
      <c r="O90">
        <v>12.97</v>
      </c>
      <c r="P90" t="b">
        <v>1</v>
      </c>
      <c r="Q90">
        <v>0</v>
      </c>
      <c r="R90">
        <v>415</v>
      </c>
      <c r="U90" t="s">
        <v>867</v>
      </c>
      <c r="V90" t="s">
        <v>1238</v>
      </c>
      <c r="W90">
        <v>0</v>
      </c>
      <c r="X90">
        <v>-80.09999999999999</v>
      </c>
      <c r="Y90" t="s">
        <v>1603</v>
      </c>
      <c r="Z90">
        <v>0</v>
      </c>
      <c r="AA90">
        <v>1085</v>
      </c>
      <c r="AB90">
        <v>109804</v>
      </c>
      <c r="AC90" t="s">
        <v>1951</v>
      </c>
      <c r="AD90">
        <v>23.62</v>
      </c>
      <c r="AE90" t="s">
        <v>2322</v>
      </c>
      <c r="AF90" t="s">
        <v>2693</v>
      </c>
      <c r="AG90">
        <v>1096</v>
      </c>
      <c r="AH90">
        <v>17</v>
      </c>
      <c r="AJ90">
        <v>1.17</v>
      </c>
      <c r="AK90" t="b">
        <v>1</v>
      </c>
    </row>
    <row r="91" spans="1:37">
      <c r="A91" s="1" t="s">
        <v>125</v>
      </c>
      <c r="B91" t="s">
        <v>496</v>
      </c>
      <c r="C91">
        <f>HYPERLINK("https://finance.naver.com/item/coinfo.nhn?code=199820", "A199820")</f>
        <v>0</v>
      </c>
      <c r="D91">
        <f>HYPERLINK("http://comp.fnguide.com/SVO2/ASP/SVD_Consensus.asp?pGB=1&amp;gicode=A199820&amp;cID=&amp;MenuYn=Y&amp;ReportGB=&amp;NewMenuID=108&amp;stkGb=701", "제일전기공업")</f>
        <v>0</v>
      </c>
      <c r="E91">
        <v>3</v>
      </c>
      <c r="F91">
        <v>11650</v>
      </c>
      <c r="G91">
        <v>0</v>
      </c>
      <c r="H91">
        <v>15.71</v>
      </c>
      <c r="I91">
        <v>16401</v>
      </c>
      <c r="J91">
        <v>13135</v>
      </c>
      <c r="K91">
        <v>12042</v>
      </c>
      <c r="L91">
        <v>-40.78</v>
      </c>
      <c r="M91">
        <v>-12.74</v>
      </c>
      <c r="N91">
        <v>-3.37</v>
      </c>
      <c r="O91">
        <v>15.77</v>
      </c>
      <c r="P91" t="b">
        <v>1</v>
      </c>
      <c r="Q91">
        <v>0</v>
      </c>
      <c r="R91">
        <v>1162</v>
      </c>
      <c r="U91" t="s">
        <v>868</v>
      </c>
      <c r="V91" t="s">
        <v>1239</v>
      </c>
      <c r="W91">
        <v>0</v>
      </c>
      <c r="X91">
        <v>-33.7</v>
      </c>
      <c r="Y91" t="s">
        <v>1604</v>
      </c>
      <c r="Z91">
        <v>-13.46551913044499</v>
      </c>
      <c r="AA91">
        <v>1294</v>
      </c>
      <c r="AB91">
        <v>6764</v>
      </c>
      <c r="AC91" t="s">
        <v>1952</v>
      </c>
      <c r="AD91">
        <v>60.52</v>
      </c>
      <c r="AE91" t="s">
        <v>2323</v>
      </c>
      <c r="AF91" t="s">
        <v>2694</v>
      </c>
      <c r="AG91">
        <v>1472</v>
      </c>
      <c r="AH91">
        <v>129</v>
      </c>
      <c r="AJ91">
        <v>1.64</v>
      </c>
      <c r="AK91" t="b">
        <v>1</v>
      </c>
    </row>
    <row r="92" spans="1:37">
      <c r="A92" s="1" t="s">
        <v>126</v>
      </c>
      <c r="B92" t="s">
        <v>497</v>
      </c>
      <c r="C92">
        <f>HYPERLINK("https://finance.naver.com/item/coinfo.nhn?code=091700", "A091700")</f>
        <v>0</v>
      </c>
      <c r="D92">
        <f>HYPERLINK("http://comp.fnguide.com/SVO2/ASP/SVD_Consensus.asp?pGB=1&amp;gicode=A091700&amp;cID=&amp;MenuYn=Y&amp;ReportGB=&amp;NewMenuID=108&amp;stkGb=701", "파트론")</f>
        <v>0</v>
      </c>
      <c r="E92">
        <v>3</v>
      </c>
      <c r="F92">
        <v>8620</v>
      </c>
      <c r="G92">
        <v>-1.04</v>
      </c>
      <c r="H92">
        <v>9.970000000000001</v>
      </c>
      <c r="I92">
        <v>11615</v>
      </c>
      <c r="J92">
        <v>9768</v>
      </c>
      <c r="K92">
        <v>9150</v>
      </c>
      <c r="L92">
        <v>-34.74</v>
      </c>
      <c r="M92">
        <v>-13.31</v>
      </c>
      <c r="N92">
        <v>-6.15</v>
      </c>
      <c r="O92">
        <v>14.15</v>
      </c>
      <c r="P92" t="b">
        <v>1</v>
      </c>
      <c r="Q92">
        <v>0</v>
      </c>
      <c r="R92">
        <v>1334</v>
      </c>
      <c r="S92">
        <v>831</v>
      </c>
      <c r="T92">
        <v>-37.7</v>
      </c>
      <c r="U92" t="s">
        <v>869</v>
      </c>
      <c r="V92" t="s">
        <v>1240</v>
      </c>
      <c r="W92">
        <v>-9.610110657096415</v>
      </c>
      <c r="X92">
        <v>-21.8</v>
      </c>
      <c r="Y92" t="s">
        <v>1605</v>
      </c>
      <c r="Z92">
        <v>132.8150627457835</v>
      </c>
      <c r="AA92">
        <v>5079</v>
      </c>
      <c r="AB92">
        <v>367203</v>
      </c>
      <c r="AC92" t="s">
        <v>1953</v>
      </c>
      <c r="AD92">
        <v>26.79</v>
      </c>
      <c r="AE92" t="s">
        <v>2324</v>
      </c>
      <c r="AF92" t="s">
        <v>2695</v>
      </c>
      <c r="AG92">
        <v>13127</v>
      </c>
      <c r="AH92">
        <v>787</v>
      </c>
      <c r="AI92">
        <v>3557210</v>
      </c>
      <c r="AJ92">
        <v>2.63</v>
      </c>
      <c r="AK92" t="b">
        <v>1</v>
      </c>
    </row>
    <row r="93" spans="1:37">
      <c r="A93" s="1" t="s">
        <v>127</v>
      </c>
      <c r="B93" t="s">
        <v>498</v>
      </c>
      <c r="C93">
        <f>HYPERLINK("https://finance.naver.com/item/coinfo.nhn?code=225590", "A225590")</f>
        <v>0</v>
      </c>
      <c r="D93">
        <f>HYPERLINK("http://comp.fnguide.com/SVO2/ASP/SVD_Consensus.asp?pGB=1&amp;gicode=A225590&amp;cID=&amp;MenuYn=Y&amp;ReportGB=&amp;NewMenuID=108&amp;stkGb=701", "패션플랫폼")</f>
        <v>0</v>
      </c>
      <c r="E93">
        <v>3</v>
      </c>
      <c r="F93">
        <v>1525</v>
      </c>
      <c r="G93">
        <v>0</v>
      </c>
      <c r="H93">
        <v>3</v>
      </c>
      <c r="I93">
        <v>4218</v>
      </c>
      <c r="J93">
        <v>3129</v>
      </c>
      <c r="K93">
        <v>2765</v>
      </c>
      <c r="L93">
        <v>-176.58</v>
      </c>
      <c r="M93">
        <v>-105.17</v>
      </c>
      <c r="N93">
        <v>-81.29000000000001</v>
      </c>
      <c r="O93">
        <v>18.98</v>
      </c>
      <c r="P93" t="b">
        <v>1</v>
      </c>
      <c r="Q93">
        <v>0</v>
      </c>
      <c r="R93">
        <v>578</v>
      </c>
      <c r="U93" t="s">
        <v>870</v>
      </c>
      <c r="V93" t="s">
        <v>1241</v>
      </c>
      <c r="W93">
        <v>0</v>
      </c>
      <c r="X93">
        <v>-47.3</v>
      </c>
      <c r="Y93" t="s">
        <v>1606</v>
      </c>
      <c r="Z93">
        <v>11.07948280067275</v>
      </c>
      <c r="AA93">
        <v>406</v>
      </c>
      <c r="AB93">
        <v>86983</v>
      </c>
      <c r="AC93" t="s">
        <v>1954</v>
      </c>
      <c r="AD93">
        <v>48.59</v>
      </c>
      <c r="AE93" t="s">
        <v>2325</v>
      </c>
      <c r="AF93" t="s">
        <v>2696</v>
      </c>
      <c r="AG93">
        <v>899</v>
      </c>
      <c r="AH93">
        <v>60</v>
      </c>
      <c r="AI93">
        <v>1029831</v>
      </c>
      <c r="AK93" t="b">
        <v>1</v>
      </c>
    </row>
    <row r="94" spans="1:37">
      <c r="A94" s="1" t="s">
        <v>128</v>
      </c>
      <c r="B94" t="s">
        <v>499</v>
      </c>
      <c r="C94">
        <f>HYPERLINK("https://finance.naver.com/item/coinfo.nhn?code=251970", "A251970")</f>
        <v>0</v>
      </c>
      <c r="D94">
        <f>HYPERLINK("http://comp.fnguide.com/SVO2/ASP/SVD_Consensus.asp?pGB=1&amp;gicode=A251970&amp;cID=&amp;MenuYn=Y&amp;ReportGB=&amp;NewMenuID=108&amp;stkGb=701", "펌텍코리아")</f>
        <v>0</v>
      </c>
      <c r="E94">
        <v>3</v>
      </c>
      <c r="F94">
        <v>15700</v>
      </c>
      <c r="G94">
        <v>0</v>
      </c>
      <c r="H94">
        <v>11.82</v>
      </c>
      <c r="I94">
        <v>18823</v>
      </c>
      <c r="J94">
        <v>17260</v>
      </c>
      <c r="K94">
        <v>16737</v>
      </c>
      <c r="L94">
        <v>-19.89</v>
      </c>
      <c r="M94">
        <v>-9.94</v>
      </c>
      <c r="N94">
        <v>-6.61</v>
      </c>
      <c r="O94">
        <v>11.84</v>
      </c>
      <c r="P94" t="b">
        <v>1</v>
      </c>
      <c r="Q94">
        <v>0</v>
      </c>
      <c r="R94">
        <v>1430</v>
      </c>
      <c r="U94" t="s">
        <v>871</v>
      </c>
      <c r="V94" t="s">
        <v>1242</v>
      </c>
      <c r="W94">
        <v>0</v>
      </c>
      <c r="X94">
        <v>-20.8</v>
      </c>
      <c r="Y94" t="s">
        <v>1607</v>
      </c>
      <c r="Z94">
        <v>-3.104494737094554</v>
      </c>
      <c r="AA94">
        <v>1947</v>
      </c>
      <c r="AB94">
        <v>3631</v>
      </c>
      <c r="AC94" t="s">
        <v>1955</v>
      </c>
      <c r="AD94">
        <v>61.38</v>
      </c>
      <c r="AE94" t="s">
        <v>2326</v>
      </c>
      <c r="AF94" t="s">
        <v>2697</v>
      </c>
      <c r="AG94">
        <v>2220</v>
      </c>
      <c r="AH94">
        <v>261</v>
      </c>
      <c r="AI94">
        <v>287382</v>
      </c>
      <c r="AJ94">
        <v>2.07</v>
      </c>
      <c r="AK94" t="b">
        <v>1</v>
      </c>
    </row>
    <row r="95" spans="1:37">
      <c r="A95" s="1" t="s">
        <v>129</v>
      </c>
      <c r="B95" t="s">
        <v>500</v>
      </c>
      <c r="C95">
        <f>HYPERLINK("https://finance.naver.com/item/coinfo.nhn?code=021650", "A021650")</f>
        <v>0</v>
      </c>
      <c r="D95">
        <f>HYPERLINK("http://comp.fnguide.com/SVO2/ASP/SVD_Consensus.asp?pGB=1&amp;gicode=A021650&amp;cID=&amp;MenuYn=Y&amp;ReportGB=&amp;NewMenuID=108&amp;stkGb=701", "한국큐빅")</f>
        <v>0</v>
      </c>
      <c r="E95">
        <v>3</v>
      </c>
      <c r="F95">
        <v>3230</v>
      </c>
      <c r="G95">
        <v>0</v>
      </c>
      <c r="H95">
        <v>9.06</v>
      </c>
      <c r="I95">
        <v>5444</v>
      </c>
      <c r="J95">
        <v>4973</v>
      </c>
      <c r="K95">
        <v>4815</v>
      </c>
      <c r="L95">
        <v>-68.56</v>
      </c>
      <c r="M95">
        <v>-53.95</v>
      </c>
      <c r="N95">
        <v>-49.06</v>
      </c>
      <c r="O95">
        <v>11.94</v>
      </c>
      <c r="P95" t="b">
        <v>1</v>
      </c>
      <c r="Q95">
        <v>0</v>
      </c>
      <c r="R95">
        <v>461</v>
      </c>
      <c r="U95" t="s">
        <v>872</v>
      </c>
      <c r="V95" t="s">
        <v>1243</v>
      </c>
      <c r="W95">
        <v>0</v>
      </c>
      <c r="X95">
        <v>-60.4</v>
      </c>
      <c r="Y95" t="s">
        <v>1608</v>
      </c>
      <c r="Z95">
        <v>25.36844636286501</v>
      </c>
      <c r="AA95">
        <v>528</v>
      </c>
      <c r="AB95">
        <v>28808</v>
      </c>
      <c r="AC95" t="s">
        <v>1956</v>
      </c>
      <c r="AD95">
        <v>45.81</v>
      </c>
      <c r="AE95" t="s">
        <v>2327</v>
      </c>
      <c r="AF95" t="s">
        <v>2698</v>
      </c>
      <c r="AG95">
        <v>1721</v>
      </c>
      <c r="AH95">
        <v>91</v>
      </c>
      <c r="AI95">
        <v>100474</v>
      </c>
      <c r="AJ95">
        <v>1.68</v>
      </c>
      <c r="AK95" t="b">
        <v>1</v>
      </c>
    </row>
    <row r="96" spans="1:37">
      <c r="A96" s="1" t="s">
        <v>130</v>
      </c>
      <c r="B96" t="s">
        <v>501</v>
      </c>
      <c r="C96">
        <f>HYPERLINK("https://finance.naver.com/item/coinfo.nhn?code=353190", "A353190")</f>
        <v>0</v>
      </c>
      <c r="D96">
        <f>HYPERLINK("http://comp.fnguide.com/SVO2/ASP/SVD_Consensus.asp?pGB=1&amp;gicode=A353190&amp;cID=&amp;MenuYn=Y&amp;ReportGB=&amp;NewMenuID=108&amp;stkGb=701", "휴럼")</f>
        <v>0</v>
      </c>
      <c r="E96">
        <v>3</v>
      </c>
      <c r="F96">
        <v>1275</v>
      </c>
      <c r="G96">
        <v>0</v>
      </c>
      <c r="I96">
        <v>3668</v>
      </c>
      <c r="J96">
        <v>2152</v>
      </c>
      <c r="K96">
        <v>1645</v>
      </c>
      <c r="L96">
        <v>-187.65</v>
      </c>
      <c r="M96">
        <v>-68.8</v>
      </c>
      <c r="N96">
        <v>-29.05</v>
      </c>
      <c r="O96">
        <v>40.65</v>
      </c>
      <c r="P96" t="b">
        <v>0</v>
      </c>
      <c r="Q96">
        <v>0</v>
      </c>
      <c r="R96">
        <v>-204</v>
      </c>
      <c r="U96" t="s">
        <v>873</v>
      </c>
      <c r="V96" t="s">
        <v>1244</v>
      </c>
      <c r="W96">
        <v>0</v>
      </c>
      <c r="Y96" t="s">
        <v>1609</v>
      </c>
      <c r="Z96">
        <v>0</v>
      </c>
      <c r="AA96">
        <v>489</v>
      </c>
      <c r="AB96">
        <v>134349</v>
      </c>
      <c r="AC96" t="s">
        <v>1957</v>
      </c>
      <c r="AD96">
        <v>37.84</v>
      </c>
      <c r="AE96" t="s">
        <v>2328</v>
      </c>
      <c r="AF96" t="s">
        <v>2699</v>
      </c>
      <c r="AG96">
        <v>691</v>
      </c>
      <c r="AH96">
        <v>13</v>
      </c>
      <c r="AI96">
        <v>911</v>
      </c>
      <c r="AK96" t="b">
        <v>1</v>
      </c>
    </row>
    <row r="97" spans="1:38">
      <c r="A97" s="1" t="s">
        <v>131</v>
      </c>
      <c r="B97" t="s">
        <v>502</v>
      </c>
      <c r="C97">
        <f>HYPERLINK("https://finance.naver.com/item/coinfo.nhn?code=290270", "A290270")</f>
        <v>0</v>
      </c>
      <c r="D97">
        <f>HYPERLINK("http://comp.fnguide.com/SVO2/ASP/SVD_Consensus.asp?pGB=1&amp;gicode=A290270&amp;cID=&amp;MenuYn=Y&amp;ReportGB=&amp;NewMenuID=108&amp;stkGb=701", "휴네시온")</f>
        <v>0</v>
      </c>
      <c r="E97">
        <v>3</v>
      </c>
      <c r="F97">
        <v>4425</v>
      </c>
      <c r="G97">
        <v>0</v>
      </c>
      <c r="H97">
        <v>4.16</v>
      </c>
      <c r="I97">
        <v>12213</v>
      </c>
      <c r="J97">
        <v>7940</v>
      </c>
      <c r="K97">
        <v>6512</v>
      </c>
      <c r="L97">
        <v>-175.99</v>
      </c>
      <c r="M97">
        <v>-79.44</v>
      </c>
      <c r="N97">
        <v>-47.15</v>
      </c>
      <c r="O97">
        <v>27.71</v>
      </c>
      <c r="P97" t="b">
        <v>1</v>
      </c>
      <c r="Q97">
        <v>0</v>
      </c>
      <c r="R97">
        <v>1551</v>
      </c>
      <c r="U97" t="s">
        <v>874</v>
      </c>
      <c r="V97" t="s">
        <v>1245</v>
      </c>
      <c r="W97">
        <v>0</v>
      </c>
      <c r="Y97" t="s">
        <v>1610</v>
      </c>
      <c r="Z97">
        <v>0</v>
      </c>
      <c r="AA97">
        <v>425</v>
      </c>
      <c r="AB97">
        <v>8886</v>
      </c>
      <c r="AC97" t="s">
        <v>1958</v>
      </c>
      <c r="AD97">
        <v>46.84</v>
      </c>
      <c r="AE97" t="s">
        <v>2329</v>
      </c>
      <c r="AF97" t="s">
        <v>2700</v>
      </c>
      <c r="AG97">
        <v>265</v>
      </c>
      <c r="AH97">
        <v>29</v>
      </c>
      <c r="AI97">
        <v>282922</v>
      </c>
      <c r="AJ97">
        <v>0.62</v>
      </c>
      <c r="AK97" t="b">
        <v>1</v>
      </c>
    </row>
    <row r="98" spans="1:38">
      <c r="A98" s="1" t="s">
        <v>132</v>
      </c>
      <c r="B98" t="s">
        <v>503</v>
      </c>
      <c r="C98">
        <f>HYPERLINK("https://finance.naver.com/item/coinfo.nhn?code=039010", "A039010")</f>
        <v>0</v>
      </c>
      <c r="D98">
        <f>HYPERLINK("http://comp.fnguide.com/SVO2/ASP/SVD_Consensus.asp?pGB=1&amp;gicode=A039010&amp;cID=&amp;MenuYn=Y&amp;ReportGB=&amp;NewMenuID=108&amp;stkGb=701", "현대에이치티")</f>
        <v>0</v>
      </c>
      <c r="E98">
        <v>3</v>
      </c>
      <c r="F98">
        <v>8610</v>
      </c>
      <c r="G98">
        <v>0</v>
      </c>
      <c r="H98">
        <v>9.109999999999999</v>
      </c>
      <c r="I98">
        <v>12636</v>
      </c>
      <c r="J98">
        <v>12071</v>
      </c>
      <c r="K98">
        <v>11882</v>
      </c>
      <c r="L98">
        <v>-46.76</v>
      </c>
      <c r="M98">
        <v>-40.2</v>
      </c>
      <c r="N98">
        <v>-38</v>
      </c>
      <c r="O98">
        <v>10.94</v>
      </c>
      <c r="P98" t="b">
        <v>1</v>
      </c>
      <c r="Q98">
        <v>0</v>
      </c>
      <c r="R98">
        <v>1048</v>
      </c>
      <c r="U98" t="s">
        <v>875</v>
      </c>
      <c r="V98" t="s">
        <v>1246</v>
      </c>
      <c r="W98">
        <v>0</v>
      </c>
      <c r="Y98" t="s">
        <v>1611</v>
      </c>
      <c r="Z98">
        <v>0</v>
      </c>
      <c r="AA98">
        <v>743</v>
      </c>
      <c r="AB98">
        <v>4037</v>
      </c>
      <c r="AC98" t="s">
        <v>1959</v>
      </c>
      <c r="AD98">
        <v>38.47</v>
      </c>
      <c r="AE98" t="s">
        <v>2330</v>
      </c>
      <c r="AF98" t="s">
        <v>2701</v>
      </c>
      <c r="AG98">
        <v>959</v>
      </c>
      <c r="AH98">
        <v>49</v>
      </c>
      <c r="AI98">
        <v>612150</v>
      </c>
      <c r="AJ98">
        <v>3.66</v>
      </c>
      <c r="AK98" t="b">
        <v>1</v>
      </c>
    </row>
    <row r="99" spans="1:38">
      <c r="A99" s="1" t="s">
        <v>133</v>
      </c>
      <c r="B99" t="s">
        <v>504</v>
      </c>
      <c r="C99">
        <f>HYPERLINK("https://finance.naver.com/item/coinfo.nhn?code=034810", "A034810")</f>
        <v>0</v>
      </c>
      <c r="D99">
        <f>HYPERLINK("http://comp.fnguide.com/SVO2/ASP/SVD_Consensus.asp?pGB=1&amp;gicode=A034810&amp;cID=&amp;MenuYn=Y&amp;ReportGB=&amp;NewMenuID=108&amp;stkGb=701", "해성산업")</f>
        <v>0</v>
      </c>
      <c r="E99">
        <v>3</v>
      </c>
      <c r="F99">
        <v>11450</v>
      </c>
      <c r="G99">
        <v>0</v>
      </c>
      <c r="H99">
        <v>6.95</v>
      </c>
      <c r="I99">
        <v>99499</v>
      </c>
      <c r="J99">
        <v>60586</v>
      </c>
      <c r="K99">
        <v>47572</v>
      </c>
      <c r="L99">
        <v>-768.99</v>
      </c>
      <c r="M99">
        <v>-429.13</v>
      </c>
      <c r="N99">
        <v>-315.47</v>
      </c>
      <c r="O99">
        <v>34.96</v>
      </c>
      <c r="P99" t="b">
        <v>0</v>
      </c>
      <c r="Q99">
        <v>0</v>
      </c>
      <c r="R99">
        <v>1987</v>
      </c>
      <c r="U99" t="s">
        <v>876</v>
      </c>
      <c r="V99" t="s">
        <v>1247</v>
      </c>
      <c r="W99">
        <v>0</v>
      </c>
      <c r="X99">
        <v>-68.09999999999999</v>
      </c>
      <c r="Y99" t="s">
        <v>1612</v>
      </c>
      <c r="Z99">
        <v>12.69022541811291</v>
      </c>
      <c r="AA99">
        <v>3018</v>
      </c>
      <c r="AB99">
        <v>29799</v>
      </c>
      <c r="AC99" t="s">
        <v>1960</v>
      </c>
      <c r="AD99">
        <v>63.76</v>
      </c>
      <c r="AE99" t="s">
        <v>2331</v>
      </c>
      <c r="AF99" t="s">
        <v>2702</v>
      </c>
      <c r="AG99">
        <v>18729</v>
      </c>
      <c r="AH99">
        <v>934</v>
      </c>
      <c r="AI99">
        <v>764637</v>
      </c>
      <c r="AJ99">
        <v>1.27</v>
      </c>
      <c r="AK99" t="b">
        <v>1</v>
      </c>
    </row>
    <row r="100" spans="1:38">
      <c r="A100" s="1" t="s">
        <v>134</v>
      </c>
      <c r="B100" t="s">
        <v>505</v>
      </c>
      <c r="C100">
        <f>HYPERLINK("https://finance.naver.com/item/coinfo.nhn?code=007770", "A007770")</f>
        <v>0</v>
      </c>
      <c r="D100">
        <f>HYPERLINK("http://comp.fnguide.com/SVO2/ASP/SVD_Consensus.asp?pGB=1&amp;gicode=A007770&amp;cID=&amp;MenuYn=Y&amp;ReportGB=&amp;NewMenuID=108&amp;stkGb=701", "한일화학")</f>
        <v>0</v>
      </c>
      <c r="E100">
        <v>3</v>
      </c>
      <c r="F100">
        <v>20650</v>
      </c>
      <c r="G100">
        <v>0</v>
      </c>
      <c r="H100">
        <v>2.47</v>
      </c>
      <c r="I100">
        <v>36519</v>
      </c>
      <c r="J100">
        <v>34160</v>
      </c>
      <c r="K100">
        <v>33372</v>
      </c>
      <c r="L100">
        <v>-76.84999999999999</v>
      </c>
      <c r="M100">
        <v>-65.43000000000001</v>
      </c>
      <c r="N100">
        <v>-61.61</v>
      </c>
      <c r="O100">
        <v>11.39</v>
      </c>
      <c r="P100" t="b">
        <v>1</v>
      </c>
      <c r="Q100">
        <v>0</v>
      </c>
      <c r="R100">
        <v>6465</v>
      </c>
      <c r="U100" t="s">
        <v>877</v>
      </c>
      <c r="V100" t="s">
        <v>1248</v>
      </c>
      <c r="W100">
        <v>0</v>
      </c>
      <c r="X100">
        <v>-69.3</v>
      </c>
      <c r="Y100" t="s">
        <v>1613</v>
      </c>
      <c r="Z100">
        <v>0</v>
      </c>
      <c r="AA100">
        <v>725</v>
      </c>
      <c r="AB100">
        <v>70630</v>
      </c>
      <c r="AC100" t="s">
        <v>1961</v>
      </c>
      <c r="AD100">
        <v>65.92</v>
      </c>
      <c r="AE100" t="s">
        <v>2332</v>
      </c>
      <c r="AF100" t="s">
        <v>2703</v>
      </c>
      <c r="AG100">
        <v>1139</v>
      </c>
      <c r="AH100">
        <v>5</v>
      </c>
      <c r="AJ100">
        <v>0.75</v>
      </c>
      <c r="AK100" t="b">
        <v>1</v>
      </c>
    </row>
    <row r="101" spans="1:38">
      <c r="A101" s="1" t="s">
        <v>135</v>
      </c>
      <c r="B101" t="s">
        <v>506</v>
      </c>
      <c r="C101">
        <f>HYPERLINK("https://finance.naver.com/item/coinfo.nhn?code=045100", "A045100")</f>
        <v>0</v>
      </c>
      <c r="D101">
        <f>HYPERLINK("http://comp.fnguide.com/SVO2/ASP/SVD_Consensus.asp?pGB=1&amp;gicode=A045100&amp;cID=&amp;MenuYn=Y&amp;ReportGB=&amp;NewMenuID=108&amp;stkGb=701", "한양이엔지")</f>
        <v>0</v>
      </c>
      <c r="E101">
        <v>3</v>
      </c>
      <c r="F101">
        <v>15550</v>
      </c>
      <c r="G101">
        <v>0</v>
      </c>
      <c r="H101">
        <v>6.62</v>
      </c>
      <c r="I101">
        <v>28854</v>
      </c>
      <c r="J101">
        <v>26229</v>
      </c>
      <c r="K101">
        <v>25352</v>
      </c>
      <c r="L101">
        <v>-85.56</v>
      </c>
      <c r="M101">
        <v>-68.68000000000001</v>
      </c>
      <c r="N101">
        <v>-63.03</v>
      </c>
      <c r="O101">
        <v>12.05</v>
      </c>
      <c r="P101" t="b">
        <v>1</v>
      </c>
      <c r="Q101">
        <v>0</v>
      </c>
      <c r="R101">
        <v>2547</v>
      </c>
      <c r="U101" t="s">
        <v>878</v>
      </c>
      <c r="V101" t="s">
        <v>1249</v>
      </c>
      <c r="W101">
        <v>0</v>
      </c>
      <c r="X101">
        <v>-0.4</v>
      </c>
      <c r="Y101" t="s">
        <v>1614</v>
      </c>
      <c r="Z101">
        <v>5.765393613450431</v>
      </c>
      <c r="AA101">
        <v>2799</v>
      </c>
      <c r="AB101">
        <v>40228</v>
      </c>
      <c r="AC101" t="s">
        <v>1962</v>
      </c>
      <c r="AD101">
        <v>45.62</v>
      </c>
      <c r="AE101" t="s">
        <v>2333</v>
      </c>
      <c r="AF101" t="s">
        <v>2704</v>
      </c>
      <c r="AG101">
        <v>8910</v>
      </c>
      <c r="AH101">
        <v>551</v>
      </c>
      <c r="AI101">
        <v>847278</v>
      </c>
      <c r="AJ101">
        <v>3.26</v>
      </c>
      <c r="AK101" t="b">
        <v>1</v>
      </c>
    </row>
    <row r="102" spans="1:38">
      <c r="A102" s="1" t="s">
        <v>136</v>
      </c>
      <c r="B102" t="s">
        <v>507</v>
      </c>
      <c r="C102">
        <f>HYPERLINK("https://finance.naver.com/item/coinfo.nhn?code=054040", "A054040")</f>
        <v>0</v>
      </c>
      <c r="D102">
        <f>HYPERLINK("http://comp.fnguide.com/SVO2/ASP/SVD_Consensus.asp?pGB=1&amp;gicode=A054040&amp;cID=&amp;MenuYn=Y&amp;ReportGB=&amp;NewMenuID=108&amp;stkGb=701", "한국컴퓨터")</f>
        <v>0</v>
      </c>
      <c r="E102">
        <v>3</v>
      </c>
      <c r="F102">
        <v>3980</v>
      </c>
      <c r="G102">
        <v>0</v>
      </c>
      <c r="H102">
        <v>5.43</v>
      </c>
      <c r="I102">
        <v>8522</v>
      </c>
      <c r="J102">
        <v>7978</v>
      </c>
      <c r="K102">
        <v>7797</v>
      </c>
      <c r="L102">
        <v>-114.12</v>
      </c>
      <c r="M102">
        <v>-100.46</v>
      </c>
      <c r="N102">
        <v>-95.89</v>
      </c>
      <c r="O102">
        <v>11.37</v>
      </c>
      <c r="P102" t="b">
        <v>1</v>
      </c>
      <c r="Q102">
        <v>0</v>
      </c>
      <c r="R102">
        <v>945</v>
      </c>
      <c r="U102" t="s">
        <v>879</v>
      </c>
      <c r="V102" t="s">
        <v>1250</v>
      </c>
      <c r="W102">
        <v>0</v>
      </c>
      <c r="X102">
        <v>-12.8</v>
      </c>
      <c r="Y102" t="s">
        <v>1615</v>
      </c>
      <c r="Z102">
        <v>0</v>
      </c>
      <c r="AA102">
        <v>640</v>
      </c>
      <c r="AB102">
        <v>79200</v>
      </c>
      <c r="AC102" t="s">
        <v>1963</v>
      </c>
      <c r="AD102">
        <v>42.11</v>
      </c>
      <c r="AE102" t="s">
        <v>2334</v>
      </c>
      <c r="AF102" t="s">
        <v>2705</v>
      </c>
      <c r="AG102">
        <v>1945</v>
      </c>
      <c r="AH102">
        <v>138</v>
      </c>
      <c r="AI102">
        <v>775656</v>
      </c>
      <c r="AJ102">
        <v>3.51</v>
      </c>
      <c r="AK102" t="b">
        <v>1</v>
      </c>
    </row>
    <row r="103" spans="1:38">
      <c r="A103" s="1" t="s">
        <v>137</v>
      </c>
      <c r="B103" t="s">
        <v>508</v>
      </c>
      <c r="C103">
        <f>HYPERLINK("https://finance.naver.com/item/coinfo.nhn?code=005670", "A005670")</f>
        <v>0</v>
      </c>
      <c r="D103">
        <f>HYPERLINK("http://comp.fnguide.com/SVO2/ASP/SVD_Consensus.asp?pGB=1&amp;gicode=A005670&amp;cID=&amp;MenuYn=Y&amp;ReportGB=&amp;NewMenuID=108&amp;stkGb=701", "푸드웰")</f>
        <v>0</v>
      </c>
      <c r="E103">
        <v>3</v>
      </c>
      <c r="F103">
        <v>6770</v>
      </c>
      <c r="G103">
        <v>0</v>
      </c>
      <c r="H103">
        <v>11.87</v>
      </c>
      <c r="I103">
        <v>12482</v>
      </c>
      <c r="J103">
        <v>10680</v>
      </c>
      <c r="K103">
        <v>10077</v>
      </c>
      <c r="L103">
        <v>-84.38</v>
      </c>
      <c r="M103">
        <v>-57.75</v>
      </c>
      <c r="N103">
        <v>-48.84</v>
      </c>
      <c r="O103">
        <v>13.64</v>
      </c>
      <c r="P103" t="b">
        <v>1</v>
      </c>
      <c r="Q103">
        <v>0</v>
      </c>
      <c r="R103">
        <v>593</v>
      </c>
      <c r="U103" t="s">
        <v>880</v>
      </c>
      <c r="V103" t="s">
        <v>1251</v>
      </c>
      <c r="W103">
        <v>0</v>
      </c>
      <c r="X103">
        <v>-51.3</v>
      </c>
      <c r="Y103" t="s">
        <v>1616</v>
      </c>
      <c r="Z103">
        <v>2.11780845675944</v>
      </c>
      <c r="AA103">
        <v>677</v>
      </c>
      <c r="AB103">
        <v>38285</v>
      </c>
      <c r="AC103" t="s">
        <v>1964</v>
      </c>
      <c r="AD103">
        <v>45.33</v>
      </c>
      <c r="AE103" t="s">
        <v>2335</v>
      </c>
      <c r="AF103" t="s">
        <v>2706</v>
      </c>
      <c r="AG103">
        <v>1483</v>
      </c>
      <c r="AH103">
        <v>61</v>
      </c>
      <c r="AI103">
        <v>454559</v>
      </c>
      <c r="AJ103">
        <v>1.28</v>
      </c>
      <c r="AK103" t="b">
        <v>1</v>
      </c>
    </row>
    <row r="104" spans="1:38">
      <c r="A104" s="1" t="s">
        <v>138</v>
      </c>
      <c r="B104" t="s">
        <v>509</v>
      </c>
      <c r="C104">
        <f>HYPERLINK("https://finance.naver.com/item/coinfo.nhn?code=023760", "A023760")</f>
        <v>0</v>
      </c>
      <c r="D104">
        <f>HYPERLINK("http://comp.fnguide.com/SVO2/ASP/SVD_Consensus.asp?pGB=1&amp;gicode=A023760&amp;cID=&amp;MenuYn=Y&amp;ReportGB=&amp;NewMenuID=108&amp;stkGb=701", "한국캐피탈")</f>
        <v>0</v>
      </c>
      <c r="E104">
        <v>3</v>
      </c>
      <c r="F104">
        <v>810</v>
      </c>
      <c r="G104">
        <v>0</v>
      </c>
      <c r="H104">
        <v>5.01</v>
      </c>
      <c r="I104">
        <v>1596</v>
      </c>
      <c r="J104">
        <v>1430</v>
      </c>
      <c r="K104">
        <v>1374</v>
      </c>
      <c r="L104">
        <v>-96.98999999999999</v>
      </c>
      <c r="M104">
        <v>-76.5</v>
      </c>
      <c r="N104">
        <v>-69.64</v>
      </c>
      <c r="O104">
        <v>12.4</v>
      </c>
      <c r="P104" t="b">
        <v>0</v>
      </c>
      <c r="Q104">
        <v>0</v>
      </c>
      <c r="R104">
        <v>168</v>
      </c>
      <c r="U104" t="s">
        <v>881</v>
      </c>
      <c r="V104" t="s">
        <v>1252</v>
      </c>
      <c r="W104">
        <v>0</v>
      </c>
      <c r="Y104" t="s">
        <v>1536</v>
      </c>
      <c r="Z104">
        <v>8.116675478182533</v>
      </c>
      <c r="AA104">
        <v>2556</v>
      </c>
      <c r="AB104">
        <v>85202</v>
      </c>
      <c r="AC104" t="s">
        <v>1965</v>
      </c>
      <c r="AD104">
        <v>80.41</v>
      </c>
      <c r="AE104" t="s">
        <v>2336</v>
      </c>
      <c r="AF104" t="s">
        <v>2707</v>
      </c>
      <c r="AG104">
        <v>1156</v>
      </c>
      <c r="AH104">
        <v>747</v>
      </c>
      <c r="AI104">
        <v>3052001</v>
      </c>
      <c r="AJ104">
        <v>4.15</v>
      </c>
      <c r="AK104" t="b">
        <v>1</v>
      </c>
    </row>
    <row r="105" spans="1:38">
      <c r="A105" s="1" t="s">
        <v>139</v>
      </c>
      <c r="B105" t="s">
        <v>510</v>
      </c>
      <c r="C105">
        <f>HYPERLINK("https://finance.naver.com/item/coinfo.nhn?code=017890", "A017890")</f>
        <v>0</v>
      </c>
      <c r="D105">
        <f>HYPERLINK("http://comp.fnguide.com/SVO2/ASP/SVD_Consensus.asp?pGB=1&amp;gicode=A017890&amp;cID=&amp;MenuYn=Y&amp;ReportGB=&amp;NewMenuID=108&amp;stkGb=701", "한국알콜")</f>
        <v>0</v>
      </c>
      <c r="E105">
        <v>3</v>
      </c>
      <c r="F105">
        <v>10700</v>
      </c>
      <c r="G105">
        <v>0</v>
      </c>
      <c r="H105">
        <v>5.55</v>
      </c>
      <c r="I105">
        <v>25044</v>
      </c>
      <c r="J105">
        <v>22488</v>
      </c>
      <c r="K105">
        <v>21634</v>
      </c>
      <c r="L105">
        <v>-134.06</v>
      </c>
      <c r="M105">
        <v>-110.17</v>
      </c>
      <c r="N105">
        <v>-102.19</v>
      </c>
      <c r="O105">
        <v>12.34</v>
      </c>
      <c r="P105" t="b">
        <v>1</v>
      </c>
      <c r="Q105">
        <v>0</v>
      </c>
      <c r="R105">
        <v>2125</v>
      </c>
      <c r="U105" t="s">
        <v>882</v>
      </c>
      <c r="V105" t="s">
        <v>1253</v>
      </c>
      <c r="W105">
        <v>0</v>
      </c>
      <c r="X105">
        <v>-35.2</v>
      </c>
      <c r="Y105" t="s">
        <v>1617</v>
      </c>
      <c r="Z105">
        <v>8.116675478182533</v>
      </c>
      <c r="AA105">
        <v>2312</v>
      </c>
      <c r="AB105">
        <v>79712</v>
      </c>
      <c r="AC105" t="s">
        <v>1966</v>
      </c>
      <c r="AD105">
        <v>38.58</v>
      </c>
      <c r="AE105" t="s">
        <v>2337</v>
      </c>
      <c r="AF105" t="s">
        <v>2708</v>
      </c>
      <c r="AG105">
        <v>5017</v>
      </c>
      <c r="AH105">
        <v>540</v>
      </c>
      <c r="AI105">
        <v>1025167</v>
      </c>
      <c r="AJ105">
        <v>0.85</v>
      </c>
      <c r="AK105" t="b">
        <v>1</v>
      </c>
    </row>
    <row r="106" spans="1:38">
      <c r="A106" s="1" t="s">
        <v>140</v>
      </c>
      <c r="B106" t="s">
        <v>511</v>
      </c>
      <c r="C106">
        <f>HYPERLINK("https://finance.naver.com/item/coinfo.nhn?code=039340", "A039340")</f>
        <v>0</v>
      </c>
      <c r="D106">
        <f>HYPERLINK("http://comp.fnguide.com/SVO2/ASP/SVD_Consensus.asp?pGB=1&amp;gicode=A039340&amp;cID=&amp;MenuYn=Y&amp;ReportGB=&amp;NewMenuID=108&amp;stkGb=701", "한국경제TV")</f>
        <v>0</v>
      </c>
      <c r="E106">
        <v>3</v>
      </c>
      <c r="F106">
        <v>6090</v>
      </c>
      <c r="G106">
        <v>0</v>
      </c>
      <c r="H106">
        <v>6.7</v>
      </c>
      <c r="I106">
        <v>11385</v>
      </c>
      <c r="J106">
        <v>9137</v>
      </c>
      <c r="K106">
        <v>8386</v>
      </c>
      <c r="L106">
        <v>-86.94</v>
      </c>
      <c r="M106">
        <v>-50.04</v>
      </c>
      <c r="N106">
        <v>-37.69</v>
      </c>
      <c r="O106">
        <v>15.7</v>
      </c>
      <c r="P106" t="b">
        <v>1</v>
      </c>
      <c r="Q106">
        <v>0</v>
      </c>
      <c r="R106">
        <v>1103</v>
      </c>
      <c r="U106" t="s">
        <v>883</v>
      </c>
      <c r="V106" t="s">
        <v>1254</v>
      </c>
      <c r="W106">
        <v>0</v>
      </c>
      <c r="X106">
        <v>-57.1</v>
      </c>
      <c r="Y106" t="s">
        <v>1618</v>
      </c>
      <c r="Z106">
        <v>-2.33439433357514</v>
      </c>
      <c r="AA106">
        <v>1401</v>
      </c>
      <c r="AB106">
        <v>9678</v>
      </c>
      <c r="AC106" t="s">
        <v>1967</v>
      </c>
      <c r="AD106">
        <v>46.04</v>
      </c>
      <c r="AE106" t="s">
        <v>2338</v>
      </c>
      <c r="AF106" t="s">
        <v>2709</v>
      </c>
      <c r="AG106">
        <v>1194</v>
      </c>
      <c r="AH106">
        <v>265</v>
      </c>
      <c r="AI106">
        <v>1738061</v>
      </c>
      <c r="AJ106">
        <v>2.71</v>
      </c>
      <c r="AK106" t="b">
        <v>1</v>
      </c>
    </row>
    <row r="107" spans="1:38">
      <c r="A107" s="1" t="s">
        <v>141</v>
      </c>
      <c r="B107" t="s">
        <v>512</v>
      </c>
      <c r="C107">
        <f>HYPERLINK("https://finance.naver.com/item/coinfo.nhn?code=004590", "A004590")</f>
        <v>0</v>
      </c>
      <c r="D107">
        <f>HYPERLINK("http://comp.fnguide.com/SVO2/ASP/SVD_Consensus.asp?pGB=1&amp;gicode=A004590&amp;cID=&amp;MenuYn=Y&amp;ReportGB=&amp;NewMenuID=108&amp;stkGb=701", "한국가구")</f>
        <v>0</v>
      </c>
      <c r="E107">
        <v>3</v>
      </c>
      <c r="F107">
        <v>6160</v>
      </c>
      <c r="G107">
        <v>0</v>
      </c>
      <c r="H107">
        <v>4.42</v>
      </c>
      <c r="I107">
        <v>10873</v>
      </c>
      <c r="J107">
        <v>9633</v>
      </c>
      <c r="K107">
        <v>9218</v>
      </c>
      <c r="L107">
        <v>-76.51000000000001</v>
      </c>
      <c r="M107">
        <v>-56.38</v>
      </c>
      <c r="N107">
        <v>-49.64</v>
      </c>
      <c r="O107">
        <v>12.69</v>
      </c>
      <c r="P107" t="b">
        <v>1</v>
      </c>
      <c r="Q107">
        <v>0</v>
      </c>
      <c r="R107">
        <v>1459</v>
      </c>
      <c r="U107" t="s">
        <v>884</v>
      </c>
      <c r="V107" t="s">
        <v>1255</v>
      </c>
      <c r="W107">
        <v>0</v>
      </c>
      <c r="X107">
        <v>9.699999999999999</v>
      </c>
      <c r="Y107" t="s">
        <v>1619</v>
      </c>
      <c r="Z107">
        <v>34.35514837064446</v>
      </c>
      <c r="AA107">
        <v>924</v>
      </c>
      <c r="AB107">
        <v>194443</v>
      </c>
      <c r="AC107" t="s">
        <v>1968</v>
      </c>
      <c r="AD107">
        <v>55.79</v>
      </c>
      <c r="AE107" t="s">
        <v>2339</v>
      </c>
      <c r="AF107" t="s">
        <v>2710</v>
      </c>
      <c r="AG107">
        <v>930</v>
      </c>
      <c r="AH107">
        <v>149</v>
      </c>
      <c r="AJ107">
        <v>2.71</v>
      </c>
      <c r="AK107" t="b">
        <v>1</v>
      </c>
    </row>
    <row r="108" spans="1:38">
      <c r="A108" s="1" t="s">
        <v>142</v>
      </c>
      <c r="B108" t="s">
        <v>513</v>
      </c>
      <c r="C108">
        <f>HYPERLINK("https://finance.naver.com/item/coinfo.nhn?code=031980", "A031980")</f>
        <v>0</v>
      </c>
      <c r="D108">
        <f>HYPERLINK("http://comp.fnguide.com/SVO2/ASP/SVD_Consensus.asp?pGB=1&amp;gicode=A031980&amp;cID=&amp;MenuYn=Y&amp;ReportGB=&amp;NewMenuID=108&amp;stkGb=701", "피에스케이홀딩스")</f>
        <v>0</v>
      </c>
      <c r="E108">
        <v>3</v>
      </c>
      <c r="F108">
        <v>9230</v>
      </c>
      <c r="G108">
        <v>0</v>
      </c>
      <c r="H108">
        <v>8.279999999999999</v>
      </c>
      <c r="I108">
        <v>29348</v>
      </c>
      <c r="J108">
        <v>19946</v>
      </c>
      <c r="K108">
        <v>16801</v>
      </c>
      <c r="L108">
        <v>-217.96</v>
      </c>
      <c r="M108">
        <v>-116.1</v>
      </c>
      <c r="N108">
        <v>-82.03</v>
      </c>
      <c r="O108">
        <v>24.14</v>
      </c>
      <c r="P108" t="b">
        <v>1</v>
      </c>
      <c r="Q108">
        <v>0</v>
      </c>
      <c r="R108">
        <v>2162</v>
      </c>
      <c r="U108" t="s">
        <v>885</v>
      </c>
      <c r="V108" t="s">
        <v>1256</v>
      </c>
      <c r="W108">
        <v>0</v>
      </c>
      <c r="X108">
        <v>-53.6</v>
      </c>
      <c r="Y108" t="s">
        <v>1620</v>
      </c>
      <c r="Z108">
        <v>-12.33807827918958</v>
      </c>
      <c r="AA108">
        <v>1990</v>
      </c>
      <c r="AB108">
        <v>23601</v>
      </c>
      <c r="AC108" t="s">
        <v>1969</v>
      </c>
      <c r="AD108">
        <v>74.23</v>
      </c>
      <c r="AE108" t="s">
        <v>2340</v>
      </c>
      <c r="AF108" t="s">
        <v>2711</v>
      </c>
      <c r="AG108">
        <v>816</v>
      </c>
      <c r="AH108">
        <v>226</v>
      </c>
      <c r="AI108">
        <v>978369</v>
      </c>
      <c r="AJ108">
        <v>2.23</v>
      </c>
      <c r="AK108" t="b">
        <v>1</v>
      </c>
    </row>
    <row r="109" spans="1:38">
      <c r="A109" s="1" t="s">
        <v>143</v>
      </c>
      <c r="B109" t="s">
        <v>514</v>
      </c>
      <c r="C109">
        <f>HYPERLINK("https://finance.naver.com/item/coinfo.nhn?code=053610", "A053610")</f>
        <v>0</v>
      </c>
      <c r="D109">
        <f>HYPERLINK("http://comp.fnguide.com/SVO2/ASP/SVD_Consensus.asp?pGB=1&amp;gicode=A053610&amp;cID=&amp;MenuYn=Y&amp;ReportGB=&amp;NewMenuID=108&amp;stkGb=701", "프로텍")</f>
        <v>0</v>
      </c>
      <c r="E109">
        <v>3</v>
      </c>
      <c r="F109">
        <v>24550</v>
      </c>
      <c r="G109">
        <v>0.76</v>
      </c>
      <c r="H109">
        <v>6.26</v>
      </c>
      <c r="I109">
        <v>41329</v>
      </c>
      <c r="J109">
        <v>33353</v>
      </c>
      <c r="K109">
        <v>30685</v>
      </c>
      <c r="L109">
        <v>-68.34999999999999</v>
      </c>
      <c r="M109">
        <v>-35.86</v>
      </c>
      <c r="N109">
        <v>-24.99</v>
      </c>
      <c r="O109">
        <v>15.5</v>
      </c>
      <c r="P109" t="b">
        <v>1</v>
      </c>
      <c r="Q109">
        <v>2</v>
      </c>
      <c r="R109">
        <v>4288</v>
      </c>
      <c r="S109">
        <v>4436</v>
      </c>
      <c r="T109">
        <v>3.5</v>
      </c>
      <c r="U109" t="s">
        <v>886</v>
      </c>
      <c r="V109" t="s">
        <v>1257</v>
      </c>
      <c r="W109">
        <v>8.218965478854766</v>
      </c>
      <c r="X109">
        <v>1</v>
      </c>
      <c r="Y109" t="s">
        <v>1621</v>
      </c>
      <c r="Z109">
        <v>10.6232670210153</v>
      </c>
      <c r="AA109">
        <v>2701</v>
      </c>
      <c r="AB109">
        <v>31496</v>
      </c>
      <c r="AC109" t="s">
        <v>1970</v>
      </c>
      <c r="AD109">
        <v>29.9</v>
      </c>
      <c r="AE109" t="s">
        <v>2341</v>
      </c>
      <c r="AF109" t="s">
        <v>2712</v>
      </c>
      <c r="AG109">
        <v>1740</v>
      </c>
      <c r="AH109">
        <v>503</v>
      </c>
      <c r="AI109">
        <v>1652000</v>
      </c>
      <c r="AJ109">
        <v>1.49</v>
      </c>
      <c r="AK109" t="b">
        <v>1</v>
      </c>
    </row>
    <row r="110" spans="1:38">
      <c r="A110" s="1" t="s">
        <v>144</v>
      </c>
      <c r="B110" t="s">
        <v>515</v>
      </c>
      <c r="C110">
        <f>HYPERLINK("https://finance.naver.com/item/coinfo.nhn?code=094970", "A094970")</f>
        <v>0</v>
      </c>
      <c r="D110">
        <f>HYPERLINK("http://comp.fnguide.com/SVO2/ASP/SVD_Consensus.asp?pGB=1&amp;gicode=A094970&amp;cID=&amp;MenuYn=Y&amp;ReportGB=&amp;NewMenuID=108&amp;stkGb=701", "제이엠티")</f>
        <v>0</v>
      </c>
      <c r="E110">
        <v>3</v>
      </c>
      <c r="F110">
        <v>3590</v>
      </c>
      <c r="G110">
        <v>0</v>
      </c>
      <c r="H110">
        <v>4.67</v>
      </c>
      <c r="I110">
        <v>6646</v>
      </c>
      <c r="J110">
        <v>5471</v>
      </c>
      <c r="K110">
        <v>5078</v>
      </c>
      <c r="L110">
        <v>-85.14</v>
      </c>
      <c r="M110">
        <v>-52.41</v>
      </c>
      <c r="N110">
        <v>-41.46</v>
      </c>
      <c r="O110">
        <v>14.82</v>
      </c>
      <c r="P110" t="b">
        <v>1</v>
      </c>
      <c r="Q110">
        <v>0</v>
      </c>
      <c r="R110">
        <v>906</v>
      </c>
      <c r="U110" t="s">
        <v>887</v>
      </c>
      <c r="V110" t="s">
        <v>1258</v>
      </c>
      <c r="W110">
        <v>0</v>
      </c>
      <c r="X110">
        <v>83.40000000000001</v>
      </c>
      <c r="Y110" t="s">
        <v>1622</v>
      </c>
      <c r="Z110">
        <v>28.89181393417195</v>
      </c>
      <c r="AA110">
        <v>601</v>
      </c>
      <c r="AB110">
        <v>53684</v>
      </c>
      <c r="AC110" t="s">
        <v>1971</v>
      </c>
      <c r="AD110">
        <v>43.98</v>
      </c>
      <c r="AE110" t="s">
        <v>2342</v>
      </c>
      <c r="AF110" t="s">
        <v>2713</v>
      </c>
      <c r="AG110">
        <v>794</v>
      </c>
      <c r="AH110">
        <v>163</v>
      </c>
      <c r="AI110">
        <v>36106</v>
      </c>
      <c r="AJ110">
        <v>3.54</v>
      </c>
      <c r="AK110" t="b">
        <v>1</v>
      </c>
    </row>
    <row r="111" spans="1:38">
      <c r="A111" s="1" t="s">
        <v>145</v>
      </c>
      <c r="B111" t="s">
        <v>516</v>
      </c>
      <c r="C111">
        <f>HYPERLINK("https://finance.naver.com/item/coinfo.nhn?code=026040", "A026040")</f>
        <v>0</v>
      </c>
      <c r="D111">
        <f>HYPERLINK("http://comp.fnguide.com/SVO2/ASP/SVD_Consensus.asp?pGB=1&amp;gicode=A026040&amp;cID=&amp;MenuYn=Y&amp;ReportGB=&amp;NewMenuID=108&amp;stkGb=701", "제이에스티나")</f>
        <v>0</v>
      </c>
      <c r="E111">
        <v>3</v>
      </c>
      <c r="F111">
        <v>3060</v>
      </c>
      <c r="G111">
        <v>0</v>
      </c>
      <c r="H111">
        <v>3.21</v>
      </c>
      <c r="I111">
        <v>7027</v>
      </c>
      <c r="J111">
        <v>4924</v>
      </c>
      <c r="K111">
        <v>4220</v>
      </c>
      <c r="L111">
        <v>-129.64</v>
      </c>
      <c r="M111">
        <v>-60.9</v>
      </c>
      <c r="N111">
        <v>-37.91</v>
      </c>
      <c r="O111">
        <v>22.11</v>
      </c>
      <c r="P111" t="b">
        <v>1</v>
      </c>
      <c r="Q111">
        <v>0</v>
      </c>
      <c r="R111">
        <v>1067</v>
      </c>
      <c r="U111" t="s">
        <v>888</v>
      </c>
      <c r="V111" t="s">
        <v>1259</v>
      </c>
      <c r="W111">
        <v>0</v>
      </c>
      <c r="Y111" t="s">
        <v>1534</v>
      </c>
      <c r="Z111">
        <v>0</v>
      </c>
      <c r="AA111">
        <v>505</v>
      </c>
      <c r="AB111">
        <v>17791</v>
      </c>
      <c r="AC111" t="s">
        <v>1972</v>
      </c>
      <c r="AD111">
        <v>24.21</v>
      </c>
      <c r="AE111" t="s">
        <v>2343</v>
      </c>
      <c r="AF111" t="s">
        <v>2714</v>
      </c>
      <c r="AG111">
        <v>673</v>
      </c>
      <c r="AH111">
        <v>14</v>
      </c>
      <c r="AI111">
        <v>1229271</v>
      </c>
      <c r="AJ111">
        <v>2.92</v>
      </c>
      <c r="AK111" t="b">
        <v>1</v>
      </c>
    </row>
    <row r="112" spans="1:38">
      <c r="A112" s="1" t="s">
        <v>146</v>
      </c>
      <c r="B112" t="s">
        <v>517</v>
      </c>
      <c r="C112">
        <f>HYPERLINK("https://finance.naver.com/item/coinfo.nhn?code=204270", "A204270")</f>
        <v>0</v>
      </c>
      <c r="D112">
        <f>HYPERLINK("http://comp.fnguide.com/SVO2/ASP/SVD_Consensus.asp?pGB=1&amp;gicode=A204270&amp;cID=&amp;MenuYn=Y&amp;ReportGB=&amp;NewMenuID=108&amp;stkGb=701", "제이앤티씨")</f>
        <v>0</v>
      </c>
      <c r="E112">
        <v>3</v>
      </c>
      <c r="F112">
        <v>5350</v>
      </c>
      <c r="I112">
        <v>7646</v>
      </c>
      <c r="J112">
        <v>7058</v>
      </c>
      <c r="K112">
        <v>6861</v>
      </c>
      <c r="L112">
        <v>-42.92</v>
      </c>
      <c r="M112">
        <v>-31.93</v>
      </c>
      <c r="N112">
        <v>-28.25</v>
      </c>
      <c r="O112">
        <v>11.69</v>
      </c>
      <c r="P112" t="b">
        <v>0</v>
      </c>
      <c r="Q112">
        <v>1</v>
      </c>
      <c r="R112">
        <v>-581</v>
      </c>
      <c r="S112">
        <v>27</v>
      </c>
      <c r="T112">
        <v>-104.6</v>
      </c>
      <c r="U112" t="s">
        <v>889</v>
      </c>
      <c r="V112" t="s">
        <v>1260</v>
      </c>
      <c r="W112">
        <v>-74.90236896904884</v>
      </c>
      <c r="Y112" t="s">
        <v>1623</v>
      </c>
      <c r="Z112">
        <v>0</v>
      </c>
      <c r="AA112">
        <v>3095</v>
      </c>
      <c r="AB112">
        <v>18539</v>
      </c>
      <c r="AC112" t="s">
        <v>1973</v>
      </c>
      <c r="AD112">
        <v>71.58</v>
      </c>
      <c r="AE112" t="s">
        <v>2344</v>
      </c>
      <c r="AF112" t="s">
        <v>2715</v>
      </c>
      <c r="AG112">
        <v>2026</v>
      </c>
      <c r="AH112">
        <v>-307</v>
      </c>
      <c r="AI112">
        <v>779845</v>
      </c>
      <c r="AL112" t="b">
        <v>0</v>
      </c>
    </row>
    <row r="113" spans="1:38">
      <c r="A113" s="1" t="s">
        <v>147</v>
      </c>
      <c r="B113" t="s">
        <v>518</v>
      </c>
      <c r="C113">
        <f>HYPERLINK("https://finance.naver.com/item/coinfo.nhn?code=131030", "A131030")</f>
        <v>0</v>
      </c>
      <c r="D113">
        <f>HYPERLINK("http://comp.fnguide.com/SVO2/ASP/SVD_Consensus.asp?pGB=1&amp;gicode=A131030&amp;cID=&amp;MenuYn=Y&amp;ReportGB=&amp;NewMenuID=108&amp;stkGb=701", "옵투스제약")</f>
        <v>0</v>
      </c>
      <c r="E113">
        <v>3</v>
      </c>
      <c r="F113">
        <v>6260</v>
      </c>
      <c r="G113">
        <v>0</v>
      </c>
      <c r="H113">
        <v>11.34</v>
      </c>
      <c r="I113">
        <v>8621</v>
      </c>
      <c r="J113">
        <v>8349</v>
      </c>
      <c r="K113">
        <v>8258</v>
      </c>
      <c r="L113">
        <v>-37.72</v>
      </c>
      <c r="M113">
        <v>-33.38</v>
      </c>
      <c r="N113">
        <v>-31.92</v>
      </c>
      <c r="O113">
        <v>10.66</v>
      </c>
      <c r="P113" t="b">
        <v>1</v>
      </c>
      <c r="Q113">
        <v>0</v>
      </c>
      <c r="R113">
        <v>597</v>
      </c>
      <c r="U113" t="s">
        <v>890</v>
      </c>
      <c r="V113" t="s">
        <v>1261</v>
      </c>
      <c r="W113">
        <v>0</v>
      </c>
      <c r="X113">
        <v>18.9</v>
      </c>
      <c r="Y113" t="s">
        <v>1624</v>
      </c>
      <c r="Z113">
        <v>-1.783057360067497</v>
      </c>
      <c r="AA113">
        <v>1011</v>
      </c>
      <c r="AB113">
        <v>19397</v>
      </c>
      <c r="AC113" t="s">
        <v>1974</v>
      </c>
      <c r="AD113">
        <v>39.36</v>
      </c>
      <c r="AE113" t="s">
        <v>2345</v>
      </c>
      <c r="AF113" t="s">
        <v>2716</v>
      </c>
      <c r="AG113">
        <v>573</v>
      </c>
      <c r="AH113">
        <v>105</v>
      </c>
      <c r="AI113">
        <v>523536</v>
      </c>
      <c r="AJ113">
        <v>1.48</v>
      </c>
      <c r="AK113" t="b">
        <v>1</v>
      </c>
    </row>
    <row r="114" spans="1:38">
      <c r="A114" s="1" t="s">
        <v>148</v>
      </c>
      <c r="B114" t="s">
        <v>519</v>
      </c>
      <c r="C114">
        <f>HYPERLINK("https://finance.naver.com/item/coinfo.nhn?code=037400", "A037400")</f>
        <v>0</v>
      </c>
      <c r="D114">
        <f>HYPERLINK("http://comp.fnguide.com/SVO2/ASP/SVD_Consensus.asp?pGB=1&amp;gicode=A037400&amp;cID=&amp;MenuYn=Y&amp;ReportGB=&amp;NewMenuID=108&amp;stkGb=701", "우리엔터프라이즈")</f>
        <v>0</v>
      </c>
      <c r="E114">
        <v>3</v>
      </c>
      <c r="F114">
        <v>2415</v>
      </c>
      <c r="G114">
        <v>0</v>
      </c>
      <c r="H114">
        <v>3.34</v>
      </c>
      <c r="I114">
        <v>6067</v>
      </c>
      <c r="J114">
        <v>5025</v>
      </c>
      <c r="K114">
        <v>4677</v>
      </c>
      <c r="L114">
        <v>-151.21</v>
      </c>
      <c r="M114">
        <v>-108.08</v>
      </c>
      <c r="N114">
        <v>-93.65000000000001</v>
      </c>
      <c r="O114">
        <v>14.62</v>
      </c>
      <c r="P114" t="b">
        <v>1</v>
      </c>
      <c r="Q114">
        <v>0</v>
      </c>
      <c r="R114">
        <v>818</v>
      </c>
      <c r="U114" t="s">
        <v>891</v>
      </c>
      <c r="V114" t="s">
        <v>1262</v>
      </c>
      <c r="W114">
        <v>0</v>
      </c>
      <c r="X114">
        <v>-33.4</v>
      </c>
      <c r="Y114" t="s">
        <v>1625</v>
      </c>
      <c r="Z114">
        <v>0</v>
      </c>
      <c r="AA114">
        <v>633</v>
      </c>
      <c r="AB114">
        <v>37799</v>
      </c>
      <c r="AC114" t="s">
        <v>1975</v>
      </c>
      <c r="AD114">
        <v>28.33</v>
      </c>
      <c r="AE114" t="s">
        <v>2346</v>
      </c>
      <c r="AF114" t="s">
        <v>2717</v>
      </c>
      <c r="AG114">
        <v>15679</v>
      </c>
      <c r="AH114">
        <v>442</v>
      </c>
      <c r="AI114">
        <v>1972510</v>
      </c>
      <c r="AK114" t="b">
        <v>1</v>
      </c>
    </row>
    <row r="115" spans="1:38">
      <c r="A115" s="1" t="s">
        <v>149</v>
      </c>
      <c r="B115" t="s">
        <v>520</v>
      </c>
      <c r="C115">
        <f>HYPERLINK("https://finance.naver.com/item/coinfo.nhn?code=073560", "A073560")</f>
        <v>0</v>
      </c>
      <c r="D115">
        <f>HYPERLINK("http://comp.fnguide.com/SVO2/ASP/SVD_Consensus.asp?pGB=1&amp;gicode=A073560&amp;cID=&amp;MenuYn=Y&amp;ReportGB=&amp;NewMenuID=108&amp;stkGb=701", "우리손에프앤지")</f>
        <v>0</v>
      </c>
      <c r="E115">
        <v>3</v>
      </c>
      <c r="F115">
        <v>1915</v>
      </c>
      <c r="G115">
        <v>0</v>
      </c>
      <c r="H115">
        <v>5.29</v>
      </c>
      <c r="I115">
        <v>3489</v>
      </c>
      <c r="J115">
        <v>3409</v>
      </c>
      <c r="K115">
        <v>3383</v>
      </c>
      <c r="L115">
        <v>-82.20999999999999</v>
      </c>
      <c r="M115">
        <v>-78.03</v>
      </c>
      <c r="N115">
        <v>-76.64</v>
      </c>
      <c r="O115">
        <v>10.49</v>
      </c>
      <c r="P115" t="b">
        <v>1</v>
      </c>
      <c r="Q115">
        <v>0</v>
      </c>
      <c r="R115">
        <v>399</v>
      </c>
      <c r="U115" t="s">
        <v>892</v>
      </c>
      <c r="V115" t="s">
        <v>1263</v>
      </c>
      <c r="W115">
        <v>0</v>
      </c>
      <c r="X115">
        <v>-74.7</v>
      </c>
      <c r="Y115" t="s">
        <v>1626</v>
      </c>
      <c r="Z115">
        <v>-23.38346759558455</v>
      </c>
      <c r="AA115">
        <v>1326</v>
      </c>
      <c r="AB115">
        <v>388920</v>
      </c>
      <c r="AC115" t="s">
        <v>1976</v>
      </c>
      <c r="AD115">
        <v>49.69</v>
      </c>
      <c r="AE115" t="s">
        <v>2347</v>
      </c>
      <c r="AF115" t="s">
        <v>2718</v>
      </c>
      <c r="AG115">
        <v>2538</v>
      </c>
      <c r="AH115">
        <v>380</v>
      </c>
      <c r="AJ115">
        <v>2.36</v>
      </c>
      <c r="AK115" t="b">
        <v>1</v>
      </c>
    </row>
    <row r="116" spans="1:38">
      <c r="A116" s="1" t="s">
        <v>150</v>
      </c>
      <c r="B116" t="s">
        <v>521</v>
      </c>
      <c r="C116">
        <f>HYPERLINK("https://finance.naver.com/item/coinfo.nhn?code=082850", "A082850")</f>
        <v>0</v>
      </c>
      <c r="D116">
        <f>HYPERLINK("http://comp.fnguide.com/SVO2/ASP/SVD_Consensus.asp?pGB=1&amp;gicode=A082850&amp;cID=&amp;MenuYn=Y&amp;ReportGB=&amp;NewMenuID=108&amp;stkGb=701", "우리바이오")</f>
        <v>0</v>
      </c>
      <c r="E116">
        <v>3</v>
      </c>
      <c r="F116">
        <v>3830</v>
      </c>
      <c r="G116">
        <v>0</v>
      </c>
      <c r="H116">
        <v>6.29</v>
      </c>
      <c r="I116">
        <v>6204</v>
      </c>
      <c r="J116">
        <v>4621</v>
      </c>
      <c r="K116">
        <v>4091</v>
      </c>
      <c r="L116">
        <v>-61.99</v>
      </c>
      <c r="M116">
        <v>-20.65</v>
      </c>
      <c r="N116">
        <v>-6.83</v>
      </c>
      <c r="O116">
        <v>18.78</v>
      </c>
      <c r="P116" t="b">
        <v>1</v>
      </c>
      <c r="Q116">
        <v>0</v>
      </c>
      <c r="R116">
        <v>709</v>
      </c>
      <c r="U116" t="s">
        <v>893</v>
      </c>
      <c r="V116" t="s">
        <v>1264</v>
      </c>
      <c r="W116">
        <v>0</v>
      </c>
      <c r="X116">
        <v>-28.6</v>
      </c>
      <c r="Y116" t="s">
        <v>1627</v>
      </c>
      <c r="Z116">
        <v>0</v>
      </c>
      <c r="AA116">
        <v>1835</v>
      </c>
      <c r="AB116">
        <v>1426533</v>
      </c>
      <c r="AC116" t="s">
        <v>1977</v>
      </c>
      <c r="AD116">
        <v>34.35</v>
      </c>
      <c r="AE116" t="s">
        <v>2348</v>
      </c>
      <c r="AF116" t="s">
        <v>2719</v>
      </c>
      <c r="AG116">
        <v>15433</v>
      </c>
      <c r="AH116">
        <v>428</v>
      </c>
      <c r="AI116">
        <v>1249200</v>
      </c>
      <c r="AK116" t="b">
        <v>1</v>
      </c>
    </row>
    <row r="117" spans="1:38">
      <c r="A117" s="1" t="s">
        <v>151</v>
      </c>
      <c r="B117" t="s">
        <v>522</v>
      </c>
      <c r="C117">
        <f>HYPERLINK("https://finance.naver.com/item/coinfo.nhn?code=046970", "A046970")</f>
        <v>0</v>
      </c>
      <c r="D117">
        <f>HYPERLINK("http://comp.fnguide.com/SVO2/ASP/SVD_Consensus.asp?pGB=1&amp;gicode=A046970&amp;cID=&amp;MenuYn=Y&amp;ReportGB=&amp;NewMenuID=108&amp;stkGb=701", "우리로")</f>
        <v>0</v>
      </c>
      <c r="E117">
        <v>3</v>
      </c>
      <c r="F117">
        <v>1545</v>
      </c>
      <c r="G117">
        <v>0</v>
      </c>
      <c r="H117">
        <v>4.46</v>
      </c>
      <c r="I117">
        <v>2844</v>
      </c>
      <c r="J117">
        <v>1986</v>
      </c>
      <c r="K117">
        <v>1699</v>
      </c>
      <c r="L117">
        <v>-84.09</v>
      </c>
      <c r="M117">
        <v>-28.55</v>
      </c>
      <c r="N117">
        <v>-9.970000000000001</v>
      </c>
      <c r="O117">
        <v>22.32</v>
      </c>
      <c r="P117" t="b">
        <v>1</v>
      </c>
      <c r="Q117">
        <v>0</v>
      </c>
      <c r="R117">
        <v>428</v>
      </c>
      <c r="U117" t="s">
        <v>894</v>
      </c>
      <c r="V117" t="s">
        <v>1265</v>
      </c>
      <c r="W117">
        <v>0</v>
      </c>
      <c r="X117">
        <v>-49.2</v>
      </c>
      <c r="Y117" t="s">
        <v>1628</v>
      </c>
      <c r="Z117">
        <v>0</v>
      </c>
      <c r="AA117">
        <v>495</v>
      </c>
      <c r="AB117">
        <v>271665</v>
      </c>
      <c r="AC117" t="s">
        <v>1978</v>
      </c>
      <c r="AD117">
        <v>12.9</v>
      </c>
      <c r="AE117" t="s">
        <v>2349</v>
      </c>
      <c r="AF117" t="s">
        <v>2720</v>
      </c>
      <c r="AG117">
        <v>1074</v>
      </c>
      <c r="AH117">
        <v>38</v>
      </c>
      <c r="AI117">
        <v>425842</v>
      </c>
      <c r="AK117" t="b">
        <v>1</v>
      </c>
    </row>
    <row r="118" spans="1:38">
      <c r="A118" s="1" t="s">
        <v>152</v>
      </c>
      <c r="B118" t="s">
        <v>523</v>
      </c>
      <c r="C118">
        <f>HYPERLINK("https://finance.naver.com/item/coinfo.nhn?code=041190", "A041190")</f>
        <v>0</v>
      </c>
      <c r="D118">
        <f>HYPERLINK("http://comp.fnguide.com/SVO2/ASP/SVD_Consensus.asp?pGB=1&amp;gicode=A041190&amp;cID=&amp;MenuYn=Y&amp;ReportGB=&amp;NewMenuID=108&amp;stkGb=701", "우리기술투자")</f>
        <v>0</v>
      </c>
      <c r="E118">
        <v>3</v>
      </c>
      <c r="F118">
        <v>6120</v>
      </c>
      <c r="G118">
        <v>0</v>
      </c>
      <c r="H118">
        <v>1.24</v>
      </c>
      <c r="I118">
        <v>80322</v>
      </c>
      <c r="J118">
        <v>41366</v>
      </c>
      <c r="K118">
        <v>28337</v>
      </c>
      <c r="L118">
        <v>-1212.45</v>
      </c>
      <c r="M118">
        <v>-575.91</v>
      </c>
      <c r="N118">
        <v>-363.02</v>
      </c>
      <c r="O118">
        <v>86.36</v>
      </c>
      <c r="P118" t="b">
        <v>1</v>
      </c>
      <c r="Q118">
        <v>0</v>
      </c>
      <c r="R118">
        <v>7374</v>
      </c>
      <c r="U118" t="s">
        <v>895</v>
      </c>
      <c r="V118" t="s">
        <v>1266</v>
      </c>
      <c r="W118">
        <v>0</v>
      </c>
      <c r="Y118" t="s">
        <v>1536</v>
      </c>
      <c r="Z118">
        <v>0</v>
      </c>
      <c r="AA118">
        <v>5141</v>
      </c>
      <c r="AB118">
        <v>3440089</v>
      </c>
      <c r="AC118" t="s">
        <v>1979</v>
      </c>
      <c r="AD118">
        <v>30.91</v>
      </c>
      <c r="AE118" t="s">
        <v>2350</v>
      </c>
      <c r="AF118" t="s">
        <v>2721</v>
      </c>
      <c r="AG118">
        <v>8070</v>
      </c>
      <c r="AH118">
        <v>7926</v>
      </c>
      <c r="AI118">
        <v>6128844</v>
      </c>
      <c r="AK118" t="b">
        <v>1</v>
      </c>
    </row>
    <row r="119" spans="1:38">
      <c r="A119" s="1" t="s">
        <v>153</v>
      </c>
      <c r="B119" t="s">
        <v>524</v>
      </c>
      <c r="C119">
        <f>HYPERLINK("https://finance.naver.com/item/coinfo.nhn?code=067900", "A067900")</f>
        <v>0</v>
      </c>
      <c r="D119">
        <f>HYPERLINK("http://comp.fnguide.com/SVO2/ASP/SVD_Consensus.asp?pGB=1&amp;gicode=A067900&amp;cID=&amp;MenuYn=Y&amp;ReportGB=&amp;NewMenuID=108&amp;stkGb=701", "와이엔텍")</f>
        <v>0</v>
      </c>
      <c r="E119">
        <v>3</v>
      </c>
      <c r="F119">
        <v>10400</v>
      </c>
      <c r="G119">
        <v>0.7</v>
      </c>
      <c r="H119">
        <v>8.42</v>
      </c>
      <c r="I119">
        <v>14863</v>
      </c>
      <c r="J119">
        <v>12518</v>
      </c>
      <c r="K119">
        <v>11734</v>
      </c>
      <c r="L119">
        <v>-42.91</v>
      </c>
      <c r="M119">
        <v>-20.37</v>
      </c>
      <c r="N119">
        <v>-12.83</v>
      </c>
      <c r="O119">
        <v>14.1</v>
      </c>
      <c r="P119" t="b">
        <v>1</v>
      </c>
      <c r="Q119">
        <v>3</v>
      </c>
      <c r="R119">
        <v>1277</v>
      </c>
      <c r="S119">
        <v>1420</v>
      </c>
      <c r="T119">
        <v>11.2</v>
      </c>
      <c r="U119" t="s">
        <v>896</v>
      </c>
      <c r="V119" t="s">
        <v>1267</v>
      </c>
      <c r="W119">
        <v>11.9791206826978</v>
      </c>
      <c r="X119">
        <v>-33.4</v>
      </c>
      <c r="Y119" t="s">
        <v>1629</v>
      </c>
      <c r="Z119">
        <v>6.116520712644791</v>
      </c>
      <c r="AA119">
        <v>1893</v>
      </c>
      <c r="AB119">
        <v>227546</v>
      </c>
      <c r="AC119" t="s">
        <v>1980</v>
      </c>
      <c r="AD119">
        <v>45.93</v>
      </c>
      <c r="AE119" t="s">
        <v>2351</v>
      </c>
      <c r="AF119" t="s">
        <v>2722</v>
      </c>
      <c r="AG119">
        <v>1118</v>
      </c>
      <c r="AH119">
        <v>324</v>
      </c>
      <c r="AI119">
        <v>100000</v>
      </c>
      <c r="AK119" t="b">
        <v>1</v>
      </c>
    </row>
    <row r="120" spans="1:38">
      <c r="A120" s="1" t="s">
        <v>154</v>
      </c>
      <c r="B120" t="s">
        <v>525</v>
      </c>
      <c r="C120">
        <f>HYPERLINK("https://finance.naver.com/item/coinfo.nhn?code=143540", "A143540")</f>
        <v>0</v>
      </c>
      <c r="D120">
        <f>HYPERLINK("http://comp.fnguide.com/SVO2/ASP/SVD_Consensus.asp?pGB=1&amp;gicode=A143540&amp;cID=&amp;MenuYn=Y&amp;ReportGB=&amp;NewMenuID=108&amp;stkGb=701", "영우디에스피")</f>
        <v>0</v>
      </c>
      <c r="E120">
        <v>3</v>
      </c>
      <c r="F120">
        <v>1525</v>
      </c>
      <c r="G120">
        <v>0</v>
      </c>
      <c r="H120">
        <v>11.43</v>
      </c>
      <c r="I120">
        <v>2184</v>
      </c>
      <c r="J120">
        <v>1770</v>
      </c>
      <c r="K120">
        <v>1632</v>
      </c>
      <c r="L120">
        <v>-43.19</v>
      </c>
      <c r="M120">
        <v>-16.06</v>
      </c>
      <c r="N120">
        <v>-6.99</v>
      </c>
      <c r="O120">
        <v>15.35</v>
      </c>
      <c r="P120" t="b">
        <v>1</v>
      </c>
      <c r="Q120">
        <v>0</v>
      </c>
      <c r="R120">
        <v>198</v>
      </c>
      <c r="U120" t="s">
        <v>897</v>
      </c>
      <c r="V120" t="s">
        <v>1268</v>
      </c>
      <c r="W120">
        <v>0</v>
      </c>
      <c r="Y120" t="s">
        <v>1630</v>
      </c>
      <c r="Z120">
        <v>0</v>
      </c>
      <c r="AA120">
        <v>680</v>
      </c>
      <c r="AB120">
        <v>374083</v>
      </c>
      <c r="AC120" t="s">
        <v>1981</v>
      </c>
      <c r="AD120">
        <v>19.26</v>
      </c>
      <c r="AE120" t="s">
        <v>2352</v>
      </c>
      <c r="AF120" t="s">
        <v>2723</v>
      </c>
      <c r="AG120">
        <v>796</v>
      </c>
      <c r="AH120">
        <v>85</v>
      </c>
      <c r="AI120">
        <v>333453</v>
      </c>
      <c r="AK120" t="b">
        <v>1</v>
      </c>
    </row>
    <row r="121" spans="1:38">
      <c r="A121" s="1" t="s">
        <v>155</v>
      </c>
      <c r="B121" t="s">
        <v>526</v>
      </c>
      <c r="C121">
        <f>HYPERLINK("https://finance.naver.com/item/coinfo.nhn?code=032940", "A032940")</f>
        <v>0</v>
      </c>
      <c r="D121">
        <f>HYPERLINK("http://comp.fnguide.com/SVO2/ASP/SVD_Consensus.asp?pGB=1&amp;gicode=A032940&amp;cID=&amp;MenuYn=Y&amp;ReportGB=&amp;NewMenuID=108&amp;stkGb=701", "원익")</f>
        <v>0</v>
      </c>
      <c r="E121">
        <v>3</v>
      </c>
      <c r="F121">
        <v>3865</v>
      </c>
      <c r="G121">
        <v>0</v>
      </c>
      <c r="H121">
        <v>2.81</v>
      </c>
      <c r="I121">
        <v>38226</v>
      </c>
      <c r="J121">
        <v>23734</v>
      </c>
      <c r="K121">
        <v>18887</v>
      </c>
      <c r="L121">
        <v>-889.03</v>
      </c>
      <c r="M121">
        <v>-514.08</v>
      </c>
      <c r="N121">
        <v>-388.68</v>
      </c>
      <c r="O121">
        <v>32.49</v>
      </c>
      <c r="P121" t="b">
        <v>1</v>
      </c>
      <c r="Q121">
        <v>0</v>
      </c>
      <c r="R121">
        <v>1566</v>
      </c>
      <c r="U121" t="s">
        <v>898</v>
      </c>
      <c r="V121" t="s">
        <v>1269</v>
      </c>
      <c r="W121">
        <v>0</v>
      </c>
      <c r="X121">
        <v>-41.6</v>
      </c>
      <c r="Y121" t="s">
        <v>1631</v>
      </c>
      <c r="Z121">
        <v>0</v>
      </c>
      <c r="AA121">
        <v>703</v>
      </c>
      <c r="AB121">
        <v>18404</v>
      </c>
      <c r="AC121" t="s">
        <v>1982</v>
      </c>
      <c r="AD121">
        <v>47.54</v>
      </c>
      <c r="AE121" t="s">
        <v>2353</v>
      </c>
      <c r="AF121" t="s">
        <v>2724</v>
      </c>
      <c r="AG121">
        <v>947</v>
      </c>
      <c r="AH121">
        <v>66</v>
      </c>
      <c r="AI121">
        <v>49</v>
      </c>
      <c r="AK121" t="b">
        <v>1</v>
      </c>
    </row>
    <row r="122" spans="1:38">
      <c r="A122" s="1" t="s">
        <v>156</v>
      </c>
      <c r="B122" t="s">
        <v>527</v>
      </c>
      <c r="C122">
        <f>HYPERLINK("https://finance.naver.com/item/coinfo.nhn?code=090740", "A090740")</f>
        <v>0</v>
      </c>
      <c r="D122">
        <f>HYPERLINK("http://comp.fnguide.com/SVO2/ASP/SVD_Consensus.asp?pGB=1&amp;gicode=A090740&amp;cID=&amp;MenuYn=Y&amp;ReportGB=&amp;NewMenuID=108&amp;stkGb=701", "연이비앤티")</f>
        <v>0</v>
      </c>
      <c r="E122">
        <v>3</v>
      </c>
      <c r="F122">
        <v>2105</v>
      </c>
      <c r="G122">
        <v>0</v>
      </c>
      <c r="H122">
        <v>1.54</v>
      </c>
      <c r="I122">
        <v>10093</v>
      </c>
      <c r="J122">
        <v>5717</v>
      </c>
      <c r="K122">
        <v>4253</v>
      </c>
      <c r="L122">
        <v>-379.49</v>
      </c>
      <c r="M122">
        <v>-171.57</v>
      </c>
      <c r="N122">
        <v>-102.03</v>
      </c>
      <c r="O122">
        <v>47.86</v>
      </c>
      <c r="P122" t="b">
        <v>1</v>
      </c>
      <c r="Q122">
        <v>0</v>
      </c>
      <c r="R122">
        <v>1371</v>
      </c>
      <c r="U122" t="s">
        <v>899</v>
      </c>
      <c r="V122" t="s">
        <v>1270</v>
      </c>
      <c r="W122">
        <v>0</v>
      </c>
      <c r="Y122" t="s">
        <v>1632</v>
      </c>
      <c r="Z122">
        <v>0</v>
      </c>
      <c r="AA122">
        <v>473</v>
      </c>
      <c r="AB122">
        <v>0</v>
      </c>
      <c r="AC122" t="s">
        <v>1983</v>
      </c>
      <c r="AD122">
        <v>14.84</v>
      </c>
      <c r="AE122" t="s">
        <v>2354</v>
      </c>
      <c r="AF122" t="s">
        <v>2725</v>
      </c>
      <c r="AG122">
        <v>1857</v>
      </c>
      <c r="AH122">
        <v>28</v>
      </c>
      <c r="AI122">
        <v>8</v>
      </c>
      <c r="AL122" t="b">
        <v>0</v>
      </c>
    </row>
    <row r="123" spans="1:38">
      <c r="A123" s="1" t="s">
        <v>157</v>
      </c>
      <c r="B123" t="s">
        <v>528</v>
      </c>
      <c r="C123">
        <f>HYPERLINK("https://finance.naver.com/item/coinfo.nhn?code=009780", "A009780")</f>
        <v>0</v>
      </c>
      <c r="D123">
        <f>HYPERLINK("http://comp.fnguide.com/SVO2/ASP/SVD_Consensus.asp?pGB=1&amp;gicode=A009780&amp;cID=&amp;MenuYn=Y&amp;ReportGB=&amp;NewMenuID=108&amp;stkGb=701", "엠에스씨")</f>
        <v>0</v>
      </c>
      <c r="E123">
        <v>3</v>
      </c>
      <c r="F123">
        <v>6020</v>
      </c>
      <c r="G123">
        <v>0</v>
      </c>
      <c r="H123">
        <v>6.78</v>
      </c>
      <c r="I123">
        <v>8152</v>
      </c>
      <c r="J123">
        <v>7286</v>
      </c>
      <c r="K123">
        <v>6996</v>
      </c>
      <c r="L123">
        <v>-35.42</v>
      </c>
      <c r="M123">
        <v>-21.03</v>
      </c>
      <c r="N123">
        <v>-16.22</v>
      </c>
      <c r="O123">
        <v>12.46</v>
      </c>
      <c r="P123" t="b">
        <v>1</v>
      </c>
      <c r="Q123">
        <v>0</v>
      </c>
      <c r="R123">
        <v>874</v>
      </c>
      <c r="U123" t="s">
        <v>900</v>
      </c>
      <c r="V123" t="s">
        <v>1271</v>
      </c>
      <c r="W123">
        <v>0</v>
      </c>
      <c r="X123">
        <v>42.3</v>
      </c>
      <c r="Y123" t="s">
        <v>1633</v>
      </c>
      <c r="Z123">
        <v>14.26379300279719</v>
      </c>
      <c r="AA123">
        <v>1060</v>
      </c>
      <c r="AB123">
        <v>6979</v>
      </c>
      <c r="AC123" t="s">
        <v>1984</v>
      </c>
      <c r="AD123">
        <v>73.22</v>
      </c>
      <c r="AE123" t="s">
        <v>2355</v>
      </c>
      <c r="AF123" t="s">
        <v>2726</v>
      </c>
      <c r="AG123">
        <v>1620</v>
      </c>
      <c r="AH123">
        <v>213</v>
      </c>
      <c r="AJ123">
        <v>1.01</v>
      </c>
      <c r="AK123" t="b">
        <v>1</v>
      </c>
    </row>
    <row r="124" spans="1:38">
      <c r="A124" s="1" t="s">
        <v>158</v>
      </c>
      <c r="B124" t="s">
        <v>529</v>
      </c>
      <c r="C124">
        <f>HYPERLINK("https://finance.naver.com/item/coinfo.nhn?code=376190", "A376190")</f>
        <v>0</v>
      </c>
      <c r="D124">
        <f>HYPERLINK("http://comp.fnguide.com/SVO2/ASP/SVD_Consensus.asp?pGB=1&amp;gicode=A376190&amp;cID=&amp;MenuYn=Y&amp;ReportGB=&amp;NewMenuID=108&amp;stkGb=701", "엘비루셈")</f>
        <v>0</v>
      </c>
      <c r="E124">
        <v>3</v>
      </c>
      <c r="F124">
        <v>7930</v>
      </c>
      <c r="G124">
        <v>0</v>
      </c>
      <c r="H124">
        <v>14.25</v>
      </c>
      <c r="I124">
        <v>10995</v>
      </c>
      <c r="J124">
        <v>9179</v>
      </c>
      <c r="K124">
        <v>8572</v>
      </c>
      <c r="L124">
        <v>-38.65</v>
      </c>
      <c r="M124">
        <v>-15.75</v>
      </c>
      <c r="N124">
        <v>-8.1</v>
      </c>
      <c r="O124">
        <v>14.38</v>
      </c>
      <c r="P124" t="b">
        <v>1</v>
      </c>
      <c r="Q124">
        <v>0</v>
      </c>
      <c r="R124">
        <v>817</v>
      </c>
      <c r="U124" t="s">
        <v>901</v>
      </c>
      <c r="V124" t="s">
        <v>1272</v>
      </c>
      <c r="W124">
        <v>0</v>
      </c>
      <c r="X124">
        <v>-7.3</v>
      </c>
      <c r="Y124" t="s">
        <v>1634</v>
      </c>
      <c r="Z124">
        <v>22.77587169749591</v>
      </c>
      <c r="AA124">
        <v>1951</v>
      </c>
      <c r="AB124">
        <v>11427</v>
      </c>
      <c r="AC124" t="s">
        <v>1985</v>
      </c>
      <c r="AD124">
        <v>75.61</v>
      </c>
      <c r="AE124" t="s">
        <v>2356</v>
      </c>
      <c r="AF124" t="s">
        <v>2727</v>
      </c>
      <c r="AG124">
        <v>2330</v>
      </c>
      <c r="AH124">
        <v>194</v>
      </c>
      <c r="AK124" t="b">
        <v>1</v>
      </c>
    </row>
    <row r="125" spans="1:38">
      <c r="A125" s="1" t="s">
        <v>159</v>
      </c>
      <c r="B125" t="s">
        <v>530</v>
      </c>
      <c r="C125">
        <f>HYPERLINK("https://finance.naver.com/item/coinfo.nhn?code=092870", "A092870")</f>
        <v>0</v>
      </c>
      <c r="D125">
        <f>HYPERLINK("http://comp.fnguide.com/SVO2/ASP/SVD_Consensus.asp?pGB=1&amp;gicode=A092870&amp;cID=&amp;MenuYn=Y&amp;ReportGB=&amp;NewMenuID=108&amp;stkGb=701", "엑시콘")</f>
        <v>0</v>
      </c>
      <c r="E125">
        <v>3</v>
      </c>
      <c r="F125">
        <v>10200</v>
      </c>
      <c r="G125">
        <v>0</v>
      </c>
      <c r="H125">
        <v>4.76</v>
      </c>
      <c r="I125">
        <v>25360</v>
      </c>
      <c r="J125">
        <v>18633</v>
      </c>
      <c r="K125">
        <v>16383</v>
      </c>
      <c r="L125">
        <v>-148.62</v>
      </c>
      <c r="M125">
        <v>-82.67</v>
      </c>
      <c r="N125">
        <v>-60.62</v>
      </c>
      <c r="O125">
        <v>19.45</v>
      </c>
      <c r="P125" t="b">
        <v>1</v>
      </c>
      <c r="Q125">
        <v>0</v>
      </c>
      <c r="R125">
        <v>3169</v>
      </c>
      <c r="S125">
        <v>1304</v>
      </c>
      <c r="T125">
        <v>-58.9</v>
      </c>
      <c r="U125" t="s">
        <v>902</v>
      </c>
      <c r="V125" t="s">
        <v>1273</v>
      </c>
      <c r="W125">
        <v>0</v>
      </c>
      <c r="X125">
        <v>-40</v>
      </c>
      <c r="Y125" t="s">
        <v>1635</v>
      </c>
      <c r="Z125">
        <v>0</v>
      </c>
      <c r="AA125">
        <v>1069</v>
      </c>
      <c r="AB125">
        <v>39407</v>
      </c>
      <c r="AC125" t="s">
        <v>1986</v>
      </c>
      <c r="AD125">
        <v>39.61</v>
      </c>
      <c r="AE125" t="s">
        <v>2357</v>
      </c>
      <c r="AF125" t="s">
        <v>2728</v>
      </c>
      <c r="AG125">
        <v>662</v>
      </c>
      <c r="AH125">
        <v>63</v>
      </c>
      <c r="AI125">
        <v>364388</v>
      </c>
      <c r="AJ125">
        <v>0.66</v>
      </c>
      <c r="AK125" t="b">
        <v>1</v>
      </c>
    </row>
    <row r="126" spans="1:38">
      <c r="A126" s="1" t="s">
        <v>160</v>
      </c>
      <c r="B126" t="s">
        <v>531</v>
      </c>
      <c r="C126">
        <f>HYPERLINK("https://finance.naver.com/item/coinfo.nhn?code=950130", "A950130")</f>
        <v>0</v>
      </c>
      <c r="D126">
        <f>HYPERLINK("http://comp.fnguide.com/SVO2/ASP/SVD_Consensus.asp?pGB=1&amp;gicode=A950130&amp;cID=&amp;MenuYn=Y&amp;ReportGB=&amp;NewMenuID=108&amp;stkGb=701", "엑세스바이오")</f>
        <v>0</v>
      </c>
      <c r="E126">
        <v>3</v>
      </c>
      <c r="F126">
        <v>17100</v>
      </c>
      <c r="G126">
        <v>0</v>
      </c>
      <c r="H126">
        <v>3.06</v>
      </c>
      <c r="I126">
        <v>67904</v>
      </c>
      <c r="J126">
        <v>35261</v>
      </c>
      <c r="K126">
        <v>24343</v>
      </c>
      <c r="L126">
        <v>-297.1</v>
      </c>
      <c r="M126">
        <v>-106.2</v>
      </c>
      <c r="N126">
        <v>-42.36</v>
      </c>
      <c r="O126">
        <v>80.95</v>
      </c>
      <c r="P126" t="b">
        <v>0</v>
      </c>
      <c r="Q126">
        <v>0</v>
      </c>
      <c r="R126">
        <v>5223</v>
      </c>
      <c r="U126" t="s">
        <v>903</v>
      </c>
      <c r="V126" t="s">
        <v>1274</v>
      </c>
      <c r="W126">
        <v>0</v>
      </c>
      <c r="X126">
        <v>131.4</v>
      </c>
      <c r="Y126" t="s">
        <v>1636</v>
      </c>
      <c r="Z126">
        <v>0</v>
      </c>
      <c r="AA126">
        <v>6210</v>
      </c>
      <c r="AB126">
        <v>1183096</v>
      </c>
      <c r="AC126" t="s">
        <v>1987</v>
      </c>
      <c r="AD126">
        <v>25.26</v>
      </c>
      <c r="AE126" t="s">
        <v>2358</v>
      </c>
      <c r="AF126" t="s">
        <v>2729</v>
      </c>
      <c r="AG126">
        <v>5051</v>
      </c>
      <c r="AH126">
        <v>2601</v>
      </c>
      <c r="AI126">
        <v>2321553</v>
      </c>
      <c r="AK126" t="b">
        <v>1</v>
      </c>
    </row>
    <row r="127" spans="1:38">
      <c r="A127" s="1" t="s">
        <v>161</v>
      </c>
      <c r="B127" t="s">
        <v>532</v>
      </c>
      <c r="C127">
        <f>HYPERLINK("https://finance.naver.com/item/coinfo.nhn?code=021080", "A021080")</f>
        <v>0</v>
      </c>
      <c r="D127">
        <f>HYPERLINK("http://comp.fnguide.com/SVO2/ASP/SVD_Consensus.asp?pGB=1&amp;gicode=A021080&amp;cID=&amp;MenuYn=Y&amp;ReportGB=&amp;NewMenuID=108&amp;stkGb=701", "에이티넘인베스트")</f>
        <v>0</v>
      </c>
      <c r="E127">
        <v>3</v>
      </c>
      <c r="F127">
        <v>3445</v>
      </c>
      <c r="G127">
        <v>0</v>
      </c>
      <c r="H127">
        <v>3.86</v>
      </c>
      <c r="I127">
        <v>10991</v>
      </c>
      <c r="J127">
        <v>6730</v>
      </c>
      <c r="K127">
        <v>5305</v>
      </c>
      <c r="L127">
        <v>-219.05</v>
      </c>
      <c r="M127">
        <v>-95.36</v>
      </c>
      <c r="N127">
        <v>-54</v>
      </c>
      <c r="O127">
        <v>34.22</v>
      </c>
      <c r="P127" t="b">
        <v>1</v>
      </c>
      <c r="Q127">
        <v>0</v>
      </c>
      <c r="R127">
        <v>1375</v>
      </c>
      <c r="U127" t="s">
        <v>904</v>
      </c>
      <c r="V127" t="s">
        <v>1275</v>
      </c>
      <c r="W127">
        <v>0</v>
      </c>
      <c r="Y127" t="s">
        <v>1536</v>
      </c>
      <c r="Z127">
        <v>17.45295627702714</v>
      </c>
      <c r="AA127">
        <v>1654</v>
      </c>
      <c r="AB127">
        <v>312646</v>
      </c>
      <c r="AC127" t="s">
        <v>1988</v>
      </c>
      <c r="AD127">
        <v>33.08</v>
      </c>
      <c r="AE127" t="s">
        <v>2359</v>
      </c>
      <c r="AF127" t="s">
        <v>2730</v>
      </c>
      <c r="AG127">
        <v>1176</v>
      </c>
      <c r="AH127">
        <v>832</v>
      </c>
      <c r="AI127">
        <v>1005425</v>
      </c>
      <c r="AJ127">
        <v>3.77</v>
      </c>
      <c r="AK127" t="b">
        <v>1</v>
      </c>
    </row>
    <row r="128" spans="1:38">
      <c r="A128" s="1" t="s">
        <v>162</v>
      </c>
      <c r="B128" t="s">
        <v>533</v>
      </c>
      <c r="C128">
        <f>HYPERLINK("https://finance.naver.com/item/coinfo.nhn?code=153490", "A153490")</f>
        <v>0</v>
      </c>
      <c r="D128">
        <f>HYPERLINK("http://comp.fnguide.com/SVO2/ASP/SVD_Consensus.asp?pGB=1&amp;gicode=A153490&amp;cID=&amp;MenuYn=Y&amp;ReportGB=&amp;NewMenuID=108&amp;stkGb=701", "우리이앤엘")</f>
        <v>0</v>
      </c>
      <c r="E128">
        <v>3</v>
      </c>
      <c r="F128">
        <v>1360</v>
      </c>
      <c r="G128">
        <v>0</v>
      </c>
      <c r="H128">
        <v>4.78</v>
      </c>
      <c r="I128">
        <v>2099</v>
      </c>
      <c r="J128">
        <v>1716</v>
      </c>
      <c r="K128">
        <v>1588</v>
      </c>
      <c r="L128">
        <v>-54.37</v>
      </c>
      <c r="M128">
        <v>-26.21</v>
      </c>
      <c r="N128">
        <v>-16.8</v>
      </c>
      <c r="O128">
        <v>15.05</v>
      </c>
      <c r="P128" t="b">
        <v>1</v>
      </c>
      <c r="Q128">
        <v>0</v>
      </c>
      <c r="R128">
        <v>351</v>
      </c>
      <c r="U128" t="s">
        <v>905</v>
      </c>
      <c r="V128" t="s">
        <v>1276</v>
      </c>
      <c r="W128">
        <v>0</v>
      </c>
      <c r="X128">
        <v>-3.4</v>
      </c>
      <c r="Y128" t="s">
        <v>1637</v>
      </c>
      <c r="Z128">
        <v>0</v>
      </c>
      <c r="AA128">
        <v>700</v>
      </c>
      <c r="AB128">
        <v>131539</v>
      </c>
      <c r="AC128" t="s">
        <v>1989</v>
      </c>
      <c r="AD128">
        <v>39.7</v>
      </c>
      <c r="AE128" t="s">
        <v>2360</v>
      </c>
      <c r="AF128" t="s">
        <v>2731</v>
      </c>
      <c r="AG128">
        <v>1557</v>
      </c>
      <c r="AH128">
        <v>135</v>
      </c>
      <c r="AI128">
        <v>900900</v>
      </c>
      <c r="AK128" t="b">
        <v>1</v>
      </c>
    </row>
    <row r="129" spans="1:37">
      <c r="A129" s="1" t="s">
        <v>163</v>
      </c>
      <c r="B129" t="s">
        <v>534</v>
      </c>
      <c r="C129">
        <f>HYPERLINK("https://finance.naver.com/item/coinfo.nhn?code=104830", "A104830")</f>
        <v>0</v>
      </c>
      <c r="D129">
        <f>HYPERLINK("http://comp.fnguide.com/SVO2/ASP/SVD_Consensus.asp?pGB=1&amp;gicode=A104830&amp;cID=&amp;MenuYn=Y&amp;ReportGB=&amp;NewMenuID=108&amp;stkGb=701", "원익머트리얼즈")</f>
        <v>0</v>
      </c>
      <c r="E129">
        <v>3</v>
      </c>
      <c r="F129">
        <v>31800</v>
      </c>
      <c r="G129">
        <v>0.27</v>
      </c>
      <c r="H129">
        <v>8.449999999999999</v>
      </c>
      <c r="I129">
        <v>37885</v>
      </c>
      <c r="J129">
        <v>34169</v>
      </c>
      <c r="K129">
        <v>32927</v>
      </c>
      <c r="L129">
        <v>-19.14</v>
      </c>
      <c r="M129">
        <v>-7.45</v>
      </c>
      <c r="N129">
        <v>-3.54</v>
      </c>
      <c r="O129">
        <v>12.24</v>
      </c>
      <c r="P129" t="b">
        <v>1</v>
      </c>
      <c r="Q129">
        <v>3</v>
      </c>
      <c r="R129">
        <v>4188</v>
      </c>
      <c r="S129">
        <v>5072</v>
      </c>
      <c r="T129">
        <v>21.1</v>
      </c>
      <c r="U129" t="s">
        <v>906</v>
      </c>
      <c r="V129" t="s">
        <v>1277</v>
      </c>
      <c r="W129">
        <v>31.53724912567974</v>
      </c>
      <c r="X129">
        <v>29.5</v>
      </c>
      <c r="Y129" t="s">
        <v>1638</v>
      </c>
      <c r="Z129">
        <v>27.20551324095242</v>
      </c>
      <c r="AA129">
        <v>4009</v>
      </c>
      <c r="AB129">
        <v>71691</v>
      </c>
      <c r="AC129" t="s">
        <v>1990</v>
      </c>
      <c r="AD129">
        <v>45.71</v>
      </c>
      <c r="AE129" t="s">
        <v>2361</v>
      </c>
      <c r="AF129" t="s">
        <v>2732</v>
      </c>
      <c r="AG129">
        <v>3107</v>
      </c>
      <c r="AH129">
        <v>505</v>
      </c>
      <c r="AJ129">
        <v>1.13</v>
      </c>
      <c r="AK129" t="b">
        <v>1</v>
      </c>
    </row>
    <row r="130" spans="1:37">
      <c r="A130" s="1" t="s">
        <v>164</v>
      </c>
      <c r="B130" t="s">
        <v>535</v>
      </c>
      <c r="C130">
        <f>HYPERLINK("https://finance.naver.com/item/coinfo.nhn?code=033320", "A033320")</f>
        <v>0</v>
      </c>
      <c r="D130">
        <f>HYPERLINK("http://comp.fnguide.com/SVO2/ASP/SVD_Consensus.asp?pGB=1&amp;gicode=A033320&amp;cID=&amp;MenuYn=Y&amp;ReportGB=&amp;NewMenuID=108&amp;stkGb=701", "제이씨현시스템")</f>
        <v>0</v>
      </c>
      <c r="E130">
        <v>3</v>
      </c>
      <c r="F130">
        <v>5180</v>
      </c>
      <c r="G130">
        <v>0</v>
      </c>
      <c r="H130">
        <v>8.77</v>
      </c>
      <c r="I130">
        <v>6554</v>
      </c>
      <c r="J130">
        <v>6147</v>
      </c>
      <c r="K130">
        <v>6011</v>
      </c>
      <c r="L130">
        <v>-26.53</v>
      </c>
      <c r="M130">
        <v>-18.66</v>
      </c>
      <c r="N130">
        <v>-16.03</v>
      </c>
      <c r="O130">
        <v>11.33</v>
      </c>
      <c r="P130" t="b">
        <v>1</v>
      </c>
      <c r="Q130">
        <v>0</v>
      </c>
      <c r="R130">
        <v>792</v>
      </c>
      <c r="U130" t="s">
        <v>907</v>
      </c>
      <c r="V130" t="s">
        <v>1278</v>
      </c>
      <c r="W130">
        <v>0</v>
      </c>
      <c r="X130">
        <v>-80.40000000000001</v>
      </c>
      <c r="Y130" t="s">
        <v>1639</v>
      </c>
      <c r="Z130">
        <v>-25.21876040590053</v>
      </c>
      <c r="AA130">
        <v>990</v>
      </c>
      <c r="AB130">
        <v>36562</v>
      </c>
      <c r="AC130" t="s">
        <v>1991</v>
      </c>
      <c r="AD130">
        <v>46.29</v>
      </c>
      <c r="AE130" t="s">
        <v>2362</v>
      </c>
      <c r="AF130" t="s">
        <v>2733</v>
      </c>
      <c r="AG130">
        <v>2654</v>
      </c>
      <c r="AH130">
        <v>184</v>
      </c>
      <c r="AI130">
        <v>222481</v>
      </c>
      <c r="AJ130">
        <v>1.59</v>
      </c>
      <c r="AK130" t="b">
        <v>1</v>
      </c>
    </row>
    <row r="131" spans="1:37">
      <c r="A131" s="1" t="s">
        <v>165</v>
      </c>
      <c r="B131" t="s">
        <v>536</v>
      </c>
      <c r="C131">
        <f>HYPERLINK("https://finance.naver.com/item/coinfo.nhn?code=088390", "A088390")</f>
        <v>0</v>
      </c>
      <c r="D131">
        <f>HYPERLINK("http://comp.fnguide.com/SVO2/ASP/SVD_Consensus.asp?pGB=1&amp;gicode=A088390&amp;cID=&amp;MenuYn=Y&amp;ReportGB=&amp;NewMenuID=108&amp;stkGb=701", "이녹스")</f>
        <v>0</v>
      </c>
      <c r="E131">
        <v>3</v>
      </c>
      <c r="F131">
        <v>23100</v>
      </c>
      <c r="G131">
        <v>0</v>
      </c>
      <c r="H131">
        <v>5.81</v>
      </c>
      <c r="I131">
        <v>39222</v>
      </c>
      <c r="J131">
        <v>29324</v>
      </c>
      <c r="K131">
        <v>26014</v>
      </c>
      <c r="L131">
        <v>-69.79000000000001</v>
      </c>
      <c r="M131">
        <v>-26.94</v>
      </c>
      <c r="N131">
        <v>-12.61</v>
      </c>
      <c r="O131">
        <v>18.6</v>
      </c>
      <c r="P131" t="b">
        <v>1</v>
      </c>
      <c r="Q131">
        <v>0</v>
      </c>
      <c r="R131">
        <v>5580</v>
      </c>
      <c r="U131" t="s">
        <v>908</v>
      </c>
      <c r="V131" t="s">
        <v>1279</v>
      </c>
      <c r="W131">
        <v>0</v>
      </c>
      <c r="X131">
        <v>101.8</v>
      </c>
      <c r="Y131" t="s">
        <v>1640</v>
      </c>
      <c r="Z131">
        <v>0</v>
      </c>
      <c r="AA131">
        <v>2168</v>
      </c>
      <c r="AB131">
        <v>122490</v>
      </c>
      <c r="AC131" t="s">
        <v>1992</v>
      </c>
      <c r="AD131">
        <v>69.31</v>
      </c>
      <c r="AE131" t="s">
        <v>2363</v>
      </c>
      <c r="AF131" t="s">
        <v>2734</v>
      </c>
      <c r="AG131">
        <v>751</v>
      </c>
      <c r="AH131">
        <v>242</v>
      </c>
      <c r="AI131">
        <v>154552</v>
      </c>
      <c r="AK131" t="b">
        <v>1</v>
      </c>
    </row>
    <row r="132" spans="1:37">
      <c r="A132" s="1" t="s">
        <v>166</v>
      </c>
      <c r="B132" t="s">
        <v>537</v>
      </c>
      <c r="C132">
        <f>HYPERLINK("https://finance.naver.com/item/coinfo.nhn?code=225220", "A225220")</f>
        <v>0</v>
      </c>
      <c r="D132">
        <f>HYPERLINK("http://comp.fnguide.com/SVO2/ASP/SVD_Consensus.asp?pGB=1&amp;gicode=A225220&amp;cID=&amp;MenuYn=Y&amp;ReportGB=&amp;NewMenuID=108&amp;stkGb=701", "제놀루션")</f>
        <v>0</v>
      </c>
      <c r="E132">
        <v>3</v>
      </c>
      <c r="F132">
        <v>12850</v>
      </c>
      <c r="G132">
        <v>0</v>
      </c>
      <c r="H132">
        <v>4.39</v>
      </c>
      <c r="I132">
        <v>51725</v>
      </c>
      <c r="J132">
        <v>28306</v>
      </c>
      <c r="K132">
        <v>20474</v>
      </c>
      <c r="L132">
        <v>-302.53</v>
      </c>
      <c r="M132">
        <v>-120.28</v>
      </c>
      <c r="N132">
        <v>-59.33</v>
      </c>
      <c r="O132">
        <v>57.39</v>
      </c>
      <c r="P132" t="b">
        <v>1</v>
      </c>
      <c r="Q132">
        <v>0</v>
      </c>
      <c r="R132">
        <v>3595</v>
      </c>
      <c r="U132" t="s">
        <v>909</v>
      </c>
      <c r="V132" t="s">
        <v>1280</v>
      </c>
      <c r="W132">
        <v>0</v>
      </c>
      <c r="X132">
        <v>6.8</v>
      </c>
      <c r="Y132" t="s">
        <v>1641</v>
      </c>
      <c r="Z132">
        <v>0</v>
      </c>
      <c r="AA132">
        <v>1232</v>
      </c>
      <c r="AB132">
        <v>66616</v>
      </c>
      <c r="AC132" t="s">
        <v>1993</v>
      </c>
      <c r="AD132">
        <v>24.34</v>
      </c>
      <c r="AE132" t="s">
        <v>2364</v>
      </c>
      <c r="AF132" t="s">
        <v>2735</v>
      </c>
      <c r="AG132">
        <v>728</v>
      </c>
      <c r="AH132">
        <v>413</v>
      </c>
      <c r="AI132">
        <v>516512</v>
      </c>
      <c r="AJ132">
        <v>2.53</v>
      </c>
      <c r="AK132" t="b">
        <v>1</v>
      </c>
    </row>
    <row r="133" spans="1:37">
      <c r="A133" s="1" t="s">
        <v>167</v>
      </c>
      <c r="B133" t="s">
        <v>538</v>
      </c>
      <c r="C133">
        <f>HYPERLINK("https://finance.naver.com/item/coinfo.nhn?code=101930", "A101930")</f>
        <v>0</v>
      </c>
      <c r="D133">
        <f>HYPERLINK("http://comp.fnguide.com/SVO2/ASP/SVD_Consensus.asp?pGB=1&amp;gicode=A101930&amp;cID=&amp;MenuYn=Y&amp;ReportGB=&amp;NewMenuID=108&amp;stkGb=701", "인화정공")</f>
        <v>0</v>
      </c>
      <c r="E133">
        <v>3</v>
      </c>
      <c r="F133">
        <v>13850</v>
      </c>
      <c r="G133">
        <v>0</v>
      </c>
      <c r="H133">
        <v>8.44</v>
      </c>
      <c r="I133">
        <v>23141</v>
      </c>
      <c r="J133">
        <v>21592</v>
      </c>
      <c r="K133">
        <v>21073</v>
      </c>
      <c r="L133">
        <v>-67.09</v>
      </c>
      <c r="M133">
        <v>-55.9</v>
      </c>
      <c r="N133">
        <v>-52.15</v>
      </c>
      <c r="O133">
        <v>11.45</v>
      </c>
      <c r="P133" t="b">
        <v>1</v>
      </c>
      <c r="Q133">
        <v>0</v>
      </c>
      <c r="R133">
        <v>1636</v>
      </c>
      <c r="U133" t="s">
        <v>910</v>
      </c>
      <c r="V133" t="s">
        <v>1281</v>
      </c>
      <c r="W133">
        <v>0</v>
      </c>
      <c r="Y133" t="s">
        <v>1642</v>
      </c>
      <c r="Z133">
        <v>0</v>
      </c>
      <c r="AA133">
        <v>1292</v>
      </c>
      <c r="AB133">
        <v>18325</v>
      </c>
      <c r="AC133" t="s">
        <v>1994</v>
      </c>
      <c r="AD133">
        <v>50.81</v>
      </c>
      <c r="AE133" t="s">
        <v>2365</v>
      </c>
      <c r="AF133" t="s">
        <v>2736</v>
      </c>
      <c r="AG133">
        <v>1105</v>
      </c>
      <c r="AH133">
        <v>36</v>
      </c>
      <c r="AK133" t="b">
        <v>1</v>
      </c>
    </row>
    <row r="134" spans="1:37">
      <c r="A134" s="1" t="s">
        <v>168</v>
      </c>
      <c r="B134" t="s">
        <v>539</v>
      </c>
      <c r="C134">
        <f>HYPERLINK("https://finance.naver.com/item/coinfo.nhn?code=049070", "A049070")</f>
        <v>0</v>
      </c>
      <c r="D134">
        <f>HYPERLINK("http://comp.fnguide.com/SVO2/ASP/SVD_Consensus.asp?pGB=1&amp;gicode=A049070&amp;cID=&amp;MenuYn=Y&amp;ReportGB=&amp;NewMenuID=108&amp;stkGb=701", "인탑스")</f>
        <v>0</v>
      </c>
      <c r="E134">
        <v>3</v>
      </c>
      <c r="F134">
        <v>34100</v>
      </c>
      <c r="G134">
        <v>0.17</v>
      </c>
      <c r="H134">
        <v>7.38</v>
      </c>
      <c r="I134">
        <v>39050</v>
      </c>
      <c r="J134">
        <v>35718</v>
      </c>
      <c r="K134">
        <v>34603</v>
      </c>
      <c r="L134">
        <v>-14.52</v>
      </c>
      <c r="M134">
        <v>-4.74</v>
      </c>
      <c r="N134">
        <v>-1.48</v>
      </c>
      <c r="O134">
        <v>11.9</v>
      </c>
      <c r="P134" t="b">
        <v>1</v>
      </c>
      <c r="Q134">
        <v>3</v>
      </c>
      <c r="R134">
        <v>4371</v>
      </c>
      <c r="S134">
        <v>6186</v>
      </c>
      <c r="T134">
        <v>41.5</v>
      </c>
      <c r="U134" t="s">
        <v>911</v>
      </c>
      <c r="V134" t="s">
        <v>1282</v>
      </c>
      <c r="W134">
        <v>43.94420356309485</v>
      </c>
      <c r="X134">
        <v>102.9</v>
      </c>
      <c r="Y134" t="s">
        <v>1643</v>
      </c>
      <c r="Z134">
        <v>55.77887269823852</v>
      </c>
      <c r="AA134">
        <v>5865</v>
      </c>
      <c r="AB134">
        <v>460504</v>
      </c>
      <c r="AC134" t="s">
        <v>1995</v>
      </c>
      <c r="AD134">
        <v>37.91</v>
      </c>
      <c r="AE134" t="s">
        <v>2366</v>
      </c>
      <c r="AF134" t="s">
        <v>2737</v>
      </c>
      <c r="AG134">
        <v>10520</v>
      </c>
      <c r="AH134">
        <v>876</v>
      </c>
      <c r="AI134">
        <v>965439</v>
      </c>
      <c r="AJ134">
        <v>1.46</v>
      </c>
      <c r="AK134" t="b">
        <v>1</v>
      </c>
    </row>
    <row r="135" spans="1:37">
      <c r="A135" s="1" t="s">
        <v>169</v>
      </c>
      <c r="B135" t="s">
        <v>540</v>
      </c>
      <c r="C135">
        <f>HYPERLINK("https://finance.naver.com/item/coinfo.nhn?code=211050", "A211050")</f>
        <v>0</v>
      </c>
      <c r="D135">
        <f>HYPERLINK("http://comp.fnguide.com/SVO2/ASP/SVD_Consensus.asp?pGB=1&amp;gicode=A211050&amp;cID=&amp;MenuYn=Y&amp;ReportGB=&amp;NewMenuID=108&amp;stkGb=701", "인카금융서비스")</f>
        <v>0</v>
      </c>
      <c r="E135">
        <v>3</v>
      </c>
      <c r="F135">
        <v>7150</v>
      </c>
      <c r="G135">
        <v>0</v>
      </c>
      <c r="H135">
        <v>5.12</v>
      </c>
      <c r="I135">
        <v>19513</v>
      </c>
      <c r="J135">
        <v>11019</v>
      </c>
      <c r="K135">
        <v>8179</v>
      </c>
      <c r="L135">
        <v>-172.91</v>
      </c>
      <c r="M135">
        <v>-54.12</v>
      </c>
      <c r="N135">
        <v>-14.39</v>
      </c>
      <c r="O135">
        <v>48.56</v>
      </c>
      <c r="P135" t="b">
        <v>0</v>
      </c>
      <c r="Q135">
        <v>0</v>
      </c>
      <c r="R135">
        <v>1824</v>
      </c>
      <c r="U135" t="s">
        <v>912</v>
      </c>
      <c r="V135" t="s">
        <v>1283</v>
      </c>
      <c r="W135">
        <v>0</v>
      </c>
      <c r="Y135" t="s">
        <v>1644</v>
      </c>
      <c r="Z135">
        <v>0</v>
      </c>
      <c r="AA135">
        <v>735</v>
      </c>
      <c r="AB135">
        <v>114396</v>
      </c>
      <c r="AC135" t="s">
        <v>1996</v>
      </c>
      <c r="AD135">
        <v>40.32</v>
      </c>
      <c r="AE135" t="s">
        <v>2367</v>
      </c>
      <c r="AF135" t="s">
        <v>2738</v>
      </c>
      <c r="AG135">
        <v>3146</v>
      </c>
      <c r="AH135">
        <v>211</v>
      </c>
      <c r="AK135" t="b">
        <v>1</v>
      </c>
    </row>
    <row r="136" spans="1:37">
      <c r="A136" s="1" t="s">
        <v>170</v>
      </c>
      <c r="B136" t="s">
        <v>541</v>
      </c>
      <c r="C136">
        <f>HYPERLINK("https://finance.naver.com/item/coinfo.nhn?code=079950", "A079950")</f>
        <v>0</v>
      </c>
      <c r="D136">
        <f>HYPERLINK("http://comp.fnguide.com/SVO2/ASP/SVD_Consensus.asp?pGB=1&amp;gicode=A079950&amp;cID=&amp;MenuYn=Y&amp;ReportGB=&amp;NewMenuID=108&amp;stkGb=701", "인베니아")</f>
        <v>0</v>
      </c>
      <c r="E136">
        <v>3</v>
      </c>
      <c r="F136">
        <v>2140</v>
      </c>
      <c r="G136">
        <v>0</v>
      </c>
      <c r="H136">
        <v>5.04</v>
      </c>
      <c r="I136">
        <v>3276</v>
      </c>
      <c r="J136">
        <v>2818</v>
      </c>
      <c r="K136">
        <v>2664</v>
      </c>
      <c r="L136">
        <v>-53.09</v>
      </c>
      <c r="M136">
        <v>-31.67</v>
      </c>
      <c r="N136">
        <v>-24.51</v>
      </c>
      <c r="O136">
        <v>13.49</v>
      </c>
      <c r="P136" t="b">
        <v>1</v>
      </c>
      <c r="Q136">
        <v>0</v>
      </c>
      <c r="R136">
        <v>533</v>
      </c>
      <c r="U136" t="s">
        <v>913</v>
      </c>
      <c r="V136" t="s">
        <v>1284</v>
      </c>
      <c r="W136">
        <v>0</v>
      </c>
      <c r="X136">
        <v>116.8</v>
      </c>
      <c r="Y136" t="s">
        <v>1645</v>
      </c>
      <c r="Z136">
        <v>0</v>
      </c>
      <c r="AA136">
        <v>496</v>
      </c>
      <c r="AB136">
        <v>93954</v>
      </c>
      <c r="AC136" t="s">
        <v>1997</v>
      </c>
      <c r="AD136">
        <v>28.93</v>
      </c>
      <c r="AE136" t="s">
        <v>2368</v>
      </c>
      <c r="AF136" t="s">
        <v>2739</v>
      </c>
      <c r="AG136">
        <v>1343</v>
      </c>
      <c r="AH136">
        <v>93</v>
      </c>
      <c r="AI136">
        <v>1160000</v>
      </c>
      <c r="AK136" t="b">
        <v>1</v>
      </c>
    </row>
    <row r="137" spans="1:37">
      <c r="A137" s="1" t="s">
        <v>171</v>
      </c>
      <c r="B137" t="s">
        <v>542</v>
      </c>
      <c r="C137">
        <f>HYPERLINK("https://finance.naver.com/item/coinfo.nhn?code=078020", "A078020")</f>
        <v>0</v>
      </c>
      <c r="D137">
        <f>HYPERLINK("http://comp.fnguide.com/SVO2/ASP/SVD_Consensus.asp?pGB=1&amp;gicode=A078020&amp;cID=&amp;MenuYn=Y&amp;ReportGB=&amp;NewMenuID=108&amp;stkGb=701", "이베스트투자증권")</f>
        <v>0</v>
      </c>
      <c r="E137">
        <v>3</v>
      </c>
      <c r="F137">
        <v>6690</v>
      </c>
      <c r="G137">
        <v>0</v>
      </c>
      <c r="H137">
        <v>3.67</v>
      </c>
      <c r="I137">
        <v>33361</v>
      </c>
      <c r="J137">
        <v>25159</v>
      </c>
      <c r="K137">
        <v>22416</v>
      </c>
      <c r="L137">
        <v>-398.67</v>
      </c>
      <c r="M137">
        <v>-276.08</v>
      </c>
      <c r="N137">
        <v>-235.07</v>
      </c>
      <c r="O137">
        <v>18.2</v>
      </c>
      <c r="P137" t="b">
        <v>1</v>
      </c>
      <c r="Q137">
        <v>0</v>
      </c>
      <c r="R137">
        <v>2233</v>
      </c>
      <c r="U137" t="s">
        <v>914</v>
      </c>
      <c r="V137" t="s">
        <v>1285</v>
      </c>
      <c r="W137">
        <v>0</v>
      </c>
      <c r="X137">
        <v>9.6</v>
      </c>
      <c r="Y137" t="s">
        <v>1646</v>
      </c>
      <c r="Z137">
        <v>13.65426128497111</v>
      </c>
      <c r="AA137">
        <v>3712</v>
      </c>
      <c r="AB137">
        <v>35573</v>
      </c>
      <c r="AC137" t="s">
        <v>1998</v>
      </c>
      <c r="AD137">
        <v>62.45</v>
      </c>
      <c r="AE137" t="s">
        <v>2369</v>
      </c>
      <c r="AF137" t="s">
        <v>2740</v>
      </c>
      <c r="AG137">
        <v>4558</v>
      </c>
      <c r="AH137">
        <v>2258</v>
      </c>
      <c r="AI137">
        <v>5075498</v>
      </c>
      <c r="AJ137">
        <v>7.33</v>
      </c>
      <c r="AK137" t="b">
        <v>1</v>
      </c>
    </row>
    <row r="138" spans="1:37">
      <c r="A138" s="1" t="s">
        <v>172</v>
      </c>
      <c r="B138" t="s">
        <v>543</v>
      </c>
      <c r="C138">
        <f>HYPERLINK("https://finance.naver.com/item/coinfo.nhn?code=067920", "A067920")</f>
        <v>0</v>
      </c>
      <c r="D138">
        <f>HYPERLINK("http://comp.fnguide.com/SVO2/ASP/SVD_Consensus.asp?pGB=1&amp;gicode=A067920&amp;cID=&amp;MenuYn=Y&amp;ReportGB=&amp;NewMenuID=108&amp;stkGb=701", "이글루")</f>
        <v>0</v>
      </c>
      <c r="E138">
        <v>3</v>
      </c>
      <c r="F138">
        <v>5240</v>
      </c>
      <c r="G138">
        <v>0</v>
      </c>
      <c r="H138">
        <v>10.7</v>
      </c>
      <c r="I138">
        <v>6371</v>
      </c>
      <c r="J138">
        <v>6233</v>
      </c>
      <c r="K138">
        <v>6187</v>
      </c>
      <c r="L138">
        <v>-21.58</v>
      </c>
      <c r="M138">
        <v>-18.95</v>
      </c>
      <c r="N138">
        <v>-18.06</v>
      </c>
      <c r="O138">
        <v>10.46</v>
      </c>
      <c r="P138" t="b">
        <v>1</v>
      </c>
      <c r="Q138">
        <v>0</v>
      </c>
      <c r="R138">
        <v>664</v>
      </c>
      <c r="U138" t="s">
        <v>915</v>
      </c>
      <c r="V138" t="s">
        <v>1286</v>
      </c>
      <c r="W138">
        <v>0</v>
      </c>
      <c r="X138">
        <v>-93</v>
      </c>
      <c r="Y138" t="s">
        <v>1647</v>
      </c>
      <c r="Z138">
        <v>-34.70971070548838</v>
      </c>
      <c r="AA138">
        <v>576</v>
      </c>
      <c r="AB138">
        <v>33013</v>
      </c>
      <c r="AC138" t="s">
        <v>1999</v>
      </c>
      <c r="AD138">
        <v>22.56</v>
      </c>
      <c r="AE138" t="s">
        <v>2370</v>
      </c>
      <c r="AF138" t="s">
        <v>2741</v>
      </c>
      <c r="AG138">
        <v>920</v>
      </c>
      <c r="AH138">
        <v>57</v>
      </c>
      <c r="AI138">
        <v>586350</v>
      </c>
      <c r="AJ138">
        <v>2.25</v>
      </c>
      <c r="AK138" t="b">
        <v>1</v>
      </c>
    </row>
    <row r="139" spans="1:37">
      <c r="A139" s="1" t="s">
        <v>173</v>
      </c>
      <c r="B139" t="s">
        <v>544</v>
      </c>
      <c r="C139">
        <f>HYPERLINK("https://finance.naver.com/item/coinfo.nhn?code=095270", "A095270")</f>
        <v>0</v>
      </c>
      <c r="D139">
        <f>HYPERLINK("http://comp.fnguide.com/SVO2/ASP/SVD_Consensus.asp?pGB=1&amp;gicode=A095270&amp;cID=&amp;MenuYn=Y&amp;ReportGB=&amp;NewMenuID=108&amp;stkGb=701", "웨이브일렉트로")</f>
        <v>0</v>
      </c>
      <c r="E139">
        <v>3</v>
      </c>
      <c r="F139">
        <v>5480</v>
      </c>
      <c r="G139">
        <v>0</v>
      </c>
      <c r="H139">
        <v>1.35</v>
      </c>
      <c r="I139">
        <v>34066</v>
      </c>
      <c r="J139">
        <v>18283</v>
      </c>
      <c r="K139">
        <v>13004</v>
      </c>
      <c r="L139">
        <v>-521.65</v>
      </c>
      <c r="M139">
        <v>-233.62</v>
      </c>
      <c r="N139">
        <v>-137.3</v>
      </c>
      <c r="O139">
        <v>64.47</v>
      </c>
      <c r="P139" t="b">
        <v>1</v>
      </c>
      <c r="Q139">
        <v>0</v>
      </c>
      <c r="R139">
        <v>4040</v>
      </c>
      <c r="U139" t="s">
        <v>916</v>
      </c>
      <c r="V139" t="s">
        <v>1287</v>
      </c>
      <c r="W139">
        <v>0</v>
      </c>
      <c r="Y139" t="s">
        <v>1534</v>
      </c>
      <c r="Z139">
        <v>0</v>
      </c>
      <c r="AA139">
        <v>820</v>
      </c>
      <c r="AB139">
        <v>29563</v>
      </c>
      <c r="AC139" t="s">
        <v>2000</v>
      </c>
      <c r="AD139">
        <v>19.72</v>
      </c>
      <c r="AE139" t="s">
        <v>2371</v>
      </c>
      <c r="AF139" t="s">
        <v>2742</v>
      </c>
      <c r="AG139">
        <v>475</v>
      </c>
      <c r="AH139">
        <v>10</v>
      </c>
      <c r="AI139">
        <v>150298</v>
      </c>
      <c r="AK139" t="b">
        <v>1</v>
      </c>
    </row>
    <row r="140" spans="1:37">
      <c r="A140" s="1" t="s">
        <v>174</v>
      </c>
      <c r="B140" t="s">
        <v>545</v>
      </c>
      <c r="C140">
        <f>HYPERLINK("https://finance.naver.com/item/coinfo.nhn?code=024800", "A024800")</f>
        <v>0</v>
      </c>
      <c r="D140">
        <f>HYPERLINK("http://comp.fnguide.com/SVO2/ASP/SVD_Consensus.asp?pGB=1&amp;gicode=A024800&amp;cID=&amp;MenuYn=Y&amp;ReportGB=&amp;NewMenuID=108&amp;stkGb=701", "유성티엔에스")</f>
        <v>0</v>
      </c>
      <c r="E140">
        <v>3</v>
      </c>
      <c r="F140">
        <v>2615</v>
      </c>
      <c r="G140">
        <v>0</v>
      </c>
      <c r="H140">
        <v>2.98</v>
      </c>
      <c r="I140">
        <v>16436</v>
      </c>
      <c r="J140">
        <v>13296</v>
      </c>
      <c r="K140">
        <v>12245</v>
      </c>
      <c r="L140">
        <v>-528.54</v>
      </c>
      <c r="M140">
        <v>-408.44</v>
      </c>
      <c r="N140">
        <v>-368.28</v>
      </c>
      <c r="O140">
        <v>15.42</v>
      </c>
      <c r="P140" t="b">
        <v>1</v>
      </c>
      <c r="Q140">
        <v>0</v>
      </c>
      <c r="R140">
        <v>1055</v>
      </c>
      <c r="U140" t="s">
        <v>917</v>
      </c>
      <c r="V140" t="s">
        <v>1288</v>
      </c>
      <c r="W140">
        <v>0</v>
      </c>
      <c r="X140">
        <v>-71</v>
      </c>
      <c r="Y140" t="s">
        <v>1648</v>
      </c>
      <c r="Z140">
        <v>-9.12518821535202</v>
      </c>
      <c r="AA140">
        <v>818</v>
      </c>
      <c r="AB140">
        <v>54081</v>
      </c>
      <c r="AC140" t="s">
        <v>2001</v>
      </c>
      <c r="AD140">
        <v>52.36</v>
      </c>
      <c r="AE140" t="s">
        <v>2372</v>
      </c>
      <c r="AF140" t="s">
        <v>2743</v>
      </c>
      <c r="AG140">
        <v>2805</v>
      </c>
      <c r="AH140">
        <v>18</v>
      </c>
      <c r="AI140">
        <v>3652884</v>
      </c>
      <c r="AK140" t="b">
        <v>1</v>
      </c>
    </row>
    <row r="141" spans="1:37">
      <c r="A141" s="1" t="s">
        <v>175</v>
      </c>
      <c r="B141" t="s">
        <v>546</v>
      </c>
      <c r="C141">
        <f>HYPERLINK("https://finance.naver.com/item/coinfo.nhn?code=036200", "A036200")</f>
        <v>0</v>
      </c>
      <c r="D141">
        <f>HYPERLINK("http://comp.fnguide.com/SVO2/ASP/SVD_Consensus.asp?pGB=1&amp;gicode=A036200&amp;cID=&amp;MenuYn=Y&amp;ReportGB=&amp;NewMenuID=108&amp;stkGb=701", "유니셈")</f>
        <v>0</v>
      </c>
      <c r="E141">
        <v>3</v>
      </c>
      <c r="F141">
        <v>7650</v>
      </c>
      <c r="G141">
        <v>0.62</v>
      </c>
      <c r="H141">
        <v>11.73</v>
      </c>
      <c r="I141">
        <v>12215</v>
      </c>
      <c r="J141">
        <v>8925</v>
      </c>
      <c r="K141">
        <v>7825</v>
      </c>
      <c r="L141">
        <v>-59.68</v>
      </c>
      <c r="M141">
        <v>-16.67</v>
      </c>
      <c r="N141">
        <v>-2.29</v>
      </c>
      <c r="O141">
        <v>19.73</v>
      </c>
      <c r="P141" t="b">
        <v>1</v>
      </c>
      <c r="Q141">
        <v>0</v>
      </c>
      <c r="R141">
        <v>1244</v>
      </c>
      <c r="S141">
        <v>1207</v>
      </c>
      <c r="T141">
        <v>-3</v>
      </c>
      <c r="U141" t="s">
        <v>918</v>
      </c>
      <c r="V141" t="s">
        <v>1289</v>
      </c>
      <c r="W141">
        <v>18.86599679418952</v>
      </c>
      <c r="X141">
        <v>-54.7</v>
      </c>
      <c r="Y141" t="s">
        <v>1649</v>
      </c>
      <c r="Z141">
        <v>-6.025729642107514</v>
      </c>
      <c r="AA141">
        <v>2346</v>
      </c>
      <c r="AB141">
        <v>283846</v>
      </c>
      <c r="AC141" t="s">
        <v>2002</v>
      </c>
      <c r="AD141">
        <v>29.03</v>
      </c>
      <c r="AE141" t="s">
        <v>2373</v>
      </c>
      <c r="AF141" t="s">
        <v>2744</v>
      </c>
      <c r="AG141">
        <v>2961</v>
      </c>
      <c r="AH141">
        <v>437</v>
      </c>
      <c r="AI141">
        <v>1248170</v>
      </c>
      <c r="AJ141">
        <v>0.82</v>
      </c>
      <c r="AK141" t="b">
        <v>1</v>
      </c>
    </row>
    <row r="142" spans="1:37">
      <c r="A142" s="1" t="s">
        <v>176</v>
      </c>
      <c r="B142" t="s">
        <v>547</v>
      </c>
      <c r="C142">
        <f>HYPERLINK("https://finance.naver.com/item/coinfo.nhn?code=900340", "A900340")</f>
        <v>0</v>
      </c>
      <c r="D142">
        <f>HYPERLINK("http://comp.fnguide.com/SVO2/ASP/SVD_Consensus.asp?pGB=1&amp;gicode=A900340&amp;cID=&amp;MenuYn=Y&amp;ReportGB=&amp;NewMenuID=108&amp;stkGb=701", "윙입푸드")</f>
        <v>0</v>
      </c>
      <c r="E142">
        <v>3</v>
      </c>
      <c r="F142">
        <v>1220</v>
      </c>
      <c r="G142">
        <v>0</v>
      </c>
      <c r="H142">
        <v>2.84</v>
      </c>
      <c r="I142">
        <v>4076</v>
      </c>
      <c r="J142">
        <v>3632</v>
      </c>
      <c r="K142">
        <v>3483</v>
      </c>
      <c r="L142">
        <v>-234.12</v>
      </c>
      <c r="M142">
        <v>-197.68</v>
      </c>
      <c r="N142">
        <v>-185.5</v>
      </c>
      <c r="O142">
        <v>12.54</v>
      </c>
      <c r="P142" t="b">
        <v>0</v>
      </c>
      <c r="Q142">
        <v>0</v>
      </c>
      <c r="R142">
        <v>396</v>
      </c>
      <c r="U142" t="s">
        <v>919</v>
      </c>
      <c r="V142" t="s">
        <v>1290</v>
      </c>
      <c r="W142">
        <v>0</v>
      </c>
      <c r="X142">
        <v>7.6</v>
      </c>
      <c r="Y142" t="s">
        <v>1650</v>
      </c>
      <c r="Z142">
        <v>-5.264373253429666</v>
      </c>
      <c r="AA142">
        <v>585</v>
      </c>
      <c r="AB142">
        <v>622091</v>
      </c>
      <c r="AC142" t="s">
        <v>2003</v>
      </c>
      <c r="AD142">
        <v>47.42</v>
      </c>
      <c r="AE142" t="s">
        <v>2374</v>
      </c>
      <c r="AF142" t="s">
        <v>2745</v>
      </c>
      <c r="AG142">
        <v>1534</v>
      </c>
      <c r="AH142">
        <v>220</v>
      </c>
      <c r="AK142" t="b">
        <v>1</v>
      </c>
    </row>
    <row r="143" spans="1:37">
      <c r="A143" s="1" t="s">
        <v>177</v>
      </c>
      <c r="B143" t="s">
        <v>548</v>
      </c>
      <c r="C143">
        <f>HYPERLINK("https://finance.naver.com/item/coinfo.nhn?code=044340", "A044340")</f>
        <v>0</v>
      </c>
      <c r="D143">
        <f>HYPERLINK("http://comp.fnguide.com/SVO2/ASP/SVD_Consensus.asp?pGB=1&amp;gicode=A044340&amp;cID=&amp;MenuYn=Y&amp;ReportGB=&amp;NewMenuID=108&amp;stkGb=701", "위닉스")</f>
        <v>0</v>
      </c>
      <c r="E143">
        <v>3</v>
      </c>
      <c r="F143">
        <v>12350</v>
      </c>
      <c r="G143">
        <v>0</v>
      </c>
      <c r="H143">
        <v>18.25</v>
      </c>
      <c r="I143">
        <v>23089</v>
      </c>
      <c r="J143">
        <v>17319</v>
      </c>
      <c r="K143">
        <v>15389</v>
      </c>
      <c r="L143">
        <v>-86.95999999999999</v>
      </c>
      <c r="M143">
        <v>-40.23</v>
      </c>
      <c r="N143">
        <v>-24.61</v>
      </c>
      <c r="O143">
        <v>18.45</v>
      </c>
      <c r="P143" t="b">
        <v>1</v>
      </c>
      <c r="Q143">
        <v>0</v>
      </c>
      <c r="R143">
        <v>1118</v>
      </c>
      <c r="U143" t="s">
        <v>920</v>
      </c>
      <c r="V143" t="s">
        <v>1291</v>
      </c>
      <c r="W143">
        <v>0</v>
      </c>
      <c r="X143">
        <v>-75.90000000000001</v>
      </c>
      <c r="Y143" t="s">
        <v>1651</v>
      </c>
      <c r="Z143">
        <v>-17.19934419678886</v>
      </c>
      <c r="AA143">
        <v>2207</v>
      </c>
      <c r="AB143">
        <v>16705</v>
      </c>
      <c r="AC143" t="s">
        <v>2004</v>
      </c>
      <c r="AD143">
        <v>47.92</v>
      </c>
      <c r="AE143" t="s">
        <v>2375</v>
      </c>
      <c r="AF143" t="s">
        <v>2746</v>
      </c>
      <c r="AG143">
        <v>4002</v>
      </c>
      <c r="AH143">
        <v>256</v>
      </c>
      <c r="AI143">
        <v>2065521</v>
      </c>
      <c r="AJ143">
        <v>2.45</v>
      </c>
      <c r="AK143" t="b">
        <v>1</v>
      </c>
    </row>
    <row r="144" spans="1:37">
      <c r="A144" s="1" t="s">
        <v>178</v>
      </c>
      <c r="B144" t="s">
        <v>549</v>
      </c>
      <c r="C144">
        <f>HYPERLINK("https://finance.naver.com/item/coinfo.nhn?code=377460", "A377460")</f>
        <v>0</v>
      </c>
      <c r="D144">
        <f>HYPERLINK("http://comp.fnguide.com/SVO2/ASP/SVD_Consensus.asp?pGB=1&amp;gicode=A377460&amp;cID=&amp;MenuYn=Y&amp;ReportGB=&amp;NewMenuID=108&amp;stkGb=701", "위니아에이드")</f>
        <v>0</v>
      </c>
      <c r="E144">
        <v>3</v>
      </c>
      <c r="F144">
        <v>9750</v>
      </c>
      <c r="G144">
        <v>0</v>
      </c>
      <c r="I144">
        <v>22190</v>
      </c>
      <c r="J144">
        <v>13537</v>
      </c>
      <c r="K144">
        <v>10643</v>
      </c>
      <c r="L144">
        <v>-127.59</v>
      </c>
      <c r="M144">
        <v>-38.84</v>
      </c>
      <c r="N144">
        <v>-9.16</v>
      </c>
      <c r="O144">
        <v>34.71</v>
      </c>
      <c r="P144" t="b">
        <v>0</v>
      </c>
      <c r="Q144">
        <v>0</v>
      </c>
      <c r="R144">
        <v>2501</v>
      </c>
      <c r="U144" t="s">
        <v>921</v>
      </c>
      <c r="V144" t="s">
        <v>1292</v>
      </c>
      <c r="W144">
        <v>0</v>
      </c>
      <c r="X144">
        <v>-37.9</v>
      </c>
      <c r="Y144" t="s">
        <v>1652</v>
      </c>
      <c r="Z144">
        <v>28.08519596936909</v>
      </c>
      <c r="AA144">
        <v>1501</v>
      </c>
      <c r="AB144">
        <v>557234</v>
      </c>
      <c r="AC144" t="s">
        <v>2005</v>
      </c>
      <c r="AD144">
        <v>64.56</v>
      </c>
      <c r="AE144" t="s">
        <v>2376</v>
      </c>
      <c r="AF144" t="s">
        <v>2699</v>
      </c>
      <c r="AG144">
        <v>4865</v>
      </c>
      <c r="AH144">
        <v>344</v>
      </c>
      <c r="AK144" t="b">
        <v>1</v>
      </c>
    </row>
    <row r="145" spans="1:38">
      <c r="A145" s="1" t="s">
        <v>179</v>
      </c>
      <c r="B145" t="s">
        <v>550</v>
      </c>
      <c r="C145">
        <f>HYPERLINK("https://finance.naver.com/item/coinfo.nhn?code=069080", "A069080")</f>
        <v>0</v>
      </c>
      <c r="D145">
        <f>HYPERLINK("http://comp.fnguide.com/SVO2/ASP/SVD_Consensus.asp?pGB=1&amp;gicode=A069080&amp;cID=&amp;MenuYn=Y&amp;ReportGB=&amp;NewMenuID=108&amp;stkGb=701", "웹젠")</f>
        <v>0</v>
      </c>
      <c r="E145">
        <v>3</v>
      </c>
      <c r="F145">
        <v>19500</v>
      </c>
      <c r="G145">
        <v>0.5600000000000001</v>
      </c>
      <c r="H145">
        <v>11.75</v>
      </c>
      <c r="I145">
        <v>31755</v>
      </c>
      <c r="J145">
        <v>23715</v>
      </c>
      <c r="K145">
        <v>21026</v>
      </c>
      <c r="L145">
        <v>-62.85</v>
      </c>
      <c r="M145">
        <v>-21.62</v>
      </c>
      <c r="N145">
        <v>-7.83</v>
      </c>
      <c r="O145">
        <v>18.66</v>
      </c>
      <c r="P145" t="b">
        <v>1</v>
      </c>
      <c r="Q145">
        <v>0</v>
      </c>
      <c r="R145">
        <v>2460</v>
      </c>
      <c r="S145">
        <v>2142</v>
      </c>
      <c r="T145">
        <v>-12.9</v>
      </c>
      <c r="U145" t="s">
        <v>922</v>
      </c>
      <c r="V145" t="s">
        <v>1293</v>
      </c>
      <c r="W145">
        <v>21.08395912329257</v>
      </c>
      <c r="X145">
        <v>-40.2</v>
      </c>
      <c r="Y145" t="s">
        <v>1653</v>
      </c>
      <c r="Z145">
        <v>11.39970537218047</v>
      </c>
      <c r="AA145">
        <v>6886</v>
      </c>
      <c r="AB145">
        <v>64798</v>
      </c>
      <c r="AC145" t="s">
        <v>2006</v>
      </c>
      <c r="AD145">
        <v>27.19</v>
      </c>
      <c r="AE145" t="s">
        <v>2377</v>
      </c>
      <c r="AF145" t="s">
        <v>2747</v>
      </c>
      <c r="AG145">
        <v>2848</v>
      </c>
      <c r="AH145">
        <v>1030</v>
      </c>
      <c r="AI145">
        <v>5844069</v>
      </c>
      <c r="AK145" t="b">
        <v>1</v>
      </c>
    </row>
    <row r="146" spans="1:38">
      <c r="A146" s="1" t="s">
        <v>180</v>
      </c>
      <c r="B146" t="s">
        <v>551</v>
      </c>
      <c r="C146">
        <f>HYPERLINK("https://finance.naver.com/item/coinfo.nhn?code=023460", "A023460")</f>
        <v>0</v>
      </c>
      <c r="D146">
        <f>HYPERLINK("http://comp.fnguide.com/SVO2/ASP/SVD_Consensus.asp?pGB=1&amp;gicode=A023460&amp;cID=&amp;MenuYn=Y&amp;ReportGB=&amp;NewMenuID=108&amp;stkGb=701", "CNH")</f>
        <v>0</v>
      </c>
      <c r="E146">
        <v>3</v>
      </c>
      <c r="F146">
        <v>1910</v>
      </c>
      <c r="G146">
        <v>0</v>
      </c>
      <c r="H146">
        <v>58.68</v>
      </c>
      <c r="I146">
        <v>4374</v>
      </c>
      <c r="J146">
        <v>4084</v>
      </c>
      <c r="K146">
        <v>3986</v>
      </c>
      <c r="L146">
        <v>-129</v>
      </c>
      <c r="M146">
        <v>-113.8</v>
      </c>
      <c r="N146">
        <v>-108.71</v>
      </c>
      <c r="O146">
        <v>11.43</v>
      </c>
      <c r="P146" t="b">
        <v>0</v>
      </c>
      <c r="Q146">
        <v>0</v>
      </c>
      <c r="R146">
        <v>43</v>
      </c>
      <c r="U146" t="s">
        <v>923</v>
      </c>
      <c r="V146" t="s">
        <v>1294</v>
      </c>
      <c r="W146">
        <v>0</v>
      </c>
      <c r="Y146" t="s">
        <v>1536</v>
      </c>
      <c r="Z146">
        <v>0</v>
      </c>
      <c r="AA146">
        <v>711</v>
      </c>
      <c r="AB146">
        <v>13197</v>
      </c>
      <c r="AC146" t="s">
        <v>2007</v>
      </c>
      <c r="AD146">
        <v>66.59</v>
      </c>
      <c r="AE146" t="s">
        <v>2378</v>
      </c>
      <c r="AF146" t="s">
        <v>2748</v>
      </c>
      <c r="AG146">
        <v>328</v>
      </c>
      <c r="AH146">
        <v>-18</v>
      </c>
      <c r="AI146">
        <v>2763619</v>
      </c>
      <c r="AJ146">
        <v>0.79</v>
      </c>
      <c r="AK146" t="b">
        <v>1</v>
      </c>
    </row>
    <row r="147" spans="1:38">
      <c r="A147" s="1" t="s">
        <v>181</v>
      </c>
      <c r="B147" t="s">
        <v>552</v>
      </c>
      <c r="C147">
        <f>HYPERLINK("https://finance.naver.com/item/coinfo.nhn?code=048470", "A048470")</f>
        <v>0</v>
      </c>
      <c r="D147">
        <f>HYPERLINK("http://comp.fnguide.com/SVO2/ASP/SVD_Consensus.asp?pGB=1&amp;gicode=A048470&amp;cID=&amp;MenuYn=Y&amp;ReportGB=&amp;NewMenuID=108&amp;stkGb=701", "대동스틸")</f>
        <v>0</v>
      </c>
      <c r="E147">
        <v>3</v>
      </c>
      <c r="F147">
        <v>5450</v>
      </c>
      <c r="G147">
        <v>0</v>
      </c>
      <c r="H147">
        <v>4.02</v>
      </c>
      <c r="I147">
        <v>8165</v>
      </c>
      <c r="J147">
        <v>7932</v>
      </c>
      <c r="K147">
        <v>7854</v>
      </c>
      <c r="L147">
        <v>-49.82</v>
      </c>
      <c r="M147">
        <v>-45.54</v>
      </c>
      <c r="N147">
        <v>-44.11</v>
      </c>
      <c r="O147">
        <v>10.6</v>
      </c>
      <c r="P147" t="b">
        <v>1</v>
      </c>
      <c r="Q147">
        <v>0</v>
      </c>
      <c r="R147">
        <v>1452</v>
      </c>
      <c r="U147" t="s">
        <v>924</v>
      </c>
      <c r="V147" t="s">
        <v>1295</v>
      </c>
      <c r="W147">
        <v>0</v>
      </c>
      <c r="X147">
        <v>-60.3</v>
      </c>
      <c r="Y147" t="s">
        <v>1654</v>
      </c>
      <c r="Z147">
        <v>-0.3012565994273908</v>
      </c>
      <c r="AA147">
        <v>545</v>
      </c>
      <c r="AB147">
        <v>57812</v>
      </c>
      <c r="AC147" t="s">
        <v>2008</v>
      </c>
      <c r="AD147">
        <v>33.68</v>
      </c>
      <c r="AE147" t="s">
        <v>2379</v>
      </c>
      <c r="AF147" t="s">
        <v>2749</v>
      </c>
      <c r="AG147">
        <v>1654</v>
      </c>
      <c r="AH147">
        <v>176</v>
      </c>
      <c r="AI147">
        <v>78109</v>
      </c>
      <c r="AJ147">
        <v>0.86</v>
      </c>
      <c r="AK147" t="b">
        <v>1</v>
      </c>
    </row>
    <row r="148" spans="1:38">
      <c r="A148" s="1" t="s">
        <v>182</v>
      </c>
      <c r="B148" t="s">
        <v>553</v>
      </c>
      <c r="C148">
        <f>HYPERLINK("https://finance.naver.com/item/coinfo.nhn?code=298020", "A298020")</f>
        <v>0</v>
      </c>
      <c r="D148">
        <f>HYPERLINK("http://comp.fnguide.com/SVO2/ASP/SVD_Consensus.asp?pGB=1&amp;gicode=A298020&amp;cID=&amp;MenuYn=Y&amp;ReportGB=&amp;NewMenuID=108&amp;stkGb=701", "효성티앤씨")</f>
        <v>0</v>
      </c>
      <c r="E148">
        <v>3</v>
      </c>
      <c r="F148">
        <v>344500</v>
      </c>
      <c r="G148">
        <v>0.05</v>
      </c>
      <c r="H148">
        <v>2.93</v>
      </c>
      <c r="I148">
        <v>1636023</v>
      </c>
      <c r="J148">
        <v>918708</v>
      </c>
      <c r="K148">
        <v>678808</v>
      </c>
      <c r="L148">
        <v>-374.9</v>
      </c>
      <c r="M148">
        <v>-166.68</v>
      </c>
      <c r="N148">
        <v>-97.04000000000001</v>
      </c>
      <c r="O148">
        <v>49.95</v>
      </c>
      <c r="P148" t="b">
        <v>1</v>
      </c>
      <c r="Q148">
        <v>0</v>
      </c>
      <c r="R148">
        <v>178008</v>
      </c>
      <c r="S148">
        <v>87734</v>
      </c>
      <c r="T148">
        <v>-50.7</v>
      </c>
      <c r="U148" t="s">
        <v>925</v>
      </c>
      <c r="V148" t="s">
        <v>1296</v>
      </c>
      <c r="W148">
        <v>59.80238636935509</v>
      </c>
      <c r="X148">
        <v>-51</v>
      </c>
      <c r="Y148" t="s">
        <v>1655</v>
      </c>
      <c r="Z148">
        <v>0</v>
      </c>
      <c r="AA148">
        <v>14909</v>
      </c>
      <c r="AB148">
        <v>70548</v>
      </c>
      <c r="AC148" t="s">
        <v>2009</v>
      </c>
      <c r="AD148">
        <v>44.49</v>
      </c>
      <c r="AE148" t="s">
        <v>2380</v>
      </c>
      <c r="AF148" t="s">
        <v>2750</v>
      </c>
      <c r="AG148">
        <v>85960</v>
      </c>
      <c r="AH148">
        <v>14237</v>
      </c>
      <c r="AI148">
        <v>11992</v>
      </c>
      <c r="AJ148">
        <v>9.6</v>
      </c>
      <c r="AK148" t="b">
        <v>1</v>
      </c>
    </row>
    <row r="149" spans="1:38">
      <c r="A149" s="1" t="s">
        <v>183</v>
      </c>
      <c r="B149" t="s">
        <v>554</v>
      </c>
      <c r="C149">
        <f>HYPERLINK("https://finance.naver.com/item/coinfo.nhn?code=003960", "A003960")</f>
        <v>0</v>
      </c>
      <c r="D149">
        <f>HYPERLINK("http://comp.fnguide.com/SVO2/ASP/SVD_Consensus.asp?pGB=1&amp;gicode=A003960&amp;cID=&amp;MenuYn=Y&amp;ReportGB=&amp;NewMenuID=108&amp;stkGb=701", "사조대림")</f>
        <v>0</v>
      </c>
      <c r="E149">
        <v>3</v>
      </c>
      <c r="F149">
        <v>24950</v>
      </c>
      <c r="G149">
        <v>0</v>
      </c>
      <c r="H149">
        <v>3.69</v>
      </c>
      <c r="I149">
        <v>94327</v>
      </c>
      <c r="J149">
        <v>74155</v>
      </c>
      <c r="K149">
        <v>67409</v>
      </c>
      <c r="L149">
        <v>-278.06</v>
      </c>
      <c r="M149">
        <v>-197.22</v>
      </c>
      <c r="N149">
        <v>-170.18</v>
      </c>
      <c r="O149">
        <v>16.46</v>
      </c>
      <c r="P149" t="b">
        <v>1</v>
      </c>
      <c r="Q149">
        <v>0</v>
      </c>
      <c r="R149">
        <v>6840</v>
      </c>
      <c r="U149" t="s">
        <v>926</v>
      </c>
      <c r="V149" t="s">
        <v>1297</v>
      </c>
      <c r="W149">
        <v>0</v>
      </c>
      <c r="X149">
        <v>-4.8</v>
      </c>
      <c r="Y149" t="s">
        <v>1656</v>
      </c>
      <c r="Z149">
        <v>6.213547645249262</v>
      </c>
      <c r="AA149">
        <v>2287</v>
      </c>
      <c r="AB149">
        <v>10453</v>
      </c>
      <c r="AC149" t="s">
        <v>2010</v>
      </c>
      <c r="AD149">
        <v>49.06</v>
      </c>
      <c r="AE149" t="s">
        <v>2381</v>
      </c>
      <c r="AF149" t="s">
        <v>2751</v>
      </c>
      <c r="AG149">
        <v>18137</v>
      </c>
      <c r="AH149">
        <v>1023</v>
      </c>
      <c r="AI149">
        <v>1814170</v>
      </c>
      <c r="AJ149">
        <v>1.19</v>
      </c>
      <c r="AK149" t="b">
        <v>1</v>
      </c>
    </row>
    <row r="150" spans="1:38">
      <c r="A150" s="1" t="s">
        <v>184</v>
      </c>
      <c r="B150" t="s">
        <v>555</v>
      </c>
      <c r="C150">
        <f>HYPERLINK("https://finance.naver.com/item/coinfo.nhn?code=006800", "A006800")</f>
        <v>0</v>
      </c>
      <c r="D150">
        <f>HYPERLINK("http://comp.fnguide.com/SVO2/ASP/SVD_Consensus.asp?pGB=1&amp;gicode=A006800&amp;cID=&amp;MenuYn=Y&amp;ReportGB=&amp;NewMenuID=108&amp;stkGb=701", "미래에셋증권")</f>
        <v>0</v>
      </c>
      <c r="E150">
        <v>3</v>
      </c>
      <c r="F150">
        <v>6590</v>
      </c>
      <c r="G150">
        <v>0.8</v>
      </c>
      <c r="H150">
        <v>5.94</v>
      </c>
      <c r="I150">
        <v>22426</v>
      </c>
      <c r="J150">
        <v>22406</v>
      </c>
      <c r="K150">
        <v>22399</v>
      </c>
      <c r="L150">
        <v>-240.31</v>
      </c>
      <c r="M150">
        <v>-240</v>
      </c>
      <c r="N150">
        <v>-239.9</v>
      </c>
      <c r="O150">
        <v>10.07</v>
      </c>
      <c r="P150" t="b">
        <v>0</v>
      </c>
      <c r="Q150">
        <v>0</v>
      </c>
      <c r="R150">
        <v>1457</v>
      </c>
      <c r="S150">
        <v>1005</v>
      </c>
      <c r="T150">
        <v>-31</v>
      </c>
      <c r="U150" t="s">
        <v>927</v>
      </c>
      <c r="V150" t="s">
        <v>1298</v>
      </c>
      <c r="W150">
        <v>7.423574162707647</v>
      </c>
      <c r="X150">
        <v>7.4</v>
      </c>
      <c r="Y150" t="s">
        <v>1657</v>
      </c>
      <c r="Z150">
        <v>8.262151762426084</v>
      </c>
      <c r="AA150">
        <v>40549</v>
      </c>
      <c r="AB150">
        <v>1671735</v>
      </c>
      <c r="AC150" t="s">
        <v>2011</v>
      </c>
      <c r="AD150">
        <v>26.5</v>
      </c>
      <c r="AE150" t="s">
        <v>2382</v>
      </c>
      <c r="AF150" t="s">
        <v>2752</v>
      </c>
      <c r="AG150">
        <v>29767</v>
      </c>
      <c r="AH150">
        <v>14855</v>
      </c>
      <c r="AI150">
        <v>146035875</v>
      </c>
      <c r="AJ150">
        <v>3.47</v>
      </c>
      <c r="AK150" t="b">
        <v>1</v>
      </c>
    </row>
    <row r="151" spans="1:38">
      <c r="A151" s="1" t="s">
        <v>185</v>
      </c>
      <c r="B151" t="s">
        <v>556</v>
      </c>
      <c r="C151">
        <f>HYPERLINK("https://finance.naver.com/item/coinfo.nhn?code=007120", "A007120")</f>
        <v>0</v>
      </c>
      <c r="D151">
        <f>HYPERLINK("http://comp.fnguide.com/SVO2/ASP/SVD_Consensus.asp?pGB=1&amp;gicode=A007120&amp;cID=&amp;MenuYn=Y&amp;ReportGB=&amp;NewMenuID=108&amp;stkGb=701", "미래아이앤지")</f>
        <v>0</v>
      </c>
      <c r="E151">
        <v>3</v>
      </c>
      <c r="F151">
        <v>335</v>
      </c>
      <c r="G151">
        <v>0</v>
      </c>
      <c r="I151">
        <v>660</v>
      </c>
      <c r="J151">
        <v>601</v>
      </c>
      <c r="K151">
        <v>581</v>
      </c>
      <c r="L151">
        <v>-96.95999999999999</v>
      </c>
      <c r="M151">
        <v>-79.38</v>
      </c>
      <c r="N151">
        <v>-73.5</v>
      </c>
      <c r="O151">
        <v>12</v>
      </c>
      <c r="P151" t="b">
        <v>0</v>
      </c>
      <c r="Q151">
        <v>0</v>
      </c>
      <c r="R151">
        <v>-140</v>
      </c>
      <c r="U151" t="s">
        <v>928</v>
      </c>
      <c r="V151" t="s">
        <v>1299</v>
      </c>
      <c r="W151">
        <v>0</v>
      </c>
      <c r="Y151" t="s">
        <v>1658</v>
      </c>
      <c r="Z151">
        <v>0</v>
      </c>
      <c r="AA151">
        <v>434</v>
      </c>
      <c r="AB151">
        <v>659951</v>
      </c>
      <c r="AC151" t="s">
        <v>2012</v>
      </c>
      <c r="AD151">
        <v>13.34</v>
      </c>
      <c r="AE151" t="s">
        <v>2383</v>
      </c>
      <c r="AF151" t="s">
        <v>2753</v>
      </c>
      <c r="AG151">
        <v>78</v>
      </c>
      <c r="AH151">
        <v>9</v>
      </c>
      <c r="AI151">
        <v>799813</v>
      </c>
      <c r="AL151" t="b">
        <v>0</v>
      </c>
    </row>
    <row r="152" spans="1:38">
      <c r="A152" s="1" t="s">
        <v>186</v>
      </c>
      <c r="B152" t="s">
        <v>557</v>
      </c>
      <c r="C152">
        <f>HYPERLINK("https://finance.naver.com/item/coinfo.nhn?code=008420", "A008420")</f>
        <v>0</v>
      </c>
      <c r="D152">
        <f>HYPERLINK("http://comp.fnguide.com/SVO2/ASP/SVD_Consensus.asp?pGB=1&amp;gicode=A008420&amp;cID=&amp;MenuYn=Y&amp;ReportGB=&amp;NewMenuID=108&amp;stkGb=701", "문배철강")</f>
        <v>0</v>
      </c>
      <c r="E152">
        <v>3</v>
      </c>
      <c r="F152">
        <v>3755</v>
      </c>
      <c r="G152">
        <v>0</v>
      </c>
      <c r="H152">
        <v>3.09</v>
      </c>
      <c r="I152">
        <v>9100</v>
      </c>
      <c r="J152">
        <v>8111</v>
      </c>
      <c r="K152">
        <v>7780</v>
      </c>
      <c r="L152">
        <v>-142.35</v>
      </c>
      <c r="M152">
        <v>-116</v>
      </c>
      <c r="N152">
        <v>-107.19</v>
      </c>
      <c r="O152">
        <v>12.53</v>
      </c>
      <c r="P152" t="b">
        <v>1</v>
      </c>
      <c r="Q152">
        <v>0</v>
      </c>
      <c r="R152">
        <v>1238</v>
      </c>
      <c r="U152" t="s">
        <v>929</v>
      </c>
      <c r="V152" t="s">
        <v>1300</v>
      </c>
      <c r="W152">
        <v>0</v>
      </c>
      <c r="X152">
        <v>23.7</v>
      </c>
      <c r="Y152" t="s">
        <v>1659</v>
      </c>
      <c r="Z152">
        <v>25.34092801120904</v>
      </c>
      <c r="AA152">
        <v>770</v>
      </c>
      <c r="AB152">
        <v>90691</v>
      </c>
      <c r="AC152" t="s">
        <v>2013</v>
      </c>
      <c r="AD152">
        <v>36.96</v>
      </c>
      <c r="AE152" t="s">
        <v>2384</v>
      </c>
      <c r="AF152" t="s">
        <v>2754</v>
      </c>
      <c r="AG152">
        <v>2049</v>
      </c>
      <c r="AH152">
        <v>208</v>
      </c>
      <c r="AI152">
        <v>909119</v>
      </c>
      <c r="AJ152">
        <v>1.96</v>
      </c>
      <c r="AK152" t="b">
        <v>1</v>
      </c>
    </row>
    <row r="153" spans="1:38">
      <c r="A153" s="1" t="s">
        <v>187</v>
      </c>
      <c r="B153" t="s">
        <v>558</v>
      </c>
      <c r="C153">
        <f>HYPERLINK("https://finance.naver.com/item/coinfo.nhn?code=008560", "A008560")</f>
        <v>0</v>
      </c>
      <c r="D153">
        <f>HYPERLINK("http://comp.fnguide.com/SVO2/ASP/SVD_Consensus.asp?pGB=1&amp;gicode=A008560&amp;cID=&amp;MenuYn=Y&amp;ReportGB=&amp;NewMenuID=108&amp;stkGb=701", "메리츠증권")</f>
        <v>0</v>
      </c>
      <c r="E153">
        <v>3</v>
      </c>
      <c r="F153">
        <v>4850</v>
      </c>
      <c r="G153">
        <v>0.42</v>
      </c>
      <c r="H153">
        <v>4.87</v>
      </c>
      <c r="I153">
        <v>14266</v>
      </c>
      <c r="J153">
        <v>11769</v>
      </c>
      <c r="K153">
        <v>10934</v>
      </c>
      <c r="L153">
        <v>-194.15</v>
      </c>
      <c r="M153">
        <v>-142.67</v>
      </c>
      <c r="N153">
        <v>-125.45</v>
      </c>
      <c r="O153">
        <v>14.76</v>
      </c>
      <c r="P153" t="b">
        <v>0</v>
      </c>
      <c r="Q153">
        <v>2</v>
      </c>
      <c r="R153">
        <v>1058</v>
      </c>
      <c r="S153">
        <v>1094</v>
      </c>
      <c r="T153">
        <v>3.4</v>
      </c>
      <c r="U153" t="s">
        <v>930</v>
      </c>
      <c r="V153" t="s">
        <v>1301</v>
      </c>
      <c r="W153">
        <v>11.52785619168652</v>
      </c>
      <c r="X153">
        <v>21.4</v>
      </c>
      <c r="Y153" t="s">
        <v>1660</v>
      </c>
      <c r="Z153">
        <v>15.64017058267462</v>
      </c>
      <c r="AA153">
        <v>31026</v>
      </c>
      <c r="AB153">
        <v>1157070</v>
      </c>
      <c r="AC153" t="s">
        <v>2014</v>
      </c>
      <c r="AD153">
        <v>52.39</v>
      </c>
      <c r="AE153" t="s">
        <v>2385</v>
      </c>
      <c r="AF153" t="s">
        <v>2755</v>
      </c>
      <c r="AG153">
        <v>17219</v>
      </c>
      <c r="AH153">
        <v>9489</v>
      </c>
      <c r="AI153">
        <v>103546493</v>
      </c>
      <c r="AJ153">
        <v>1.94</v>
      </c>
      <c r="AK153" t="b">
        <v>1</v>
      </c>
    </row>
    <row r="154" spans="1:38">
      <c r="A154" s="1" t="s">
        <v>188</v>
      </c>
      <c r="B154" t="s">
        <v>559</v>
      </c>
      <c r="C154">
        <f>HYPERLINK("https://finance.naver.com/item/coinfo.nhn?code=138040", "A138040")</f>
        <v>0</v>
      </c>
      <c r="D154">
        <f>HYPERLINK("http://comp.fnguide.com/SVO2/ASP/SVD_Consensus.asp?pGB=1&amp;gicode=A138040&amp;cID=&amp;MenuYn=Y&amp;ReportGB=&amp;NewMenuID=108&amp;stkGb=701", "메리츠금융지주")</f>
        <v>0</v>
      </c>
      <c r="E154">
        <v>3</v>
      </c>
      <c r="F154">
        <v>26250</v>
      </c>
      <c r="G154">
        <v>0.23</v>
      </c>
      <c r="H154">
        <v>7.47</v>
      </c>
      <c r="I154">
        <v>57597</v>
      </c>
      <c r="J154">
        <v>42651</v>
      </c>
      <c r="K154">
        <v>37653</v>
      </c>
      <c r="L154">
        <v>-119.42</v>
      </c>
      <c r="M154">
        <v>-62.48</v>
      </c>
      <c r="N154">
        <v>-43.44</v>
      </c>
      <c r="O154">
        <v>19.06</v>
      </c>
      <c r="P154" t="b">
        <v>0</v>
      </c>
      <c r="Q154">
        <v>3</v>
      </c>
      <c r="R154">
        <v>5889</v>
      </c>
      <c r="S154">
        <v>6578</v>
      </c>
      <c r="T154">
        <v>11.7</v>
      </c>
      <c r="U154" t="s">
        <v>931</v>
      </c>
      <c r="V154" t="s">
        <v>1302</v>
      </c>
      <c r="W154">
        <v>32.31524709026359</v>
      </c>
      <c r="X154">
        <v>6.3</v>
      </c>
      <c r="Y154" t="s">
        <v>1661</v>
      </c>
      <c r="Z154">
        <v>4.676459438216662</v>
      </c>
      <c r="AA154">
        <v>33820</v>
      </c>
      <c r="AB154">
        <v>152908</v>
      </c>
      <c r="AC154" t="s">
        <v>2015</v>
      </c>
      <c r="AD154">
        <v>75.16</v>
      </c>
      <c r="AE154" t="s">
        <v>2386</v>
      </c>
      <c r="AF154" t="s">
        <v>2756</v>
      </c>
      <c r="AG154">
        <v>19127</v>
      </c>
      <c r="AH154">
        <v>18006</v>
      </c>
      <c r="AI154">
        <v>6308142</v>
      </c>
      <c r="AJ154">
        <v>0.48</v>
      </c>
      <c r="AK154" t="b">
        <v>1</v>
      </c>
    </row>
    <row r="155" spans="1:38">
      <c r="A155" s="1" t="s">
        <v>189</v>
      </c>
      <c r="B155" t="s">
        <v>560</v>
      </c>
      <c r="C155">
        <f>HYPERLINK("https://finance.naver.com/item/coinfo.nhn?code=004000", "A004000")</f>
        <v>0</v>
      </c>
      <c r="D155">
        <f>HYPERLINK("http://comp.fnguide.com/SVO2/ASP/SVD_Consensus.asp?pGB=1&amp;gicode=A004000&amp;cID=&amp;MenuYn=Y&amp;ReportGB=&amp;NewMenuID=108&amp;stkGb=701", "롯데정밀화학")</f>
        <v>0</v>
      </c>
      <c r="E155">
        <v>3</v>
      </c>
      <c r="F155">
        <v>65800</v>
      </c>
      <c r="G155">
        <v>0.1</v>
      </c>
      <c r="H155">
        <v>3.31</v>
      </c>
      <c r="I155">
        <v>183694</v>
      </c>
      <c r="J155">
        <v>130248</v>
      </c>
      <c r="K155">
        <v>112374</v>
      </c>
      <c r="L155">
        <v>-179.17</v>
      </c>
      <c r="M155">
        <v>-97.95</v>
      </c>
      <c r="N155">
        <v>-70.78</v>
      </c>
      <c r="O155">
        <v>21.39</v>
      </c>
      <c r="P155" t="b">
        <v>1</v>
      </c>
      <c r="Q155">
        <v>0</v>
      </c>
      <c r="R155">
        <v>22692</v>
      </c>
      <c r="S155">
        <v>14921</v>
      </c>
      <c r="T155">
        <v>-34.2</v>
      </c>
      <c r="U155" t="s">
        <v>932</v>
      </c>
      <c r="V155" t="s">
        <v>1303</v>
      </c>
      <c r="W155">
        <v>31.78127248125631</v>
      </c>
      <c r="X155">
        <v>-27</v>
      </c>
      <c r="Y155" t="s">
        <v>1662</v>
      </c>
      <c r="Z155">
        <v>36.78904697519283</v>
      </c>
      <c r="AA155">
        <v>16976</v>
      </c>
      <c r="AB155">
        <v>448591</v>
      </c>
      <c r="AC155" t="s">
        <v>2016</v>
      </c>
      <c r="AD155">
        <v>37.78</v>
      </c>
      <c r="AE155" t="s">
        <v>2387</v>
      </c>
      <c r="AF155" t="s">
        <v>2757</v>
      </c>
      <c r="AG155">
        <v>17803</v>
      </c>
      <c r="AH155">
        <v>2445</v>
      </c>
      <c r="AI155">
        <v>330000</v>
      </c>
      <c r="AJ155">
        <v>3.07</v>
      </c>
      <c r="AK155" t="b">
        <v>1</v>
      </c>
    </row>
    <row r="156" spans="1:38">
      <c r="A156" s="1" t="s">
        <v>190</v>
      </c>
      <c r="B156" t="s">
        <v>561</v>
      </c>
      <c r="C156">
        <f>HYPERLINK("https://finance.naver.com/item/coinfo.nhn?code=210540", "A210540")</f>
        <v>0</v>
      </c>
      <c r="D156">
        <f>HYPERLINK("http://comp.fnguide.com/SVO2/ASP/SVD_Consensus.asp?pGB=1&amp;gicode=A210540&amp;cID=&amp;MenuYn=Y&amp;ReportGB=&amp;NewMenuID=108&amp;stkGb=701", "디와이파워")</f>
        <v>0</v>
      </c>
      <c r="E156">
        <v>3</v>
      </c>
      <c r="F156">
        <v>12200</v>
      </c>
      <c r="G156">
        <v>0</v>
      </c>
      <c r="H156">
        <v>4.6</v>
      </c>
      <c r="I156">
        <v>29030</v>
      </c>
      <c r="J156">
        <v>24336</v>
      </c>
      <c r="K156">
        <v>22767</v>
      </c>
      <c r="L156">
        <v>-137.95</v>
      </c>
      <c r="M156">
        <v>-99.48</v>
      </c>
      <c r="N156">
        <v>-86.61</v>
      </c>
      <c r="O156">
        <v>14.25</v>
      </c>
      <c r="P156" t="b">
        <v>1</v>
      </c>
      <c r="Q156">
        <v>0</v>
      </c>
      <c r="R156">
        <v>2813</v>
      </c>
      <c r="U156" t="s">
        <v>933</v>
      </c>
      <c r="V156" t="s">
        <v>1304</v>
      </c>
      <c r="W156">
        <v>0</v>
      </c>
      <c r="X156">
        <v>-60</v>
      </c>
      <c r="Y156" t="s">
        <v>1663</v>
      </c>
      <c r="Z156">
        <v>-16.46957346205592</v>
      </c>
      <c r="AA156">
        <v>1347</v>
      </c>
      <c r="AB156">
        <v>85902</v>
      </c>
      <c r="AC156" t="s">
        <v>2017</v>
      </c>
      <c r="AD156">
        <v>38.46</v>
      </c>
      <c r="AE156" t="s">
        <v>2388</v>
      </c>
      <c r="AF156" t="s">
        <v>2758</v>
      </c>
      <c r="AG156">
        <v>4372</v>
      </c>
      <c r="AH156">
        <v>422</v>
      </c>
      <c r="AI156">
        <v>5857</v>
      </c>
      <c r="AJ156">
        <v>2.32</v>
      </c>
      <c r="AK156" t="b">
        <v>1</v>
      </c>
    </row>
    <row r="157" spans="1:38">
      <c r="A157" s="1" t="s">
        <v>191</v>
      </c>
      <c r="B157" t="s">
        <v>562</v>
      </c>
      <c r="C157">
        <f>HYPERLINK("https://finance.naver.com/item/coinfo.nhn?code=024090", "A024090")</f>
        <v>0</v>
      </c>
      <c r="D157">
        <f>HYPERLINK("http://comp.fnguide.com/SVO2/ASP/SVD_Consensus.asp?pGB=1&amp;gicode=A024090&amp;cID=&amp;MenuYn=Y&amp;ReportGB=&amp;NewMenuID=108&amp;stkGb=701", "디씨엠")</f>
        <v>0</v>
      </c>
      <c r="E157">
        <v>3</v>
      </c>
      <c r="F157">
        <v>20350</v>
      </c>
      <c r="G157">
        <v>0</v>
      </c>
      <c r="H157">
        <v>5.37</v>
      </c>
      <c r="I157">
        <v>45851</v>
      </c>
      <c r="J157">
        <v>34753</v>
      </c>
      <c r="K157">
        <v>31041</v>
      </c>
      <c r="L157">
        <v>-125.31</v>
      </c>
      <c r="M157">
        <v>-70.77</v>
      </c>
      <c r="N157">
        <v>-52.54</v>
      </c>
      <c r="O157">
        <v>17.98</v>
      </c>
      <c r="P157" t="b">
        <v>0</v>
      </c>
      <c r="Q157">
        <v>0</v>
      </c>
      <c r="R157">
        <v>4338</v>
      </c>
      <c r="U157" t="s">
        <v>934</v>
      </c>
      <c r="V157" t="s">
        <v>1305</v>
      </c>
      <c r="W157">
        <v>0</v>
      </c>
      <c r="X157">
        <v>96.3</v>
      </c>
      <c r="Y157" t="s">
        <v>1664</v>
      </c>
      <c r="Z157">
        <v>51.83569123092215</v>
      </c>
      <c r="AA157">
        <v>2320</v>
      </c>
      <c r="AB157">
        <v>11815</v>
      </c>
      <c r="AC157" t="s">
        <v>2018</v>
      </c>
      <c r="AD157">
        <v>45.6</v>
      </c>
      <c r="AE157" t="s">
        <v>2389</v>
      </c>
      <c r="AF157" t="s">
        <v>2759</v>
      </c>
      <c r="AG157">
        <v>2508</v>
      </c>
      <c r="AH157">
        <v>349</v>
      </c>
      <c r="AI157">
        <v>2211909</v>
      </c>
      <c r="AJ157">
        <v>3.86</v>
      </c>
      <c r="AK157" t="b">
        <v>1</v>
      </c>
    </row>
    <row r="158" spans="1:38">
      <c r="A158" s="1" t="s">
        <v>192</v>
      </c>
      <c r="B158" t="s">
        <v>563</v>
      </c>
      <c r="C158">
        <f>HYPERLINK("https://finance.naver.com/item/coinfo.nhn?code=006040", "A006040")</f>
        <v>0</v>
      </c>
      <c r="D158">
        <f>HYPERLINK("http://comp.fnguide.com/SVO2/ASP/SVD_Consensus.asp?pGB=1&amp;gicode=A006040&amp;cID=&amp;MenuYn=Y&amp;ReportGB=&amp;NewMenuID=108&amp;stkGb=701", "동원산업")</f>
        <v>0</v>
      </c>
      <c r="E158">
        <v>3</v>
      </c>
      <c r="F158">
        <v>224500</v>
      </c>
      <c r="G158">
        <v>0</v>
      </c>
      <c r="H158">
        <v>4.93</v>
      </c>
      <c r="I158">
        <v>588530</v>
      </c>
      <c r="J158">
        <v>496728</v>
      </c>
      <c r="K158">
        <v>466026</v>
      </c>
      <c r="L158">
        <v>-162.15</v>
      </c>
      <c r="M158">
        <v>-121.26</v>
      </c>
      <c r="N158">
        <v>-107.58</v>
      </c>
      <c r="O158">
        <v>14.04</v>
      </c>
      <c r="P158" t="b">
        <v>0</v>
      </c>
      <c r="Q158">
        <v>0</v>
      </c>
      <c r="R158">
        <v>46009</v>
      </c>
      <c r="U158" t="s">
        <v>935</v>
      </c>
      <c r="V158" t="s">
        <v>1306</v>
      </c>
      <c r="W158">
        <v>0</v>
      </c>
      <c r="X158">
        <v>13.7</v>
      </c>
      <c r="Y158" t="s">
        <v>1665</v>
      </c>
      <c r="Z158">
        <v>1.061141947211586</v>
      </c>
      <c r="AA158">
        <v>8256</v>
      </c>
      <c r="AB158">
        <v>2603</v>
      </c>
      <c r="AC158" t="s">
        <v>2019</v>
      </c>
      <c r="AD158">
        <v>63.32</v>
      </c>
      <c r="AE158" t="s">
        <v>2390</v>
      </c>
      <c r="AF158" t="s">
        <v>2760</v>
      </c>
      <c r="AG158">
        <v>28022</v>
      </c>
      <c r="AH158">
        <v>2607</v>
      </c>
      <c r="AI158">
        <v>266581</v>
      </c>
      <c r="AJ158">
        <v>2.2</v>
      </c>
      <c r="AK158" t="b">
        <v>1</v>
      </c>
    </row>
    <row r="159" spans="1:38">
      <c r="A159" s="1" t="s">
        <v>193</v>
      </c>
      <c r="B159" t="s">
        <v>564</v>
      </c>
      <c r="C159">
        <f>HYPERLINK("https://finance.naver.com/item/coinfo.nhn?code=018500", "A018500")</f>
        <v>0</v>
      </c>
      <c r="D159">
        <f>HYPERLINK("http://comp.fnguide.com/SVO2/ASP/SVD_Consensus.asp?pGB=1&amp;gicode=A018500&amp;cID=&amp;MenuYn=Y&amp;ReportGB=&amp;NewMenuID=108&amp;stkGb=701", "동원금속")</f>
        <v>0</v>
      </c>
      <c r="E159">
        <v>3</v>
      </c>
      <c r="F159">
        <v>906</v>
      </c>
      <c r="G159">
        <v>0</v>
      </c>
      <c r="H159">
        <v>1.85</v>
      </c>
      <c r="I159">
        <v>3820</v>
      </c>
      <c r="J159">
        <v>2444</v>
      </c>
      <c r="K159">
        <v>1984</v>
      </c>
      <c r="L159">
        <v>-321.62</v>
      </c>
      <c r="M159">
        <v>-169.78</v>
      </c>
      <c r="N159">
        <v>-119</v>
      </c>
      <c r="O159">
        <v>29.23</v>
      </c>
      <c r="P159" t="b">
        <v>1</v>
      </c>
      <c r="Q159">
        <v>0</v>
      </c>
      <c r="R159">
        <v>485</v>
      </c>
      <c r="U159" t="s">
        <v>936</v>
      </c>
      <c r="V159" t="s">
        <v>1307</v>
      </c>
      <c r="W159">
        <v>0</v>
      </c>
      <c r="Y159" t="s">
        <v>1534</v>
      </c>
      <c r="Z159">
        <v>0</v>
      </c>
      <c r="AA159">
        <v>424</v>
      </c>
      <c r="AB159">
        <v>83833</v>
      </c>
      <c r="AC159" t="s">
        <v>2020</v>
      </c>
      <c r="AD159">
        <v>22.49</v>
      </c>
      <c r="AE159" t="s">
        <v>2391</v>
      </c>
      <c r="AF159" t="s">
        <v>2761</v>
      </c>
      <c r="AG159">
        <v>3874</v>
      </c>
      <c r="AH159">
        <v>117</v>
      </c>
      <c r="AI159">
        <v>10128</v>
      </c>
      <c r="AL159" t="b">
        <v>0</v>
      </c>
    </row>
    <row r="160" spans="1:38">
      <c r="A160" s="1" t="s">
        <v>194</v>
      </c>
      <c r="B160" t="s">
        <v>565</v>
      </c>
      <c r="C160">
        <f>HYPERLINK("https://finance.naver.com/item/coinfo.nhn?code=000640", "A000640")</f>
        <v>0</v>
      </c>
      <c r="D160">
        <f>HYPERLINK("http://comp.fnguide.com/SVO2/ASP/SVD_Consensus.asp?pGB=1&amp;gicode=A000640&amp;cID=&amp;MenuYn=Y&amp;ReportGB=&amp;NewMenuID=108&amp;stkGb=701", "동아쏘시오홀딩스")</f>
        <v>0</v>
      </c>
      <c r="E160">
        <v>3</v>
      </c>
      <c r="F160">
        <v>99800</v>
      </c>
      <c r="G160">
        <v>0.26</v>
      </c>
      <c r="H160">
        <v>11.96</v>
      </c>
      <c r="I160">
        <v>158537</v>
      </c>
      <c r="J160">
        <v>156274</v>
      </c>
      <c r="K160">
        <v>155517</v>
      </c>
      <c r="L160">
        <v>-58.85</v>
      </c>
      <c r="M160">
        <v>-56.59</v>
      </c>
      <c r="N160">
        <v>-55.83</v>
      </c>
      <c r="O160">
        <v>10.32</v>
      </c>
      <c r="P160" t="b">
        <v>0</v>
      </c>
      <c r="Q160">
        <v>1</v>
      </c>
      <c r="R160">
        <v>9615</v>
      </c>
      <c r="S160">
        <v>10041</v>
      </c>
      <c r="T160">
        <v>4.4</v>
      </c>
      <c r="U160" t="s">
        <v>937</v>
      </c>
      <c r="V160" t="s">
        <v>1308</v>
      </c>
      <c r="W160">
        <v>46.127732340413</v>
      </c>
      <c r="Y160" t="s">
        <v>1666</v>
      </c>
      <c r="Z160">
        <v>0</v>
      </c>
      <c r="AA160">
        <v>6336</v>
      </c>
      <c r="AB160">
        <v>10871</v>
      </c>
      <c r="AC160" t="s">
        <v>2021</v>
      </c>
      <c r="AD160">
        <v>42.28</v>
      </c>
      <c r="AE160" t="s">
        <v>2392</v>
      </c>
      <c r="AF160" t="s">
        <v>2762</v>
      </c>
      <c r="AG160">
        <v>8819</v>
      </c>
      <c r="AH160">
        <v>616</v>
      </c>
      <c r="AI160">
        <v>98190</v>
      </c>
      <c r="AJ160">
        <v>1.3</v>
      </c>
      <c r="AK160" t="b">
        <v>1</v>
      </c>
    </row>
    <row r="161" spans="1:38">
      <c r="A161" s="1" t="s">
        <v>195</v>
      </c>
      <c r="B161" t="s">
        <v>566</v>
      </c>
      <c r="C161">
        <f>HYPERLINK("https://finance.naver.com/item/coinfo.nhn?code=005960", "A005960")</f>
        <v>0</v>
      </c>
      <c r="D161">
        <f>HYPERLINK("http://comp.fnguide.com/SVO2/ASP/SVD_Consensus.asp?pGB=1&amp;gicode=A005960&amp;cID=&amp;MenuYn=Y&amp;ReportGB=&amp;NewMenuID=108&amp;stkGb=701", "동부건설")</f>
        <v>0</v>
      </c>
      <c r="E161">
        <v>3</v>
      </c>
      <c r="F161">
        <v>10800</v>
      </c>
      <c r="G161">
        <v>0</v>
      </c>
      <c r="H161">
        <v>2.86</v>
      </c>
      <c r="I161">
        <v>42334</v>
      </c>
      <c r="J161">
        <v>32519</v>
      </c>
      <c r="K161">
        <v>29236</v>
      </c>
      <c r="L161">
        <v>-291.98</v>
      </c>
      <c r="M161">
        <v>-201.1</v>
      </c>
      <c r="N161">
        <v>-170.71</v>
      </c>
      <c r="O161">
        <v>17.4</v>
      </c>
      <c r="P161" t="b">
        <v>1</v>
      </c>
      <c r="Q161">
        <v>0</v>
      </c>
      <c r="R161">
        <v>5102</v>
      </c>
      <c r="U161" t="s">
        <v>938</v>
      </c>
      <c r="V161" t="s">
        <v>1309</v>
      </c>
      <c r="W161">
        <v>0</v>
      </c>
      <c r="X161">
        <v>86.59999999999999</v>
      </c>
      <c r="Y161" t="s">
        <v>1667</v>
      </c>
      <c r="Z161">
        <v>15.78635912290951</v>
      </c>
      <c r="AA161">
        <v>2470</v>
      </c>
      <c r="AB161">
        <v>18772</v>
      </c>
      <c r="AC161" t="s">
        <v>2022</v>
      </c>
      <c r="AD161">
        <v>56.47</v>
      </c>
      <c r="AE161" t="s">
        <v>2393</v>
      </c>
      <c r="AF161" t="s">
        <v>2763</v>
      </c>
      <c r="AG161">
        <v>11449</v>
      </c>
      <c r="AH161">
        <v>613</v>
      </c>
      <c r="AI161">
        <v>4291</v>
      </c>
      <c r="AJ161">
        <v>6.16</v>
      </c>
      <c r="AK161" t="b">
        <v>1</v>
      </c>
    </row>
    <row r="162" spans="1:38">
      <c r="A162" s="1" t="s">
        <v>196</v>
      </c>
      <c r="B162" t="s">
        <v>567</v>
      </c>
      <c r="C162">
        <f>HYPERLINK("https://finance.naver.com/item/coinfo.nhn?code=001230", "A001230")</f>
        <v>0</v>
      </c>
      <c r="D162">
        <f>HYPERLINK("http://comp.fnguide.com/SVO2/ASP/SVD_Consensus.asp?pGB=1&amp;gicode=A001230&amp;cID=&amp;MenuYn=Y&amp;ReportGB=&amp;NewMenuID=108&amp;stkGb=701", "동국제강")</f>
        <v>0</v>
      </c>
      <c r="E162">
        <v>3</v>
      </c>
      <c r="F162">
        <v>13250</v>
      </c>
      <c r="G162">
        <v>0</v>
      </c>
      <c r="H162">
        <v>2.76</v>
      </c>
      <c r="I162">
        <v>37223</v>
      </c>
      <c r="J162">
        <v>32806</v>
      </c>
      <c r="K162">
        <v>31329</v>
      </c>
      <c r="L162">
        <v>-180.93</v>
      </c>
      <c r="M162">
        <v>-147.59</v>
      </c>
      <c r="N162">
        <v>-136.45</v>
      </c>
      <c r="O162">
        <v>12.82</v>
      </c>
      <c r="P162" t="b">
        <v>1</v>
      </c>
      <c r="Q162">
        <v>3</v>
      </c>
      <c r="R162">
        <v>5769</v>
      </c>
      <c r="S162">
        <v>7182</v>
      </c>
      <c r="T162">
        <v>24.5</v>
      </c>
      <c r="U162" t="s">
        <v>939</v>
      </c>
      <c r="V162" t="s">
        <v>1310</v>
      </c>
      <c r="W162">
        <v>0</v>
      </c>
      <c r="X162">
        <v>969.5</v>
      </c>
      <c r="Y162" t="s">
        <v>1668</v>
      </c>
      <c r="Z162">
        <v>0</v>
      </c>
      <c r="AA162">
        <v>12645</v>
      </c>
      <c r="AB162">
        <v>686362</v>
      </c>
      <c r="AC162" t="s">
        <v>2023</v>
      </c>
      <c r="AD162">
        <v>26.25</v>
      </c>
      <c r="AE162" t="s">
        <v>2394</v>
      </c>
      <c r="AF162" t="s">
        <v>2764</v>
      </c>
      <c r="AG162">
        <v>72403</v>
      </c>
      <c r="AH162">
        <v>8030</v>
      </c>
      <c r="AI162">
        <v>3930280</v>
      </c>
      <c r="AJ162">
        <v>2.52</v>
      </c>
      <c r="AK162" t="b">
        <v>1</v>
      </c>
    </row>
    <row r="163" spans="1:38">
      <c r="A163" s="1" t="s">
        <v>197</v>
      </c>
      <c r="B163" t="s">
        <v>568</v>
      </c>
      <c r="C163">
        <f>HYPERLINK("https://finance.naver.com/item/coinfo.nhn?code=192080", "A192080")</f>
        <v>0</v>
      </c>
      <c r="D163">
        <f>HYPERLINK("http://comp.fnguide.com/SVO2/ASP/SVD_Consensus.asp?pGB=1&amp;gicode=A192080&amp;cID=&amp;MenuYn=Y&amp;ReportGB=&amp;NewMenuID=108&amp;stkGb=701", "더블유게임즈")</f>
        <v>0</v>
      </c>
      <c r="E163">
        <v>3</v>
      </c>
      <c r="F163">
        <v>42250</v>
      </c>
      <c r="G163">
        <v>-9.59</v>
      </c>
      <c r="H163">
        <v>8.48</v>
      </c>
      <c r="I163">
        <v>84227</v>
      </c>
      <c r="J163">
        <v>65244</v>
      </c>
      <c r="K163">
        <v>58895</v>
      </c>
      <c r="L163">
        <v>-99.34999999999999</v>
      </c>
      <c r="M163">
        <v>-54.42</v>
      </c>
      <c r="N163">
        <v>-39.4</v>
      </c>
      <c r="O163">
        <v>17.05</v>
      </c>
      <c r="P163" t="b">
        <v>1</v>
      </c>
      <c r="Q163">
        <v>0</v>
      </c>
      <c r="R163">
        <v>6828</v>
      </c>
      <c r="S163">
        <v>5883</v>
      </c>
      <c r="T163">
        <v>-13.8</v>
      </c>
      <c r="U163" t="s">
        <v>940</v>
      </c>
      <c r="V163" t="s">
        <v>1311</v>
      </c>
      <c r="W163">
        <v>-0.8840676573704243</v>
      </c>
      <c r="X163">
        <v>-20.3</v>
      </c>
      <c r="Y163" t="s">
        <v>1669</v>
      </c>
      <c r="Z163">
        <v>21.82747703577195</v>
      </c>
      <c r="AA163">
        <v>7763</v>
      </c>
      <c r="AB163">
        <v>67525</v>
      </c>
      <c r="AC163" t="s">
        <v>2024</v>
      </c>
      <c r="AD163">
        <v>43.54</v>
      </c>
      <c r="AE163" t="s">
        <v>2395</v>
      </c>
      <c r="AF163" t="s">
        <v>2765</v>
      </c>
      <c r="AG163">
        <v>6241</v>
      </c>
      <c r="AH163">
        <v>1904</v>
      </c>
      <c r="AI163">
        <v>1398976</v>
      </c>
      <c r="AJ163">
        <v>1.21</v>
      </c>
      <c r="AK163" t="b">
        <v>1</v>
      </c>
    </row>
    <row r="164" spans="1:38">
      <c r="A164" s="1" t="s">
        <v>198</v>
      </c>
      <c r="B164" t="s">
        <v>569</v>
      </c>
      <c r="C164">
        <f>HYPERLINK("https://finance.naver.com/item/coinfo.nhn?code=005880", "A005880")</f>
        <v>0</v>
      </c>
      <c r="D164">
        <f>HYPERLINK("http://comp.fnguide.com/SVO2/ASP/SVD_Consensus.asp?pGB=1&amp;gicode=A005880&amp;cID=&amp;MenuYn=Y&amp;ReportGB=&amp;NewMenuID=108&amp;stkGb=701", "대한해운")</f>
        <v>0</v>
      </c>
      <c r="E164">
        <v>3</v>
      </c>
      <c r="F164">
        <v>2385</v>
      </c>
      <c r="G164">
        <v>0.14</v>
      </c>
      <c r="H164">
        <v>3.15</v>
      </c>
      <c r="I164">
        <v>5863</v>
      </c>
      <c r="J164">
        <v>4917</v>
      </c>
      <c r="K164">
        <v>4601</v>
      </c>
      <c r="L164">
        <v>-145.83</v>
      </c>
      <c r="M164">
        <v>-106.17</v>
      </c>
      <c r="N164">
        <v>-92.91</v>
      </c>
      <c r="O164">
        <v>14.23</v>
      </c>
      <c r="P164" t="b">
        <v>1</v>
      </c>
      <c r="Q164">
        <v>0</v>
      </c>
      <c r="R164">
        <v>838</v>
      </c>
      <c r="S164">
        <v>642</v>
      </c>
      <c r="T164">
        <v>-23.4</v>
      </c>
      <c r="U164" t="s">
        <v>941</v>
      </c>
      <c r="V164" t="s">
        <v>1312</v>
      </c>
      <c r="W164">
        <v>23.14318232379244</v>
      </c>
      <c r="X164">
        <v>4.1</v>
      </c>
      <c r="Y164" t="s">
        <v>1670</v>
      </c>
      <c r="Z164">
        <v>13.79679503456179</v>
      </c>
      <c r="AA164">
        <v>7612</v>
      </c>
      <c r="AB164">
        <v>730466</v>
      </c>
      <c r="AC164" t="s">
        <v>2025</v>
      </c>
      <c r="AD164">
        <v>49.36</v>
      </c>
      <c r="AE164" t="s">
        <v>2396</v>
      </c>
      <c r="AF164" t="s">
        <v>2766</v>
      </c>
      <c r="AG164">
        <v>11538</v>
      </c>
      <c r="AH164">
        <v>2039</v>
      </c>
      <c r="AI164">
        <v>8386070</v>
      </c>
      <c r="AK164" t="b">
        <v>1</v>
      </c>
    </row>
    <row r="165" spans="1:38">
      <c r="A165" s="1" t="s">
        <v>199</v>
      </c>
      <c r="B165" t="s">
        <v>570</v>
      </c>
      <c r="C165">
        <f>HYPERLINK("https://finance.naver.com/item/coinfo.nhn?code=001270", "A001270")</f>
        <v>0</v>
      </c>
      <c r="D165">
        <f>HYPERLINK("http://comp.fnguide.com/SVO2/ASP/SVD_Consensus.asp?pGB=1&amp;gicode=A001270&amp;cID=&amp;MenuYn=Y&amp;ReportGB=&amp;NewMenuID=108&amp;stkGb=701", "부국증권")</f>
        <v>0</v>
      </c>
      <c r="E165">
        <v>3</v>
      </c>
      <c r="F165">
        <v>22300</v>
      </c>
      <c r="G165">
        <v>0</v>
      </c>
      <c r="H165">
        <v>4.23</v>
      </c>
      <c r="I165">
        <v>123288</v>
      </c>
      <c r="J165">
        <v>116521</v>
      </c>
      <c r="K165">
        <v>114258</v>
      </c>
      <c r="L165">
        <v>-452.86</v>
      </c>
      <c r="M165">
        <v>-422.52</v>
      </c>
      <c r="N165">
        <v>-412.37</v>
      </c>
      <c r="O165">
        <v>11.17</v>
      </c>
      <c r="P165" t="b">
        <v>0</v>
      </c>
      <c r="Q165">
        <v>0</v>
      </c>
      <c r="R165">
        <v>5786</v>
      </c>
      <c r="U165" t="s">
        <v>942</v>
      </c>
      <c r="V165" t="s">
        <v>1313</v>
      </c>
      <c r="W165">
        <v>0</v>
      </c>
      <c r="X165">
        <v>10.1</v>
      </c>
      <c r="Y165" t="s">
        <v>1671</v>
      </c>
      <c r="Z165">
        <v>9.243881583025026</v>
      </c>
      <c r="AA165">
        <v>2312</v>
      </c>
      <c r="AB165">
        <v>574</v>
      </c>
      <c r="AC165" t="s">
        <v>2026</v>
      </c>
      <c r="AD165">
        <v>32.09</v>
      </c>
      <c r="AE165" t="s">
        <v>2397</v>
      </c>
      <c r="AF165" t="s">
        <v>2767</v>
      </c>
      <c r="AG165">
        <v>2351</v>
      </c>
      <c r="AH165">
        <v>1016</v>
      </c>
      <c r="AI165">
        <v>4430764</v>
      </c>
      <c r="AJ165">
        <v>6.54</v>
      </c>
      <c r="AK165" t="b">
        <v>1</v>
      </c>
    </row>
    <row r="166" spans="1:38">
      <c r="A166" s="1" t="s">
        <v>200</v>
      </c>
      <c r="B166" t="s">
        <v>571</v>
      </c>
      <c r="C166">
        <f>HYPERLINK("https://finance.naver.com/item/coinfo.nhn?code=002170", "A002170")</f>
        <v>0</v>
      </c>
      <c r="D166">
        <f>HYPERLINK("http://comp.fnguide.com/SVO2/ASP/SVD_Consensus.asp?pGB=1&amp;gicode=A002170&amp;cID=&amp;MenuYn=Y&amp;ReportGB=&amp;NewMenuID=108&amp;stkGb=701", "삼양통상")</f>
        <v>0</v>
      </c>
      <c r="E166">
        <v>3</v>
      </c>
      <c r="F166">
        <v>53700</v>
      </c>
      <c r="G166">
        <v>0</v>
      </c>
      <c r="H166">
        <v>5.25</v>
      </c>
      <c r="I166">
        <v>160838</v>
      </c>
      <c r="J166">
        <v>150841</v>
      </c>
      <c r="K166">
        <v>147498</v>
      </c>
      <c r="L166">
        <v>-199.51</v>
      </c>
      <c r="M166">
        <v>-180.9</v>
      </c>
      <c r="N166">
        <v>-174.67</v>
      </c>
      <c r="O166">
        <v>11.33</v>
      </c>
      <c r="P166" t="b">
        <v>1</v>
      </c>
      <c r="Q166">
        <v>0</v>
      </c>
      <c r="R166">
        <v>11047</v>
      </c>
      <c r="U166" t="s">
        <v>943</v>
      </c>
      <c r="V166" t="s">
        <v>1314</v>
      </c>
      <c r="W166">
        <v>0</v>
      </c>
      <c r="X166">
        <v>-36.9</v>
      </c>
      <c r="Y166" t="s">
        <v>1672</v>
      </c>
      <c r="Z166">
        <v>-3.454938050248979</v>
      </c>
      <c r="AA166">
        <v>1611</v>
      </c>
      <c r="AB166">
        <v>1108</v>
      </c>
      <c r="AC166" t="s">
        <v>2027</v>
      </c>
      <c r="AD166">
        <v>56.92</v>
      </c>
      <c r="AE166" t="s">
        <v>2398</v>
      </c>
      <c r="AF166" t="s">
        <v>2768</v>
      </c>
      <c r="AG166">
        <v>1940</v>
      </c>
      <c r="AH166">
        <v>364</v>
      </c>
      <c r="AI166">
        <v>150575</v>
      </c>
      <c r="AJ166">
        <v>2.16</v>
      </c>
      <c r="AK166" t="b">
        <v>1</v>
      </c>
    </row>
    <row r="167" spans="1:38">
      <c r="A167" s="1" t="s">
        <v>201</v>
      </c>
      <c r="B167" t="s">
        <v>572</v>
      </c>
      <c r="C167">
        <f>HYPERLINK("https://finance.naver.com/item/coinfo.nhn?code=015230", "A015230")</f>
        <v>0</v>
      </c>
      <c r="D167">
        <f>HYPERLINK("http://comp.fnguide.com/SVO2/ASP/SVD_Consensus.asp?pGB=1&amp;gicode=A015230&amp;cID=&amp;MenuYn=Y&amp;ReportGB=&amp;NewMenuID=108&amp;stkGb=701", "대창단조")</f>
        <v>0</v>
      </c>
      <c r="E167">
        <v>3</v>
      </c>
      <c r="F167">
        <v>5320</v>
      </c>
      <c r="G167">
        <v>0</v>
      </c>
      <c r="H167">
        <v>4.24</v>
      </c>
      <c r="I167">
        <v>8525</v>
      </c>
      <c r="J167">
        <v>8368</v>
      </c>
      <c r="K167">
        <v>8316</v>
      </c>
      <c r="L167">
        <v>-60.24</v>
      </c>
      <c r="M167">
        <v>-57.29</v>
      </c>
      <c r="N167">
        <v>-56.31</v>
      </c>
      <c r="O167">
        <v>10.4</v>
      </c>
      <c r="P167" t="b">
        <v>1</v>
      </c>
      <c r="Q167">
        <v>0</v>
      </c>
      <c r="R167">
        <v>932</v>
      </c>
      <c r="U167" t="s">
        <v>944</v>
      </c>
      <c r="V167" t="s">
        <v>1315</v>
      </c>
      <c r="W167">
        <v>0</v>
      </c>
      <c r="X167">
        <v>-18.1</v>
      </c>
      <c r="Y167" t="s">
        <v>1673</v>
      </c>
      <c r="Z167">
        <v>12.19102546373312</v>
      </c>
      <c r="AA167">
        <v>1520</v>
      </c>
      <c r="AB167">
        <v>707851</v>
      </c>
      <c r="AC167" t="s">
        <v>2028</v>
      </c>
      <c r="AD167">
        <v>45.55</v>
      </c>
      <c r="AE167" t="s">
        <v>2399</v>
      </c>
      <c r="AF167" t="s">
        <v>2769</v>
      </c>
      <c r="AG167">
        <v>3544</v>
      </c>
      <c r="AH167">
        <v>295</v>
      </c>
      <c r="AI167">
        <v>2671516</v>
      </c>
      <c r="AJ167">
        <v>3.42</v>
      </c>
      <c r="AK167" t="b">
        <v>1</v>
      </c>
    </row>
    <row r="168" spans="1:38">
      <c r="A168" s="1" t="s">
        <v>202</v>
      </c>
      <c r="B168" t="s">
        <v>573</v>
      </c>
      <c r="C168">
        <f>HYPERLINK("https://finance.naver.com/item/coinfo.nhn?code=272550", "A272550")</f>
        <v>0</v>
      </c>
      <c r="D168">
        <f>HYPERLINK("http://comp.fnguide.com/SVO2/ASP/SVD_Consensus.asp?pGB=1&amp;gicode=A272550&amp;cID=&amp;MenuYn=Y&amp;ReportGB=&amp;NewMenuID=108&amp;stkGb=701", "삼양패키징")</f>
        <v>0</v>
      </c>
      <c r="E168">
        <v>3</v>
      </c>
      <c r="F168">
        <v>19350</v>
      </c>
      <c r="G168">
        <v>0</v>
      </c>
      <c r="H168">
        <v>11.72</v>
      </c>
      <c r="I168">
        <v>20570</v>
      </c>
      <c r="J168">
        <v>20446</v>
      </c>
      <c r="K168">
        <v>20404</v>
      </c>
      <c r="L168">
        <v>-6.3</v>
      </c>
      <c r="M168">
        <v>-5.66</v>
      </c>
      <c r="N168">
        <v>-5.45</v>
      </c>
      <c r="O168">
        <v>10.16</v>
      </c>
      <c r="P168" t="b">
        <v>0</v>
      </c>
      <c r="Q168">
        <v>0</v>
      </c>
      <c r="R168">
        <v>2132</v>
      </c>
      <c r="U168" t="s">
        <v>945</v>
      </c>
      <c r="V168" t="s">
        <v>1316</v>
      </c>
      <c r="W168">
        <v>0</v>
      </c>
      <c r="X168">
        <v>-87.90000000000001</v>
      </c>
      <c r="Y168" t="s">
        <v>1674</v>
      </c>
      <c r="Z168">
        <v>-33.37636217848463</v>
      </c>
      <c r="AA168">
        <v>3055</v>
      </c>
      <c r="AB168">
        <v>9633</v>
      </c>
      <c r="AC168" t="s">
        <v>2029</v>
      </c>
      <c r="AD168">
        <v>59.4</v>
      </c>
      <c r="AE168" t="s">
        <v>2400</v>
      </c>
      <c r="AF168" t="s">
        <v>2770</v>
      </c>
      <c r="AG168">
        <v>3919</v>
      </c>
      <c r="AH168">
        <v>461</v>
      </c>
      <c r="AJ168">
        <v>4</v>
      </c>
      <c r="AK168" t="b">
        <v>1</v>
      </c>
    </row>
    <row r="169" spans="1:38">
      <c r="A169" s="1" t="s">
        <v>203</v>
      </c>
      <c r="B169" t="s">
        <v>574</v>
      </c>
      <c r="C169">
        <f>HYPERLINK("https://finance.naver.com/item/coinfo.nhn?code=009970", "A009970")</f>
        <v>0</v>
      </c>
      <c r="D169">
        <f>HYPERLINK("http://comp.fnguide.com/SVO2/ASP/SVD_Consensus.asp?pGB=1&amp;gicode=A009970&amp;cID=&amp;MenuYn=Y&amp;ReportGB=&amp;NewMenuID=108&amp;stkGb=701", "영원무역홀딩스")</f>
        <v>0</v>
      </c>
      <c r="E169">
        <v>3</v>
      </c>
      <c r="F169">
        <v>48000</v>
      </c>
      <c r="G169">
        <v>0.09</v>
      </c>
      <c r="H169">
        <v>2.89</v>
      </c>
      <c r="I169">
        <v>160648</v>
      </c>
      <c r="J169">
        <v>149486</v>
      </c>
      <c r="K169">
        <v>145753</v>
      </c>
      <c r="L169">
        <v>-234.68</v>
      </c>
      <c r="M169">
        <v>-211.43</v>
      </c>
      <c r="N169">
        <v>-203.65</v>
      </c>
      <c r="O169">
        <v>11.51</v>
      </c>
      <c r="P169" t="b">
        <v>1</v>
      </c>
      <c r="Q169">
        <v>2</v>
      </c>
      <c r="R169">
        <v>16192</v>
      </c>
      <c r="S169">
        <v>20094</v>
      </c>
      <c r="T169">
        <v>24.1</v>
      </c>
      <c r="U169" t="s">
        <v>946</v>
      </c>
      <c r="V169" t="s">
        <v>1317</v>
      </c>
      <c r="W169">
        <v>31.34586811370832</v>
      </c>
      <c r="X169">
        <v>82.90000000000001</v>
      </c>
      <c r="Y169" t="s">
        <v>1675</v>
      </c>
      <c r="Z169">
        <v>41.34656087524107</v>
      </c>
      <c r="AA169">
        <v>6545</v>
      </c>
      <c r="AB169">
        <v>7040</v>
      </c>
      <c r="AC169" t="s">
        <v>2030</v>
      </c>
      <c r="AD169">
        <v>46.25</v>
      </c>
      <c r="AE169" t="s">
        <v>2401</v>
      </c>
      <c r="AF169" t="s">
        <v>2771</v>
      </c>
      <c r="AG169">
        <v>32405</v>
      </c>
      <c r="AH169">
        <v>5705</v>
      </c>
      <c r="AI169">
        <v>2030694</v>
      </c>
      <c r="AJ169">
        <v>4.28</v>
      </c>
      <c r="AK169" t="b">
        <v>1</v>
      </c>
    </row>
    <row r="170" spans="1:38">
      <c r="A170" s="1" t="s">
        <v>204</v>
      </c>
      <c r="B170" t="s">
        <v>575</v>
      </c>
      <c r="C170">
        <f>HYPERLINK("https://finance.naver.com/item/coinfo.nhn?code=111770", "A111770")</f>
        <v>0</v>
      </c>
      <c r="D170">
        <f>HYPERLINK("http://comp.fnguide.com/SVO2/ASP/SVD_Consensus.asp?pGB=1&amp;gicode=A111770&amp;cID=&amp;MenuYn=Y&amp;ReportGB=&amp;NewMenuID=108&amp;stkGb=701", "영원무역")</f>
        <v>0</v>
      </c>
      <c r="E170">
        <v>3</v>
      </c>
      <c r="F170">
        <v>40350</v>
      </c>
      <c r="G170">
        <v>0.19</v>
      </c>
      <c r="H170">
        <v>6.49</v>
      </c>
      <c r="I170">
        <v>58729</v>
      </c>
      <c r="J170">
        <v>54258</v>
      </c>
      <c r="K170">
        <v>52763</v>
      </c>
      <c r="L170">
        <v>-45.55</v>
      </c>
      <c r="M170">
        <v>-34.47</v>
      </c>
      <c r="N170">
        <v>-30.76</v>
      </c>
      <c r="O170">
        <v>11.67</v>
      </c>
      <c r="P170" t="b">
        <v>1</v>
      </c>
      <c r="Q170">
        <v>2</v>
      </c>
      <c r="R170">
        <v>6727</v>
      </c>
      <c r="S170">
        <v>9150</v>
      </c>
      <c r="T170">
        <v>36</v>
      </c>
      <c r="U170" t="s">
        <v>947</v>
      </c>
      <c r="V170" t="s">
        <v>1318</v>
      </c>
      <c r="W170">
        <v>34.59514593688722</v>
      </c>
      <c r="X170">
        <v>100.5</v>
      </c>
      <c r="Y170" t="s">
        <v>1676</v>
      </c>
      <c r="Z170">
        <v>40.62480548816558</v>
      </c>
      <c r="AA170">
        <v>17880</v>
      </c>
      <c r="AB170">
        <v>80621</v>
      </c>
      <c r="AC170" t="s">
        <v>2031</v>
      </c>
      <c r="AD170">
        <v>50.74</v>
      </c>
      <c r="AE170" t="s">
        <v>2402</v>
      </c>
      <c r="AF170" t="s">
        <v>2772</v>
      </c>
      <c r="AG170">
        <v>27925</v>
      </c>
      <c r="AH170">
        <v>4425</v>
      </c>
      <c r="AI170">
        <v>445407</v>
      </c>
      <c r="AJ170">
        <v>2.29</v>
      </c>
      <c r="AK170" t="b">
        <v>1</v>
      </c>
    </row>
    <row r="171" spans="1:38">
      <c r="A171" s="1" t="s">
        <v>205</v>
      </c>
      <c r="B171" t="s">
        <v>576</v>
      </c>
      <c r="C171">
        <f>HYPERLINK("https://finance.naver.com/item/coinfo.nhn?code=137310", "A137310")</f>
        <v>0</v>
      </c>
      <c r="D171">
        <f>HYPERLINK("http://comp.fnguide.com/SVO2/ASP/SVD_Consensus.asp?pGB=1&amp;gicode=A137310&amp;cID=&amp;MenuYn=Y&amp;ReportGB=&amp;NewMenuID=108&amp;stkGb=701", "에스디바이오센서")</f>
        <v>0</v>
      </c>
      <c r="E171">
        <v>3</v>
      </c>
      <c r="F171">
        <v>40300</v>
      </c>
      <c r="G171">
        <v>0.01</v>
      </c>
      <c r="H171">
        <v>5.14</v>
      </c>
      <c r="I171">
        <v>178431</v>
      </c>
      <c r="J171">
        <v>92382</v>
      </c>
      <c r="K171">
        <v>63603</v>
      </c>
      <c r="L171">
        <v>-342.76</v>
      </c>
      <c r="M171">
        <v>-129.23</v>
      </c>
      <c r="N171">
        <v>-57.82</v>
      </c>
      <c r="O171">
        <v>82.8</v>
      </c>
      <c r="P171" t="b">
        <v>1</v>
      </c>
      <c r="Q171">
        <v>0</v>
      </c>
      <c r="R171">
        <v>10867</v>
      </c>
      <c r="S171">
        <v>9325</v>
      </c>
      <c r="T171">
        <v>-14.2</v>
      </c>
      <c r="U171" t="s">
        <v>948</v>
      </c>
      <c r="V171" t="s">
        <v>1319</v>
      </c>
      <c r="W171">
        <v>526.0096655188138</v>
      </c>
      <c r="X171">
        <v>-2.7</v>
      </c>
      <c r="Y171" t="s">
        <v>1677</v>
      </c>
      <c r="Z171">
        <v>0</v>
      </c>
      <c r="AA171">
        <v>41618</v>
      </c>
      <c r="AB171">
        <v>531301</v>
      </c>
      <c r="AC171" t="s">
        <v>2032</v>
      </c>
      <c r="AD171">
        <v>63.87</v>
      </c>
      <c r="AE171" t="s">
        <v>2403</v>
      </c>
      <c r="AF171" t="s">
        <v>2773</v>
      </c>
      <c r="AG171">
        <v>29300</v>
      </c>
      <c r="AH171">
        <v>13640</v>
      </c>
      <c r="AI171">
        <v>2129887</v>
      </c>
      <c r="AJ171">
        <v>2.26</v>
      </c>
      <c r="AK171" t="b">
        <v>1</v>
      </c>
    </row>
    <row r="172" spans="1:38">
      <c r="A172" s="1" t="s">
        <v>206</v>
      </c>
      <c r="B172" t="s">
        <v>577</v>
      </c>
      <c r="C172">
        <f>HYPERLINK("https://finance.naver.com/item/coinfo.nhn?code=161000", "A161000")</f>
        <v>0</v>
      </c>
      <c r="D172">
        <f>HYPERLINK("http://comp.fnguide.com/SVO2/ASP/SVD_Consensus.asp?pGB=1&amp;gicode=A161000&amp;cID=&amp;MenuYn=Y&amp;ReportGB=&amp;NewMenuID=108&amp;stkGb=701", "애경케미칼")</f>
        <v>0</v>
      </c>
      <c r="E172">
        <v>3</v>
      </c>
      <c r="F172">
        <v>8350</v>
      </c>
      <c r="G172">
        <v>0</v>
      </c>
      <c r="H172">
        <v>4.88</v>
      </c>
      <c r="I172">
        <v>17831</v>
      </c>
      <c r="J172">
        <v>15939</v>
      </c>
      <c r="K172">
        <v>15306</v>
      </c>
      <c r="L172">
        <v>-113.54</v>
      </c>
      <c r="M172">
        <v>-90.88</v>
      </c>
      <c r="N172">
        <v>-83.31</v>
      </c>
      <c r="O172">
        <v>12.46</v>
      </c>
      <c r="P172" t="b">
        <v>1</v>
      </c>
      <c r="Q172">
        <v>0</v>
      </c>
      <c r="R172">
        <v>2225</v>
      </c>
      <c r="U172" t="s">
        <v>949</v>
      </c>
      <c r="V172" t="s">
        <v>1320</v>
      </c>
      <c r="W172">
        <v>0</v>
      </c>
      <c r="X172">
        <v>-54.5</v>
      </c>
      <c r="Y172" t="s">
        <v>1678</v>
      </c>
      <c r="Z172">
        <v>-12.99409009791677</v>
      </c>
      <c r="AA172">
        <v>4062</v>
      </c>
      <c r="AB172">
        <v>97904</v>
      </c>
      <c r="AC172" t="s">
        <v>2033</v>
      </c>
      <c r="AD172">
        <v>66.31</v>
      </c>
      <c r="AE172" t="s">
        <v>2404</v>
      </c>
      <c r="AF172" t="s">
        <v>2774</v>
      </c>
      <c r="AG172">
        <v>15701</v>
      </c>
      <c r="AH172">
        <v>933</v>
      </c>
      <c r="AI172">
        <v>476432</v>
      </c>
      <c r="AJ172">
        <v>5.07</v>
      </c>
      <c r="AK172" t="b">
        <v>1</v>
      </c>
    </row>
    <row r="173" spans="1:38">
      <c r="A173" s="1" t="s">
        <v>207</v>
      </c>
      <c r="B173" t="s">
        <v>578</v>
      </c>
      <c r="C173">
        <f>HYPERLINK("https://finance.naver.com/item/coinfo.nhn?code=002310", "A002310")</f>
        <v>0</v>
      </c>
      <c r="D173">
        <f>HYPERLINK("http://comp.fnguide.com/SVO2/ASP/SVD_Consensus.asp?pGB=1&amp;gicode=A002310&amp;cID=&amp;MenuYn=Y&amp;ReportGB=&amp;NewMenuID=108&amp;stkGb=701", "아세아제지")</f>
        <v>0</v>
      </c>
      <c r="E173">
        <v>3</v>
      </c>
      <c r="F173">
        <v>36250</v>
      </c>
      <c r="G173">
        <v>0</v>
      </c>
      <c r="H173">
        <v>5.18</v>
      </c>
      <c r="I173">
        <v>91655</v>
      </c>
      <c r="J173">
        <v>85128</v>
      </c>
      <c r="K173">
        <v>82945</v>
      </c>
      <c r="L173">
        <v>-152.84</v>
      </c>
      <c r="M173">
        <v>-134.84</v>
      </c>
      <c r="N173">
        <v>-128.81</v>
      </c>
      <c r="O173">
        <v>11.55</v>
      </c>
      <c r="P173" t="b">
        <v>1</v>
      </c>
      <c r="Q173">
        <v>0</v>
      </c>
      <c r="R173">
        <v>10160</v>
      </c>
      <c r="U173" t="s">
        <v>950</v>
      </c>
      <c r="V173" t="s">
        <v>1321</v>
      </c>
      <c r="W173">
        <v>0</v>
      </c>
      <c r="X173">
        <v>-18</v>
      </c>
      <c r="Y173" t="s">
        <v>1679</v>
      </c>
      <c r="Z173">
        <v>71.56973400410658</v>
      </c>
      <c r="AA173">
        <v>3247</v>
      </c>
      <c r="AB173">
        <v>7897</v>
      </c>
      <c r="AC173" t="s">
        <v>2034</v>
      </c>
      <c r="AD173">
        <v>49.76</v>
      </c>
      <c r="AE173" t="s">
        <v>2405</v>
      </c>
      <c r="AF173" t="s">
        <v>2775</v>
      </c>
      <c r="AG173">
        <v>9457</v>
      </c>
      <c r="AH173">
        <v>939</v>
      </c>
      <c r="AJ173">
        <v>1.71</v>
      </c>
      <c r="AK173" t="b">
        <v>1</v>
      </c>
    </row>
    <row r="174" spans="1:38">
      <c r="A174" s="1" t="s">
        <v>208</v>
      </c>
      <c r="B174" t="s">
        <v>579</v>
      </c>
      <c r="C174">
        <f>HYPERLINK("https://finance.naver.com/item/coinfo.nhn?code=002870", "A002870")</f>
        <v>0</v>
      </c>
      <c r="D174">
        <f>HYPERLINK("http://comp.fnguide.com/SVO2/ASP/SVD_Consensus.asp?pGB=1&amp;gicode=A002870&amp;cID=&amp;MenuYn=Y&amp;ReportGB=&amp;NewMenuID=108&amp;stkGb=701", "신풍제지")</f>
        <v>0</v>
      </c>
      <c r="E174">
        <v>3</v>
      </c>
      <c r="F174">
        <v>1770</v>
      </c>
      <c r="G174">
        <v>0</v>
      </c>
      <c r="I174">
        <v>5874</v>
      </c>
      <c r="J174">
        <v>4421</v>
      </c>
      <c r="K174">
        <v>3935</v>
      </c>
      <c r="L174">
        <v>-231.86</v>
      </c>
      <c r="M174">
        <v>-149.77</v>
      </c>
      <c r="N174">
        <v>-122.31</v>
      </c>
      <c r="O174">
        <v>18.29</v>
      </c>
      <c r="P174" t="b">
        <v>0</v>
      </c>
      <c r="Q174">
        <v>0</v>
      </c>
      <c r="R174">
        <v>-287</v>
      </c>
      <c r="U174" t="s">
        <v>951</v>
      </c>
      <c r="V174" t="s">
        <v>1322</v>
      </c>
      <c r="W174">
        <v>0</v>
      </c>
      <c r="Y174" t="s">
        <v>1680</v>
      </c>
      <c r="Z174">
        <v>0</v>
      </c>
      <c r="AA174">
        <v>619</v>
      </c>
      <c r="AB174">
        <v>434107</v>
      </c>
      <c r="AC174" t="s">
        <v>2035</v>
      </c>
      <c r="AD174">
        <v>32.46</v>
      </c>
      <c r="AE174" t="s">
        <v>2406</v>
      </c>
      <c r="AF174" t="s">
        <v>2776</v>
      </c>
      <c r="AG174">
        <v>259</v>
      </c>
      <c r="AH174">
        <v>-40</v>
      </c>
      <c r="AI174">
        <v>7252320</v>
      </c>
      <c r="AJ174">
        <v>2.71</v>
      </c>
      <c r="AL174" t="b">
        <v>0</v>
      </c>
    </row>
    <row r="175" spans="1:38">
      <c r="A175" s="1" t="s">
        <v>209</v>
      </c>
      <c r="B175" t="s">
        <v>580</v>
      </c>
      <c r="C175">
        <f>HYPERLINK("https://finance.naver.com/item/coinfo.nhn?code=035510", "A035510")</f>
        <v>0</v>
      </c>
      <c r="D175">
        <f>HYPERLINK("http://comp.fnguide.com/SVO2/ASP/SVD_Consensus.asp?pGB=1&amp;gicode=A035510&amp;cID=&amp;MenuYn=Y&amp;ReportGB=&amp;NewMenuID=108&amp;stkGb=701", "신세계 I&amp;C")</f>
        <v>0</v>
      </c>
      <c r="E175">
        <v>3</v>
      </c>
      <c r="F175">
        <v>14100</v>
      </c>
      <c r="G175">
        <v>0</v>
      </c>
      <c r="H175">
        <v>8.75</v>
      </c>
      <c r="I175">
        <v>42252</v>
      </c>
      <c r="J175">
        <v>30597</v>
      </c>
      <c r="K175">
        <v>26699</v>
      </c>
      <c r="L175">
        <v>-199.66</v>
      </c>
      <c r="M175">
        <v>-117</v>
      </c>
      <c r="N175">
        <v>-89.36</v>
      </c>
      <c r="O175">
        <v>20.2</v>
      </c>
      <c r="P175" t="b">
        <v>1</v>
      </c>
      <c r="Q175">
        <v>0</v>
      </c>
      <c r="R175">
        <v>2268</v>
      </c>
      <c r="U175" t="s">
        <v>952</v>
      </c>
      <c r="V175" t="s">
        <v>1323</v>
      </c>
      <c r="W175">
        <v>0</v>
      </c>
      <c r="X175">
        <v>-19.6</v>
      </c>
      <c r="Y175" t="s">
        <v>1681</v>
      </c>
      <c r="Z175">
        <v>25.8880455592031</v>
      </c>
      <c r="AA175">
        <v>2425</v>
      </c>
      <c r="AB175">
        <v>20537</v>
      </c>
      <c r="AC175" t="s">
        <v>2036</v>
      </c>
      <c r="AD175">
        <v>35.65</v>
      </c>
      <c r="AE175" t="s">
        <v>2407</v>
      </c>
      <c r="AF175" t="s">
        <v>2777</v>
      </c>
      <c r="AG175">
        <v>5261</v>
      </c>
      <c r="AH175">
        <v>355</v>
      </c>
      <c r="AI175">
        <v>4054190</v>
      </c>
      <c r="AJ175">
        <v>1.26</v>
      </c>
      <c r="AK175" t="b">
        <v>1</v>
      </c>
    </row>
    <row r="176" spans="1:38">
      <c r="A176" s="1" t="s">
        <v>210</v>
      </c>
      <c r="B176" t="s">
        <v>581</v>
      </c>
      <c r="C176">
        <f>HYPERLINK("https://finance.naver.com/item/coinfo.nhn?code=016590", "A016590")</f>
        <v>0</v>
      </c>
      <c r="D176">
        <f>HYPERLINK("http://comp.fnguide.com/SVO2/ASP/SVD_Consensus.asp?pGB=1&amp;gicode=A016590&amp;cID=&amp;MenuYn=Y&amp;ReportGB=&amp;NewMenuID=108&amp;stkGb=701", "신대양제지")</f>
        <v>0</v>
      </c>
      <c r="E176">
        <v>3</v>
      </c>
      <c r="F176">
        <v>88400</v>
      </c>
      <c r="G176">
        <v>0</v>
      </c>
      <c r="H176">
        <v>6.38</v>
      </c>
      <c r="I176">
        <v>156095</v>
      </c>
      <c r="J176">
        <v>146809</v>
      </c>
      <c r="K176">
        <v>143703</v>
      </c>
      <c r="L176">
        <v>-76.58</v>
      </c>
      <c r="M176">
        <v>-66.06999999999999</v>
      </c>
      <c r="N176">
        <v>-62.56</v>
      </c>
      <c r="O176">
        <v>11.27</v>
      </c>
      <c r="P176" t="b">
        <v>1</v>
      </c>
      <c r="Q176">
        <v>0</v>
      </c>
      <c r="R176">
        <v>13429</v>
      </c>
      <c r="U176" t="s">
        <v>953</v>
      </c>
      <c r="V176" t="s">
        <v>1324</v>
      </c>
      <c r="W176">
        <v>0</v>
      </c>
      <c r="X176">
        <v>-50.1</v>
      </c>
      <c r="Y176" t="s">
        <v>1682</v>
      </c>
      <c r="Z176">
        <v>-0.9695076142558934</v>
      </c>
      <c r="AA176">
        <v>3562</v>
      </c>
      <c r="AB176">
        <v>757</v>
      </c>
      <c r="AC176" t="s">
        <v>2037</v>
      </c>
      <c r="AD176">
        <v>54.34</v>
      </c>
      <c r="AE176" t="s">
        <v>2408</v>
      </c>
      <c r="AF176" t="s">
        <v>2778</v>
      </c>
      <c r="AG176">
        <v>6816</v>
      </c>
      <c r="AH176">
        <v>544</v>
      </c>
      <c r="AI176">
        <v>422855</v>
      </c>
      <c r="AJ176">
        <v>1.46</v>
      </c>
      <c r="AK176" t="b">
        <v>1</v>
      </c>
    </row>
    <row r="177" spans="1:38">
      <c r="A177" s="1" t="s">
        <v>211</v>
      </c>
      <c r="B177" t="s">
        <v>582</v>
      </c>
      <c r="C177">
        <f>HYPERLINK("https://finance.naver.com/item/coinfo.nhn?code=134790", "A134790")</f>
        <v>0</v>
      </c>
      <c r="D177">
        <f>HYPERLINK("http://comp.fnguide.com/SVO2/ASP/SVD_Consensus.asp?pGB=1&amp;gicode=A134790&amp;cID=&amp;MenuYn=Y&amp;ReportGB=&amp;NewMenuID=108&amp;stkGb=701", "시디즈")</f>
        <v>0</v>
      </c>
      <c r="E177">
        <v>3</v>
      </c>
      <c r="F177">
        <v>50500</v>
      </c>
      <c r="G177">
        <v>0</v>
      </c>
      <c r="H177">
        <v>9.48</v>
      </c>
      <c r="I177">
        <v>111524</v>
      </c>
      <c r="J177">
        <v>70416</v>
      </c>
      <c r="K177">
        <v>56668</v>
      </c>
      <c r="L177">
        <v>-120.84</v>
      </c>
      <c r="M177">
        <v>-39.44</v>
      </c>
      <c r="N177">
        <v>-12.21</v>
      </c>
      <c r="O177">
        <v>30.6</v>
      </c>
      <c r="P177" t="b">
        <v>1</v>
      </c>
      <c r="Q177">
        <v>0</v>
      </c>
      <c r="R177">
        <v>6468</v>
      </c>
      <c r="U177" t="s">
        <v>954</v>
      </c>
      <c r="V177" t="s">
        <v>1325</v>
      </c>
      <c r="W177">
        <v>0</v>
      </c>
      <c r="X177">
        <v>-68.59999999999999</v>
      </c>
      <c r="Y177" t="s">
        <v>1683</v>
      </c>
      <c r="Z177">
        <v>67.49573559230217</v>
      </c>
      <c r="AA177">
        <v>1010</v>
      </c>
      <c r="AB177">
        <v>23076</v>
      </c>
      <c r="AC177" t="s">
        <v>2038</v>
      </c>
      <c r="AD177">
        <v>60.72</v>
      </c>
      <c r="AE177" t="s">
        <v>2409</v>
      </c>
      <c r="AF177" t="s">
        <v>2779</v>
      </c>
      <c r="AG177">
        <v>2519</v>
      </c>
      <c r="AH177">
        <v>127</v>
      </c>
      <c r="AI177">
        <v>321042</v>
      </c>
      <c r="AJ177">
        <v>0.65</v>
      </c>
      <c r="AK177" t="b">
        <v>1</v>
      </c>
    </row>
    <row r="178" spans="1:38">
      <c r="A178" s="1" t="s">
        <v>212</v>
      </c>
      <c r="B178" t="s">
        <v>583</v>
      </c>
      <c r="C178">
        <f>HYPERLINK("https://finance.naver.com/item/coinfo.nhn?code=004430", "A004430")</f>
        <v>0</v>
      </c>
      <c r="D178">
        <f>HYPERLINK("http://comp.fnguide.com/SVO2/ASP/SVD_Consensus.asp?pGB=1&amp;gicode=A004430&amp;cID=&amp;MenuYn=Y&amp;ReportGB=&amp;NewMenuID=108&amp;stkGb=701", "송원산업")</f>
        <v>0</v>
      </c>
      <c r="E178">
        <v>3</v>
      </c>
      <c r="F178">
        <v>18900</v>
      </c>
      <c r="G178">
        <v>0</v>
      </c>
      <c r="H178">
        <v>7.12</v>
      </c>
      <c r="I178">
        <v>23981</v>
      </c>
      <c r="J178">
        <v>23244</v>
      </c>
      <c r="K178">
        <v>22997</v>
      </c>
      <c r="L178">
        <v>-26.89</v>
      </c>
      <c r="M178">
        <v>-22.98</v>
      </c>
      <c r="N178">
        <v>-21.68</v>
      </c>
      <c r="O178">
        <v>10.65</v>
      </c>
      <c r="P178" t="b">
        <v>1</v>
      </c>
      <c r="Q178">
        <v>0</v>
      </c>
      <c r="R178">
        <v>3011</v>
      </c>
      <c r="U178" t="s">
        <v>955</v>
      </c>
      <c r="V178" t="s">
        <v>1326</v>
      </c>
      <c r="W178">
        <v>0</v>
      </c>
      <c r="X178">
        <v>334.2</v>
      </c>
      <c r="Y178" t="s">
        <v>1684</v>
      </c>
      <c r="Z178">
        <v>54.74269764107697</v>
      </c>
      <c r="AA178">
        <v>4536</v>
      </c>
      <c r="AB178">
        <v>2018348</v>
      </c>
      <c r="AC178" t="s">
        <v>2039</v>
      </c>
      <c r="AD178">
        <v>35.65</v>
      </c>
      <c r="AE178" t="s">
        <v>2410</v>
      </c>
      <c r="AF178" t="s">
        <v>2780</v>
      </c>
      <c r="AG178">
        <v>9982</v>
      </c>
      <c r="AH178">
        <v>1057</v>
      </c>
      <c r="AJ178">
        <v>0.93</v>
      </c>
      <c r="AK178" t="b">
        <v>1</v>
      </c>
    </row>
    <row r="179" spans="1:38">
      <c r="A179" s="1" t="s">
        <v>213</v>
      </c>
      <c r="B179" t="s">
        <v>584</v>
      </c>
      <c r="C179">
        <f>HYPERLINK("https://finance.naver.com/item/coinfo.nhn?code=027970", "A027970")</f>
        <v>0</v>
      </c>
      <c r="D179">
        <f>HYPERLINK("http://comp.fnguide.com/SVO2/ASP/SVD_Consensus.asp?pGB=1&amp;gicode=A027970&amp;cID=&amp;MenuYn=Y&amp;ReportGB=&amp;NewMenuID=108&amp;stkGb=701", "세하")</f>
        <v>0</v>
      </c>
      <c r="E179">
        <v>3</v>
      </c>
      <c r="F179">
        <v>1405</v>
      </c>
      <c r="G179">
        <v>0</v>
      </c>
      <c r="H179">
        <v>9.050000000000001</v>
      </c>
      <c r="I179">
        <v>3103</v>
      </c>
      <c r="J179">
        <v>2334</v>
      </c>
      <c r="K179">
        <v>2076</v>
      </c>
      <c r="L179">
        <v>-120.89</v>
      </c>
      <c r="M179">
        <v>-66.09</v>
      </c>
      <c r="N179">
        <v>-47.76</v>
      </c>
      <c r="O179">
        <v>18.34</v>
      </c>
      <c r="P179" t="b">
        <v>1</v>
      </c>
      <c r="Q179">
        <v>0</v>
      </c>
      <c r="R179">
        <v>178</v>
      </c>
      <c r="U179" t="s">
        <v>956</v>
      </c>
      <c r="V179" t="s">
        <v>1327</v>
      </c>
      <c r="W179">
        <v>0</v>
      </c>
      <c r="X179">
        <v>-39.7</v>
      </c>
      <c r="Y179" t="s">
        <v>1685</v>
      </c>
      <c r="Z179">
        <v>0</v>
      </c>
      <c r="AA179">
        <v>809</v>
      </c>
      <c r="AB179">
        <v>40462</v>
      </c>
      <c r="AC179" t="s">
        <v>2040</v>
      </c>
      <c r="AD179">
        <v>50.73</v>
      </c>
      <c r="AE179" t="s">
        <v>2411</v>
      </c>
      <c r="AF179" t="s">
        <v>2781</v>
      </c>
      <c r="AG179">
        <v>2044</v>
      </c>
      <c r="AH179">
        <v>133</v>
      </c>
      <c r="AI179">
        <v>1305</v>
      </c>
      <c r="AK179" t="b">
        <v>1</v>
      </c>
    </row>
    <row r="180" spans="1:38">
      <c r="A180" s="1" t="s">
        <v>214</v>
      </c>
      <c r="B180" t="s">
        <v>585</v>
      </c>
      <c r="C180">
        <f>HYPERLINK("https://finance.naver.com/item/coinfo.nhn?code=011300", "A011300")</f>
        <v>0</v>
      </c>
      <c r="D180">
        <f>HYPERLINK("http://comp.fnguide.com/SVO2/ASP/SVD_Consensus.asp?pGB=1&amp;gicode=A011300&amp;cID=&amp;MenuYn=Y&amp;ReportGB=&amp;NewMenuID=108&amp;stkGb=701", "성안")</f>
        <v>0</v>
      </c>
      <c r="E180">
        <v>3</v>
      </c>
      <c r="F180">
        <v>728</v>
      </c>
      <c r="G180">
        <v>0</v>
      </c>
      <c r="H180">
        <v>2.07</v>
      </c>
      <c r="I180">
        <v>2767</v>
      </c>
      <c r="J180">
        <v>1598</v>
      </c>
      <c r="K180">
        <v>1207</v>
      </c>
      <c r="L180">
        <v>-280.15</v>
      </c>
      <c r="M180">
        <v>-119.5</v>
      </c>
      <c r="N180">
        <v>-65.77</v>
      </c>
      <c r="O180">
        <v>43.69</v>
      </c>
      <c r="P180" t="b">
        <v>1</v>
      </c>
      <c r="Q180">
        <v>0</v>
      </c>
      <c r="R180">
        <v>381</v>
      </c>
      <c r="U180" t="s">
        <v>957</v>
      </c>
      <c r="V180" t="s">
        <v>1328</v>
      </c>
      <c r="W180">
        <v>0</v>
      </c>
      <c r="Y180" t="s">
        <v>1534</v>
      </c>
      <c r="Z180">
        <v>0</v>
      </c>
      <c r="AA180">
        <v>414</v>
      </c>
      <c r="AB180">
        <v>1486671</v>
      </c>
      <c r="AC180" t="s">
        <v>2041</v>
      </c>
      <c r="AD180">
        <v>31.45</v>
      </c>
      <c r="AE180" t="s">
        <v>2412</v>
      </c>
      <c r="AF180" t="s">
        <v>2782</v>
      </c>
      <c r="AG180">
        <v>789</v>
      </c>
      <c r="AH180">
        <v>-61</v>
      </c>
      <c r="AL180" t="b">
        <v>0</v>
      </c>
    </row>
    <row r="181" spans="1:38">
      <c r="A181" s="1" t="s">
        <v>215</v>
      </c>
      <c r="B181" t="s">
        <v>586</v>
      </c>
      <c r="C181">
        <f>HYPERLINK("https://finance.naver.com/item/coinfo.nhn?code=136490", "A136490")</f>
        <v>0</v>
      </c>
      <c r="D181">
        <f>HYPERLINK("http://comp.fnguide.com/SVO2/ASP/SVD_Consensus.asp?pGB=1&amp;gicode=A136490&amp;cID=&amp;MenuYn=Y&amp;ReportGB=&amp;NewMenuID=108&amp;stkGb=701", "선진")</f>
        <v>0</v>
      </c>
      <c r="E181">
        <v>3</v>
      </c>
      <c r="F181">
        <v>10800</v>
      </c>
      <c r="G181">
        <v>0</v>
      </c>
      <c r="H181">
        <v>6.38</v>
      </c>
      <c r="I181">
        <v>25381</v>
      </c>
      <c r="J181">
        <v>20985</v>
      </c>
      <c r="K181">
        <v>19515</v>
      </c>
      <c r="L181">
        <v>-135.01</v>
      </c>
      <c r="M181">
        <v>-94.31</v>
      </c>
      <c r="N181">
        <v>-80.7</v>
      </c>
      <c r="O181">
        <v>14.68</v>
      </c>
      <c r="P181" t="b">
        <v>1</v>
      </c>
      <c r="Q181">
        <v>0</v>
      </c>
      <c r="R181">
        <v>1804</v>
      </c>
      <c r="U181" t="s">
        <v>958</v>
      </c>
      <c r="V181" t="s">
        <v>1329</v>
      </c>
      <c r="W181">
        <v>0</v>
      </c>
      <c r="X181">
        <v>1</v>
      </c>
      <c r="Y181" t="s">
        <v>1686</v>
      </c>
      <c r="Z181">
        <v>-9.288499876908041</v>
      </c>
      <c r="AA181">
        <v>2568</v>
      </c>
      <c r="AB181">
        <v>46514</v>
      </c>
      <c r="AC181" t="s">
        <v>2042</v>
      </c>
      <c r="AD181">
        <v>50.04</v>
      </c>
      <c r="AE181" t="s">
        <v>2413</v>
      </c>
      <c r="AF181" t="s">
        <v>2783</v>
      </c>
      <c r="AG181">
        <v>17183</v>
      </c>
      <c r="AH181">
        <v>863</v>
      </c>
      <c r="AI181">
        <v>396</v>
      </c>
      <c r="AJ181">
        <v>0.87</v>
      </c>
      <c r="AK181" t="b">
        <v>1</v>
      </c>
    </row>
    <row r="182" spans="1:38">
      <c r="A182" s="1" t="s">
        <v>216</v>
      </c>
      <c r="B182" t="s">
        <v>587</v>
      </c>
      <c r="C182">
        <f>HYPERLINK("https://finance.naver.com/item/coinfo.nhn?code=008490", "A008490")</f>
        <v>0</v>
      </c>
      <c r="D182">
        <f>HYPERLINK("http://comp.fnguide.com/SVO2/ASP/SVD_Consensus.asp?pGB=1&amp;gicode=A008490&amp;cID=&amp;MenuYn=Y&amp;ReportGB=&amp;NewMenuID=108&amp;stkGb=701", "서흥")</f>
        <v>0</v>
      </c>
      <c r="E182">
        <v>3</v>
      </c>
      <c r="F182">
        <v>36300</v>
      </c>
      <c r="G182">
        <v>0.54</v>
      </c>
      <c r="H182">
        <v>9.52</v>
      </c>
      <c r="I182">
        <v>51459</v>
      </c>
      <c r="J182">
        <v>42358</v>
      </c>
      <c r="K182">
        <v>39314</v>
      </c>
      <c r="L182">
        <v>-41.76</v>
      </c>
      <c r="M182">
        <v>-16.69</v>
      </c>
      <c r="N182">
        <v>-8.300000000000001</v>
      </c>
      <c r="O182">
        <v>14.83</v>
      </c>
      <c r="P182" t="b">
        <v>1</v>
      </c>
      <c r="Q182">
        <v>0</v>
      </c>
      <c r="R182">
        <v>4641</v>
      </c>
      <c r="S182">
        <v>4473</v>
      </c>
      <c r="T182">
        <v>-3.6</v>
      </c>
      <c r="U182" t="s">
        <v>959</v>
      </c>
      <c r="V182" t="s">
        <v>1330</v>
      </c>
      <c r="W182">
        <v>17.73013527978151</v>
      </c>
      <c r="X182">
        <v>-24.2</v>
      </c>
      <c r="Y182" t="s">
        <v>1687</v>
      </c>
      <c r="Z182">
        <v>12.0207842920985</v>
      </c>
      <c r="AA182">
        <v>4200</v>
      </c>
      <c r="AB182">
        <v>7874</v>
      </c>
      <c r="AC182" t="s">
        <v>2043</v>
      </c>
      <c r="AD182">
        <v>52.77</v>
      </c>
      <c r="AE182" t="s">
        <v>2414</v>
      </c>
      <c r="AF182" t="s">
        <v>2784</v>
      </c>
      <c r="AG182">
        <v>5967</v>
      </c>
      <c r="AH182">
        <v>696</v>
      </c>
      <c r="AI182">
        <v>450000</v>
      </c>
      <c r="AJ182">
        <v>1.13</v>
      </c>
      <c r="AK182" t="b">
        <v>1</v>
      </c>
    </row>
    <row r="183" spans="1:38">
      <c r="A183" s="1" t="s">
        <v>217</v>
      </c>
      <c r="B183" t="s">
        <v>588</v>
      </c>
      <c r="C183">
        <f>HYPERLINK("https://finance.naver.com/item/coinfo.nhn?code=248170", "A248170")</f>
        <v>0</v>
      </c>
      <c r="D183">
        <f>HYPERLINK("http://comp.fnguide.com/SVO2/ASP/SVD_Consensus.asp?pGB=1&amp;gicode=A248170&amp;cID=&amp;MenuYn=Y&amp;ReportGB=&amp;NewMenuID=108&amp;stkGb=701", "샘표식품")</f>
        <v>0</v>
      </c>
      <c r="E183">
        <v>3</v>
      </c>
      <c r="F183">
        <v>37050</v>
      </c>
      <c r="G183">
        <v>0</v>
      </c>
      <c r="H183">
        <v>8.630000000000001</v>
      </c>
      <c r="I183">
        <v>74010</v>
      </c>
      <c r="J183">
        <v>59229</v>
      </c>
      <c r="K183">
        <v>54286</v>
      </c>
      <c r="L183">
        <v>-99.76000000000001</v>
      </c>
      <c r="M183">
        <v>-59.86</v>
      </c>
      <c r="N183">
        <v>-46.52</v>
      </c>
      <c r="O183">
        <v>15.8</v>
      </c>
      <c r="P183" t="b">
        <v>1</v>
      </c>
      <c r="Q183">
        <v>0</v>
      </c>
      <c r="R183">
        <v>5186</v>
      </c>
      <c r="U183" t="s">
        <v>960</v>
      </c>
      <c r="V183" t="s">
        <v>1331</v>
      </c>
      <c r="W183">
        <v>0</v>
      </c>
      <c r="X183">
        <v>-25.7</v>
      </c>
      <c r="Y183" t="s">
        <v>1688</v>
      </c>
      <c r="Z183">
        <v>8.890273211110422</v>
      </c>
      <c r="AA183">
        <v>1693</v>
      </c>
      <c r="AB183">
        <v>11349</v>
      </c>
      <c r="AC183" t="s">
        <v>2044</v>
      </c>
      <c r="AD183">
        <v>60.02</v>
      </c>
      <c r="AE183" t="s">
        <v>2415</v>
      </c>
      <c r="AF183" t="s">
        <v>2785</v>
      </c>
      <c r="AG183">
        <v>3487</v>
      </c>
      <c r="AH183">
        <v>235</v>
      </c>
      <c r="AI183">
        <v>1690</v>
      </c>
      <c r="AJ183">
        <v>0.45</v>
      </c>
      <c r="AK183" t="b">
        <v>1</v>
      </c>
    </row>
    <row r="184" spans="1:38">
      <c r="A184" s="1" t="s">
        <v>218</v>
      </c>
      <c r="B184" t="s">
        <v>589</v>
      </c>
      <c r="C184">
        <f>HYPERLINK("https://finance.naver.com/item/coinfo.nhn?code=084010", "A084010")</f>
        <v>0</v>
      </c>
      <c r="D184">
        <f>HYPERLINK("http://comp.fnguide.com/SVO2/ASP/SVD_Consensus.asp?pGB=1&amp;gicode=A084010&amp;cID=&amp;MenuYn=Y&amp;ReportGB=&amp;NewMenuID=108&amp;stkGb=701", "대한제강")</f>
        <v>0</v>
      </c>
      <c r="E184">
        <v>3</v>
      </c>
      <c r="F184">
        <v>15750</v>
      </c>
      <c r="G184">
        <v>0.03</v>
      </c>
      <c r="H184">
        <v>2.71</v>
      </c>
      <c r="I184">
        <v>58843</v>
      </c>
      <c r="J184">
        <v>45752</v>
      </c>
      <c r="K184">
        <v>41373</v>
      </c>
      <c r="L184">
        <v>-273.6</v>
      </c>
      <c r="M184">
        <v>-190.49</v>
      </c>
      <c r="N184">
        <v>-162.69</v>
      </c>
      <c r="O184">
        <v>16.9</v>
      </c>
      <c r="P184" t="b">
        <v>1</v>
      </c>
      <c r="Q184">
        <v>3</v>
      </c>
      <c r="R184">
        <v>5744</v>
      </c>
      <c r="S184">
        <v>7058</v>
      </c>
      <c r="T184">
        <v>22.9</v>
      </c>
      <c r="U184" t="s">
        <v>961</v>
      </c>
      <c r="V184" t="s">
        <v>1332</v>
      </c>
      <c r="W184">
        <v>79.391838117931</v>
      </c>
      <c r="X184">
        <v>86.09999999999999</v>
      </c>
      <c r="Y184" t="s">
        <v>1689</v>
      </c>
      <c r="Z184">
        <v>0</v>
      </c>
      <c r="AA184">
        <v>3882</v>
      </c>
      <c r="AB184">
        <v>64472</v>
      </c>
      <c r="AC184" t="s">
        <v>2045</v>
      </c>
      <c r="AD184">
        <v>45.41</v>
      </c>
      <c r="AE184" t="s">
        <v>2416</v>
      </c>
      <c r="AF184" t="s">
        <v>2786</v>
      </c>
      <c r="AG184">
        <v>20303</v>
      </c>
      <c r="AH184">
        <v>2018</v>
      </c>
      <c r="AI184">
        <v>6079741</v>
      </c>
      <c r="AJ184">
        <v>2.57</v>
      </c>
      <c r="AK184" t="b">
        <v>1</v>
      </c>
    </row>
    <row r="185" spans="1:38">
      <c r="A185" s="1" t="s">
        <v>219</v>
      </c>
      <c r="B185" t="s">
        <v>590</v>
      </c>
      <c r="C185">
        <f>HYPERLINK("https://finance.naver.com/item/coinfo.nhn?code=047040", "A047040")</f>
        <v>0</v>
      </c>
      <c r="D185">
        <f>HYPERLINK("http://comp.fnguide.com/SVO2/ASP/SVD_Consensus.asp?pGB=1&amp;gicode=A047040&amp;cID=&amp;MenuYn=Y&amp;ReportGB=&amp;NewMenuID=108&amp;stkGb=701", "대우건설")</f>
        <v>0</v>
      </c>
      <c r="E185">
        <v>3</v>
      </c>
      <c r="F185">
        <v>5250</v>
      </c>
      <c r="G185">
        <v>0.16</v>
      </c>
      <c r="H185">
        <v>4.95</v>
      </c>
      <c r="I185">
        <v>10414</v>
      </c>
      <c r="J185">
        <v>8988</v>
      </c>
      <c r="K185">
        <v>8512</v>
      </c>
      <c r="L185">
        <v>-98.34999999999999</v>
      </c>
      <c r="M185">
        <v>-71.20999999999999</v>
      </c>
      <c r="N185">
        <v>-62.13</v>
      </c>
      <c r="O185">
        <v>13.39</v>
      </c>
      <c r="P185" t="b">
        <v>1</v>
      </c>
      <c r="Q185">
        <v>0</v>
      </c>
      <c r="R185">
        <v>1166</v>
      </c>
      <c r="S185">
        <v>1126</v>
      </c>
      <c r="T185">
        <v>-3.4</v>
      </c>
      <c r="U185" t="s">
        <v>962</v>
      </c>
      <c r="V185" t="s">
        <v>1333</v>
      </c>
      <c r="W185">
        <v>30.92510300221336</v>
      </c>
      <c r="X185">
        <v>17.3</v>
      </c>
      <c r="Y185" t="s">
        <v>1690</v>
      </c>
      <c r="Z185">
        <v>17.04181476501556</v>
      </c>
      <c r="AA185">
        <v>21820</v>
      </c>
      <c r="AB185">
        <v>2773233</v>
      </c>
      <c r="AC185" t="s">
        <v>2046</v>
      </c>
      <c r="AD185">
        <v>50.75</v>
      </c>
      <c r="AE185" t="s">
        <v>2417</v>
      </c>
      <c r="AF185" t="s">
        <v>2787</v>
      </c>
      <c r="AG185">
        <v>86852</v>
      </c>
      <c r="AH185">
        <v>7383</v>
      </c>
      <c r="AI185">
        <v>4736918</v>
      </c>
      <c r="AK185" t="b">
        <v>1</v>
      </c>
    </row>
    <row r="186" spans="1:38">
      <c r="A186" s="1" t="s">
        <v>220</v>
      </c>
      <c r="B186" t="s">
        <v>591</v>
      </c>
      <c r="C186">
        <f>HYPERLINK("https://finance.naver.com/item/coinfo.nhn?code=049800", "A049800")</f>
        <v>0</v>
      </c>
      <c r="D186">
        <f>HYPERLINK("http://comp.fnguide.com/SVO2/ASP/SVD_Consensus.asp?pGB=1&amp;gicode=A049800&amp;cID=&amp;MenuYn=Y&amp;ReportGB=&amp;NewMenuID=108&amp;stkGb=701", "우진플라임")</f>
        <v>0</v>
      </c>
      <c r="E186">
        <v>3</v>
      </c>
      <c r="F186">
        <v>3700</v>
      </c>
      <c r="G186">
        <v>0</v>
      </c>
      <c r="H186">
        <v>4.06</v>
      </c>
      <c r="I186">
        <v>8301</v>
      </c>
      <c r="J186">
        <v>5998</v>
      </c>
      <c r="K186">
        <v>5228</v>
      </c>
      <c r="L186">
        <v>-124.34</v>
      </c>
      <c r="M186">
        <v>-62.1</v>
      </c>
      <c r="N186">
        <v>-41.28</v>
      </c>
      <c r="O186">
        <v>20.32</v>
      </c>
      <c r="P186" t="b">
        <v>1</v>
      </c>
      <c r="Q186">
        <v>0</v>
      </c>
      <c r="R186">
        <v>1126</v>
      </c>
      <c r="S186">
        <v>900</v>
      </c>
      <c r="T186">
        <v>-20.1</v>
      </c>
      <c r="U186" t="s">
        <v>963</v>
      </c>
      <c r="V186" t="s">
        <v>1334</v>
      </c>
      <c r="W186">
        <v>0</v>
      </c>
      <c r="X186">
        <v>156</v>
      </c>
      <c r="Y186" t="s">
        <v>1691</v>
      </c>
      <c r="Z186">
        <v>0</v>
      </c>
      <c r="AA186">
        <v>740</v>
      </c>
      <c r="AB186">
        <v>19414</v>
      </c>
      <c r="AC186" t="s">
        <v>2047</v>
      </c>
      <c r="AD186">
        <v>40.8</v>
      </c>
      <c r="AE186" t="s">
        <v>2418</v>
      </c>
      <c r="AF186" t="s">
        <v>2788</v>
      </c>
      <c r="AG186">
        <v>2340</v>
      </c>
      <c r="AH186">
        <v>166</v>
      </c>
      <c r="AJ186">
        <v>1.09</v>
      </c>
      <c r="AK186" t="b">
        <v>1</v>
      </c>
    </row>
    <row r="187" spans="1:38">
      <c r="A187" s="1" t="s">
        <v>221</v>
      </c>
      <c r="B187" t="s">
        <v>592</v>
      </c>
      <c r="C187">
        <f>HYPERLINK("https://finance.naver.com/item/coinfo.nhn?code=008260", "A008260")</f>
        <v>0</v>
      </c>
      <c r="D187">
        <f>HYPERLINK("http://comp.fnguide.com/SVO2/ASP/SVD_Consensus.asp?pGB=1&amp;gicode=A008260&amp;cID=&amp;MenuYn=Y&amp;ReportGB=&amp;NewMenuID=108&amp;stkGb=701", "NI스틸")</f>
        <v>0</v>
      </c>
      <c r="E187">
        <v>3</v>
      </c>
      <c r="F187">
        <v>4995</v>
      </c>
      <c r="G187">
        <v>0</v>
      </c>
      <c r="H187">
        <v>4.38</v>
      </c>
      <c r="I187">
        <v>6341</v>
      </c>
      <c r="J187">
        <v>5584</v>
      </c>
      <c r="K187">
        <v>5330</v>
      </c>
      <c r="L187">
        <v>-26.94</v>
      </c>
      <c r="M187">
        <v>-11.78</v>
      </c>
      <c r="N187">
        <v>-6.72</v>
      </c>
      <c r="O187">
        <v>12.84</v>
      </c>
      <c r="P187" t="b">
        <v>1</v>
      </c>
      <c r="Q187">
        <v>0</v>
      </c>
      <c r="R187">
        <v>771</v>
      </c>
      <c r="U187" t="s">
        <v>964</v>
      </c>
      <c r="V187" t="s">
        <v>1335</v>
      </c>
      <c r="W187">
        <v>0</v>
      </c>
      <c r="X187">
        <v>156.3</v>
      </c>
      <c r="Y187" t="s">
        <v>1692</v>
      </c>
      <c r="Z187">
        <v>38.6345018156312</v>
      </c>
      <c r="AA187">
        <v>1429</v>
      </c>
      <c r="AB187">
        <v>134594</v>
      </c>
      <c r="AC187" t="s">
        <v>2048</v>
      </c>
      <c r="AD187">
        <v>58.95</v>
      </c>
      <c r="AE187" t="s">
        <v>2419</v>
      </c>
      <c r="AF187" t="s">
        <v>2789</v>
      </c>
      <c r="AG187">
        <v>2482</v>
      </c>
      <c r="AH187">
        <v>312</v>
      </c>
      <c r="AJ187">
        <v>2.22</v>
      </c>
      <c r="AK187" t="b">
        <v>1</v>
      </c>
    </row>
    <row r="188" spans="1:38">
      <c r="A188" s="1" t="s">
        <v>222</v>
      </c>
      <c r="B188" t="s">
        <v>593</v>
      </c>
      <c r="C188">
        <f>HYPERLINK("https://finance.naver.com/item/coinfo.nhn?code=035420", "A035420")</f>
        <v>0</v>
      </c>
      <c r="D188">
        <f>HYPERLINK("http://comp.fnguide.com/SVO2/ASP/SVD_Consensus.asp?pGB=1&amp;gicode=A035420&amp;cID=&amp;MenuYn=Y&amp;ReportGB=&amp;NewMenuID=108&amp;stkGb=701", "NAVER")</f>
        <v>0</v>
      </c>
      <c r="E188">
        <v>3</v>
      </c>
      <c r="F188">
        <v>259000</v>
      </c>
      <c r="G188">
        <v>0.12</v>
      </c>
      <c r="H188">
        <v>3.77</v>
      </c>
      <c r="I188">
        <v>943555</v>
      </c>
      <c r="J188">
        <v>512133</v>
      </c>
      <c r="K188">
        <v>367846</v>
      </c>
      <c r="L188">
        <v>-264.31</v>
      </c>
      <c r="M188">
        <v>-97.73</v>
      </c>
      <c r="N188">
        <v>-42.03</v>
      </c>
      <c r="O188">
        <v>60.19</v>
      </c>
      <c r="P188" t="b">
        <v>1</v>
      </c>
      <c r="Q188">
        <v>0</v>
      </c>
      <c r="R188">
        <v>100400</v>
      </c>
      <c r="S188">
        <v>8162</v>
      </c>
      <c r="T188">
        <v>-91.90000000000001</v>
      </c>
      <c r="U188" t="s">
        <v>965</v>
      </c>
      <c r="V188" t="s">
        <v>1336</v>
      </c>
      <c r="W188">
        <v>31.96586048935066</v>
      </c>
      <c r="X188">
        <v>-98.90000000000001</v>
      </c>
      <c r="Y188" t="s">
        <v>1693</v>
      </c>
      <c r="Z188">
        <v>-25.11273977742782</v>
      </c>
      <c r="AA188">
        <v>424887</v>
      </c>
      <c r="AB188">
        <v>1105156</v>
      </c>
      <c r="AC188" t="s">
        <v>2049</v>
      </c>
      <c r="AD188">
        <v>8.17</v>
      </c>
      <c r="AE188" t="s">
        <v>2420</v>
      </c>
      <c r="AF188" t="s">
        <v>2790</v>
      </c>
      <c r="AG188">
        <v>68176</v>
      </c>
      <c r="AH188">
        <v>13255</v>
      </c>
      <c r="AI188">
        <v>14660939</v>
      </c>
      <c r="AJ188">
        <v>0.14</v>
      </c>
      <c r="AK188" t="b">
        <v>1</v>
      </c>
    </row>
    <row r="189" spans="1:38">
      <c r="A189" s="1" t="s">
        <v>223</v>
      </c>
      <c r="B189" t="s">
        <v>594</v>
      </c>
      <c r="C189">
        <f>HYPERLINK("https://finance.naver.com/item/coinfo.nhn?code=001120", "A001120")</f>
        <v>0</v>
      </c>
      <c r="D189">
        <f>HYPERLINK("http://comp.fnguide.com/SVO2/ASP/SVD_Consensus.asp?pGB=1&amp;gicode=A001120&amp;cID=&amp;MenuYn=Y&amp;ReportGB=&amp;NewMenuID=108&amp;stkGb=701", "LX인터내셔널")</f>
        <v>0</v>
      </c>
      <c r="E189">
        <v>3</v>
      </c>
      <c r="F189">
        <v>32800</v>
      </c>
      <c r="G189">
        <v>0.02</v>
      </c>
      <c r="H189">
        <v>2.93</v>
      </c>
      <c r="I189">
        <v>96072</v>
      </c>
      <c r="J189">
        <v>70427</v>
      </c>
      <c r="K189">
        <v>61850</v>
      </c>
      <c r="L189">
        <v>-192.9</v>
      </c>
      <c r="M189">
        <v>-114.72</v>
      </c>
      <c r="N189">
        <v>-88.56999999999999</v>
      </c>
      <c r="O189">
        <v>19.56</v>
      </c>
      <c r="P189" t="b">
        <v>1</v>
      </c>
      <c r="Q189">
        <v>3</v>
      </c>
      <c r="R189">
        <v>9032</v>
      </c>
      <c r="S189">
        <v>12747</v>
      </c>
      <c r="T189">
        <v>41.1</v>
      </c>
      <c r="U189" t="s">
        <v>966</v>
      </c>
      <c r="V189" t="s">
        <v>1337</v>
      </c>
      <c r="W189">
        <v>158.5668806865427</v>
      </c>
      <c r="X189">
        <v>152.5</v>
      </c>
      <c r="Y189" t="s">
        <v>1694</v>
      </c>
      <c r="Z189">
        <v>0</v>
      </c>
      <c r="AA189">
        <v>12713</v>
      </c>
      <c r="AB189">
        <v>471395</v>
      </c>
      <c r="AC189" t="s">
        <v>2050</v>
      </c>
      <c r="AD189">
        <v>24.76</v>
      </c>
      <c r="AE189" t="s">
        <v>2421</v>
      </c>
      <c r="AF189" t="s">
        <v>2791</v>
      </c>
      <c r="AG189">
        <v>166865</v>
      </c>
      <c r="AH189">
        <v>6562</v>
      </c>
      <c r="AI189">
        <v>2792098</v>
      </c>
      <c r="AJ189">
        <v>8.699999999999999</v>
      </c>
      <c r="AK189" t="b">
        <v>1</v>
      </c>
    </row>
    <row r="190" spans="1:38">
      <c r="A190" s="1" t="s">
        <v>224</v>
      </c>
      <c r="B190" t="s">
        <v>595</v>
      </c>
      <c r="C190">
        <f>HYPERLINK("https://finance.naver.com/item/coinfo.nhn?code=044450", "A044450")</f>
        <v>0</v>
      </c>
      <c r="D190">
        <f>HYPERLINK("http://comp.fnguide.com/SVO2/ASP/SVD_Consensus.asp?pGB=1&amp;gicode=A044450&amp;cID=&amp;MenuYn=Y&amp;ReportGB=&amp;NewMenuID=108&amp;stkGb=701", "KSS해운")</f>
        <v>0</v>
      </c>
      <c r="E190">
        <v>3</v>
      </c>
      <c r="F190">
        <v>10250</v>
      </c>
      <c r="G190">
        <v>0.15</v>
      </c>
      <c r="H190">
        <v>4.9</v>
      </c>
      <c r="I190">
        <v>18474</v>
      </c>
      <c r="J190">
        <v>16668</v>
      </c>
      <c r="K190">
        <v>16064</v>
      </c>
      <c r="L190">
        <v>-80.23999999999999</v>
      </c>
      <c r="M190">
        <v>-62.61</v>
      </c>
      <c r="N190">
        <v>-56.72</v>
      </c>
      <c r="O190">
        <v>12.23</v>
      </c>
      <c r="P190" t="b">
        <v>1</v>
      </c>
      <c r="Q190">
        <v>0</v>
      </c>
      <c r="R190">
        <v>2418</v>
      </c>
      <c r="S190">
        <v>2387</v>
      </c>
      <c r="T190">
        <v>-1.3</v>
      </c>
      <c r="U190" t="s">
        <v>967</v>
      </c>
      <c r="V190" t="s">
        <v>1338</v>
      </c>
      <c r="W190">
        <v>33.24075532360708</v>
      </c>
      <c r="X190">
        <v>-6</v>
      </c>
      <c r="Y190" t="s">
        <v>1695</v>
      </c>
      <c r="Z190">
        <v>15.45231706952428</v>
      </c>
      <c r="AA190">
        <v>2366</v>
      </c>
      <c r="AB190">
        <v>28375</v>
      </c>
      <c r="AC190" t="s">
        <v>2051</v>
      </c>
      <c r="AD190">
        <v>30.3</v>
      </c>
      <c r="AE190" t="s">
        <v>2422</v>
      </c>
      <c r="AF190" t="s">
        <v>2792</v>
      </c>
      <c r="AG190">
        <v>3240</v>
      </c>
      <c r="AH190">
        <v>581</v>
      </c>
      <c r="AI190">
        <v>508355</v>
      </c>
      <c r="AJ190">
        <v>2.95</v>
      </c>
      <c r="AK190" t="b">
        <v>1</v>
      </c>
    </row>
    <row r="191" spans="1:38">
      <c r="A191" s="1" t="s">
        <v>225</v>
      </c>
      <c r="B191" t="s">
        <v>596</v>
      </c>
      <c r="C191">
        <f>HYPERLINK("https://finance.naver.com/item/coinfo.nhn?code=092230", "A092230")</f>
        <v>0</v>
      </c>
      <c r="D191">
        <f>HYPERLINK("http://comp.fnguide.com/SVO2/ASP/SVD_Consensus.asp?pGB=1&amp;gicode=A092230&amp;cID=&amp;MenuYn=Y&amp;ReportGB=&amp;NewMenuID=108&amp;stkGb=701", "KPX홀딩스")</f>
        <v>0</v>
      </c>
      <c r="E191">
        <v>3</v>
      </c>
      <c r="F191">
        <v>60300</v>
      </c>
      <c r="G191">
        <v>0</v>
      </c>
      <c r="H191">
        <v>5.81</v>
      </c>
      <c r="I191">
        <v>217969</v>
      </c>
      <c r="J191">
        <v>212987</v>
      </c>
      <c r="K191">
        <v>211321</v>
      </c>
      <c r="L191">
        <v>-261.47</v>
      </c>
      <c r="M191">
        <v>-253.21</v>
      </c>
      <c r="N191">
        <v>-250.45</v>
      </c>
      <c r="O191">
        <v>10.49</v>
      </c>
      <c r="P191" t="b">
        <v>1</v>
      </c>
      <c r="Q191">
        <v>0</v>
      </c>
      <c r="R191">
        <v>10928</v>
      </c>
      <c r="U191" t="s">
        <v>968</v>
      </c>
      <c r="V191" t="s">
        <v>1339</v>
      </c>
      <c r="W191">
        <v>0</v>
      </c>
      <c r="Y191" t="s">
        <v>1696</v>
      </c>
      <c r="Z191">
        <v>0</v>
      </c>
      <c r="AA191">
        <v>2547</v>
      </c>
      <c r="AB191">
        <v>525</v>
      </c>
      <c r="AC191" t="s">
        <v>2052</v>
      </c>
      <c r="AD191">
        <v>74.15000000000001</v>
      </c>
      <c r="AE191" t="s">
        <v>2423</v>
      </c>
      <c r="AF191" t="s">
        <v>2793</v>
      </c>
      <c r="AG191">
        <v>12387</v>
      </c>
      <c r="AH191">
        <v>541</v>
      </c>
      <c r="AI191">
        <v>293437</v>
      </c>
      <c r="AJ191">
        <v>4.72</v>
      </c>
      <c r="AK191" t="b">
        <v>1</v>
      </c>
    </row>
    <row r="192" spans="1:38">
      <c r="A192" s="1" t="s">
        <v>226</v>
      </c>
      <c r="B192" t="s">
        <v>597</v>
      </c>
      <c r="C192">
        <f>HYPERLINK("https://finance.naver.com/item/coinfo.nhn?code=025000", "A025000")</f>
        <v>0</v>
      </c>
      <c r="D192">
        <f>HYPERLINK("http://comp.fnguide.com/SVO2/ASP/SVD_Consensus.asp?pGB=1&amp;gicode=A025000&amp;cID=&amp;MenuYn=Y&amp;ReportGB=&amp;NewMenuID=108&amp;stkGb=701", "KPX케미칼")</f>
        <v>0</v>
      </c>
      <c r="E192">
        <v>3</v>
      </c>
      <c r="F192">
        <v>49300</v>
      </c>
      <c r="G192">
        <v>2.31</v>
      </c>
      <c r="H192">
        <v>5.39</v>
      </c>
      <c r="I192">
        <v>120632</v>
      </c>
      <c r="J192">
        <v>119797</v>
      </c>
      <c r="K192">
        <v>119518</v>
      </c>
      <c r="L192">
        <v>-144.69</v>
      </c>
      <c r="M192">
        <v>-143</v>
      </c>
      <c r="N192">
        <v>-142.43</v>
      </c>
      <c r="O192">
        <v>10.18</v>
      </c>
      <c r="P192" t="b">
        <v>1</v>
      </c>
      <c r="Q192">
        <v>0</v>
      </c>
      <c r="R192">
        <v>9946</v>
      </c>
      <c r="S192">
        <v>9215</v>
      </c>
      <c r="T192">
        <v>-7.3</v>
      </c>
      <c r="U192" t="s">
        <v>969</v>
      </c>
      <c r="V192" t="s">
        <v>1340</v>
      </c>
      <c r="W192">
        <v>2.331040078713875</v>
      </c>
      <c r="X192">
        <v>-12.1</v>
      </c>
      <c r="Y192" t="s">
        <v>1697</v>
      </c>
      <c r="Z192">
        <v>9.802593007820137</v>
      </c>
      <c r="AA192">
        <v>2386</v>
      </c>
      <c r="AB192">
        <v>1553</v>
      </c>
      <c r="AC192" t="s">
        <v>2053</v>
      </c>
      <c r="AD192">
        <v>64.40000000000001</v>
      </c>
      <c r="AE192" t="s">
        <v>2424</v>
      </c>
      <c r="AF192" t="s">
        <v>2794</v>
      </c>
      <c r="AG192">
        <v>10208</v>
      </c>
      <c r="AH192">
        <v>447</v>
      </c>
      <c r="AI192">
        <v>84779</v>
      </c>
      <c r="AJ192">
        <v>5.13</v>
      </c>
      <c r="AK192" t="b">
        <v>1</v>
      </c>
    </row>
    <row r="193" spans="1:38">
      <c r="A193" s="1" t="s">
        <v>227</v>
      </c>
      <c r="B193" t="s">
        <v>598</v>
      </c>
      <c r="C193">
        <f>HYPERLINK("https://finance.naver.com/item/coinfo.nhn?code=001390", "A001390")</f>
        <v>0</v>
      </c>
      <c r="D193">
        <f>HYPERLINK("http://comp.fnguide.com/SVO2/ASP/SVD_Consensus.asp?pGB=1&amp;gicode=A001390&amp;cID=&amp;MenuYn=Y&amp;ReportGB=&amp;NewMenuID=108&amp;stkGb=701", "KG케미칼")</f>
        <v>0</v>
      </c>
      <c r="E193">
        <v>3</v>
      </c>
      <c r="F193">
        <v>28100</v>
      </c>
      <c r="G193">
        <v>0</v>
      </c>
      <c r="H193">
        <v>5.71</v>
      </c>
      <c r="I193">
        <v>61915</v>
      </c>
      <c r="J193">
        <v>46782</v>
      </c>
      <c r="K193">
        <v>41720</v>
      </c>
      <c r="L193">
        <v>-120.34</v>
      </c>
      <c r="M193">
        <v>-66.48</v>
      </c>
      <c r="N193">
        <v>-48.47</v>
      </c>
      <c r="O193">
        <v>18.12</v>
      </c>
      <c r="P193" t="b">
        <v>1</v>
      </c>
      <c r="Q193">
        <v>0</v>
      </c>
      <c r="R193">
        <v>5389</v>
      </c>
      <c r="U193" t="s">
        <v>970</v>
      </c>
      <c r="V193" t="s">
        <v>1341</v>
      </c>
      <c r="W193">
        <v>0</v>
      </c>
      <c r="X193">
        <v>-39.1</v>
      </c>
      <c r="Y193" t="s">
        <v>1698</v>
      </c>
      <c r="Z193">
        <v>55.34070495148724</v>
      </c>
      <c r="AA193">
        <v>3896</v>
      </c>
      <c r="AB193">
        <v>640906</v>
      </c>
      <c r="AC193" t="s">
        <v>2054</v>
      </c>
      <c r="AD193">
        <v>50.17</v>
      </c>
      <c r="AE193" t="s">
        <v>2425</v>
      </c>
      <c r="AF193" t="s">
        <v>2795</v>
      </c>
      <c r="AG193">
        <v>49315</v>
      </c>
      <c r="AH193">
        <v>4672</v>
      </c>
      <c r="AI193">
        <v>70148</v>
      </c>
      <c r="AJ193">
        <v>1.63</v>
      </c>
      <c r="AK193" t="b">
        <v>1</v>
      </c>
    </row>
    <row r="194" spans="1:38">
      <c r="A194" s="1" t="s">
        <v>228</v>
      </c>
      <c r="B194" t="s">
        <v>599</v>
      </c>
      <c r="C194">
        <f>HYPERLINK("https://finance.naver.com/item/coinfo.nhn?code=175330", "A175330")</f>
        <v>0</v>
      </c>
      <c r="D194">
        <f>HYPERLINK("http://comp.fnguide.com/SVO2/ASP/SVD_Consensus.asp?pGB=1&amp;gicode=A175330&amp;cID=&amp;MenuYn=Y&amp;ReportGB=&amp;NewMenuID=108&amp;stkGb=701", "JB금융지주")</f>
        <v>0</v>
      </c>
      <c r="E194">
        <v>3</v>
      </c>
      <c r="F194">
        <v>7460</v>
      </c>
      <c r="G194">
        <v>0.17</v>
      </c>
      <c r="H194">
        <v>3.25</v>
      </c>
      <c r="I194">
        <v>24436</v>
      </c>
      <c r="J194">
        <v>22765</v>
      </c>
      <c r="K194">
        <v>22206</v>
      </c>
      <c r="L194">
        <v>-227.56</v>
      </c>
      <c r="M194">
        <v>-205.16</v>
      </c>
      <c r="N194">
        <v>-197.67</v>
      </c>
      <c r="O194">
        <v>11.48</v>
      </c>
      <c r="P194" t="b">
        <v>1</v>
      </c>
      <c r="Q194">
        <v>3</v>
      </c>
      <c r="R194">
        <v>2572</v>
      </c>
      <c r="S194">
        <v>2950</v>
      </c>
      <c r="T194">
        <v>14.7</v>
      </c>
      <c r="U194" t="s">
        <v>971</v>
      </c>
      <c r="V194" t="s">
        <v>1342</v>
      </c>
      <c r="W194">
        <v>19.3401241744422</v>
      </c>
      <c r="X194">
        <v>3.7</v>
      </c>
      <c r="Y194" t="s">
        <v>1699</v>
      </c>
      <c r="Z194">
        <v>3.51995365748381</v>
      </c>
      <c r="AA194">
        <v>14695</v>
      </c>
      <c r="AB194">
        <v>338714</v>
      </c>
      <c r="AC194" t="s">
        <v>2055</v>
      </c>
      <c r="AD194">
        <v>14.61</v>
      </c>
      <c r="AE194" t="s">
        <v>2426</v>
      </c>
      <c r="AF194" t="s">
        <v>2796</v>
      </c>
      <c r="AG194">
        <v>18996</v>
      </c>
      <c r="AH194">
        <v>7083</v>
      </c>
      <c r="AI194">
        <v>2638819</v>
      </c>
      <c r="AJ194">
        <v>7.17</v>
      </c>
      <c r="AK194" t="b">
        <v>1</v>
      </c>
    </row>
    <row r="195" spans="1:38">
      <c r="A195" s="1" t="s">
        <v>229</v>
      </c>
      <c r="B195" t="s">
        <v>600</v>
      </c>
      <c r="C195">
        <f>HYPERLINK("https://finance.naver.com/item/coinfo.nhn?code=011200", "A011200")</f>
        <v>0</v>
      </c>
      <c r="D195">
        <f>HYPERLINK("http://comp.fnguide.com/SVO2/ASP/SVD_Consensus.asp?pGB=1&amp;gicode=A011200&amp;cID=&amp;MenuYn=Y&amp;ReportGB=&amp;NewMenuID=108&amp;stkGb=701", "HMM")</f>
        <v>0</v>
      </c>
      <c r="E195">
        <v>3</v>
      </c>
      <c r="F195">
        <v>24850</v>
      </c>
      <c r="G195">
        <v>0</v>
      </c>
      <c r="H195">
        <v>2.46</v>
      </c>
      <c r="I195">
        <v>99643</v>
      </c>
      <c r="J195">
        <v>56576</v>
      </c>
      <c r="K195">
        <v>42172</v>
      </c>
      <c r="L195">
        <v>-300.98</v>
      </c>
      <c r="M195">
        <v>-127.67</v>
      </c>
      <c r="N195">
        <v>-69.70999999999999</v>
      </c>
      <c r="O195">
        <v>47.28</v>
      </c>
      <c r="P195" t="b">
        <v>1</v>
      </c>
      <c r="Q195">
        <v>3</v>
      </c>
      <c r="R195">
        <v>10913</v>
      </c>
      <c r="S195">
        <v>20953</v>
      </c>
      <c r="T195">
        <v>92</v>
      </c>
      <c r="U195" t="s">
        <v>972</v>
      </c>
      <c r="V195" t="s">
        <v>1343</v>
      </c>
      <c r="W195">
        <v>0</v>
      </c>
      <c r="X195">
        <v>1333.6</v>
      </c>
      <c r="Y195" t="s">
        <v>1700</v>
      </c>
      <c r="Z195">
        <v>0</v>
      </c>
      <c r="AA195">
        <v>121526</v>
      </c>
      <c r="AB195">
        <v>1983738</v>
      </c>
      <c r="AC195" t="s">
        <v>2056</v>
      </c>
      <c r="AD195">
        <v>20.69</v>
      </c>
      <c r="AE195" t="s">
        <v>2427</v>
      </c>
      <c r="AF195" t="s">
        <v>2797</v>
      </c>
      <c r="AG195">
        <v>137941</v>
      </c>
      <c r="AH195">
        <v>73775</v>
      </c>
      <c r="AJ195">
        <v>2.23</v>
      </c>
      <c r="AK195" t="b">
        <v>1</v>
      </c>
    </row>
    <row r="196" spans="1:38">
      <c r="A196" s="1" t="s">
        <v>230</v>
      </c>
      <c r="B196" t="s">
        <v>601</v>
      </c>
      <c r="C196">
        <f>HYPERLINK("https://finance.naver.com/item/coinfo.nhn?code=007070", "A007070")</f>
        <v>0</v>
      </c>
      <c r="D196">
        <f>HYPERLINK("http://comp.fnguide.com/SVO2/ASP/SVD_Consensus.asp?pGB=1&amp;gicode=A007070&amp;cID=&amp;MenuYn=Y&amp;ReportGB=&amp;NewMenuID=108&amp;stkGb=701", "GS리테일")</f>
        <v>0</v>
      </c>
      <c r="E196">
        <v>3</v>
      </c>
      <c r="F196">
        <v>24550</v>
      </c>
      <c r="G196">
        <v>-1.2</v>
      </c>
      <c r="H196">
        <v>3.39</v>
      </c>
      <c r="I196">
        <v>64679</v>
      </c>
      <c r="J196">
        <v>51036</v>
      </c>
      <c r="K196">
        <v>46473</v>
      </c>
      <c r="L196">
        <v>-163.46</v>
      </c>
      <c r="M196">
        <v>-107.88</v>
      </c>
      <c r="N196">
        <v>-89.3</v>
      </c>
      <c r="O196">
        <v>16.32</v>
      </c>
      <c r="P196" t="b">
        <v>1</v>
      </c>
      <c r="Q196">
        <v>0</v>
      </c>
      <c r="R196">
        <v>8961</v>
      </c>
      <c r="S196">
        <v>1588</v>
      </c>
      <c r="T196">
        <v>-82.3</v>
      </c>
      <c r="U196" t="s">
        <v>973</v>
      </c>
      <c r="V196" t="s">
        <v>1344</v>
      </c>
      <c r="W196">
        <v>-2.834985770178755</v>
      </c>
      <c r="X196">
        <v>-80.90000000000001</v>
      </c>
      <c r="Y196" t="s">
        <v>1701</v>
      </c>
      <c r="Z196">
        <v>2.215541671464671</v>
      </c>
      <c r="AA196">
        <v>25708</v>
      </c>
      <c r="AB196">
        <v>154305</v>
      </c>
      <c r="AC196" t="s">
        <v>2057</v>
      </c>
      <c r="AD196">
        <v>57.9</v>
      </c>
      <c r="AE196" t="s">
        <v>2428</v>
      </c>
      <c r="AF196" t="s">
        <v>2798</v>
      </c>
      <c r="AG196">
        <v>97657</v>
      </c>
      <c r="AH196">
        <v>2085</v>
      </c>
      <c r="AI196">
        <v>2537897</v>
      </c>
      <c r="AJ196">
        <v>3.95</v>
      </c>
      <c r="AK196" t="b">
        <v>1</v>
      </c>
    </row>
    <row r="197" spans="1:38">
      <c r="A197" s="1" t="s">
        <v>231</v>
      </c>
      <c r="B197" t="s">
        <v>602</v>
      </c>
      <c r="C197">
        <f>HYPERLINK("https://finance.naver.com/item/coinfo.nhn?code=007700", "A007700")</f>
        <v>0</v>
      </c>
      <c r="D197">
        <f>HYPERLINK("http://comp.fnguide.com/SVO2/ASP/SVD_Consensus.asp?pGB=1&amp;gicode=A007700&amp;cID=&amp;MenuYn=Y&amp;ReportGB=&amp;NewMenuID=108&amp;stkGb=701", "F&amp;F홀딩스")</f>
        <v>0</v>
      </c>
      <c r="E197">
        <v>3</v>
      </c>
      <c r="F197">
        <v>18950</v>
      </c>
      <c r="G197">
        <v>0</v>
      </c>
      <c r="H197">
        <v>0.38</v>
      </c>
      <c r="I197">
        <v>426789</v>
      </c>
      <c r="J197">
        <v>219701</v>
      </c>
      <c r="K197">
        <v>150442</v>
      </c>
      <c r="L197">
        <v>-2152.19</v>
      </c>
      <c r="M197">
        <v>-1059.37</v>
      </c>
      <c r="N197">
        <v>-693.89</v>
      </c>
      <c r="O197">
        <v>86.66</v>
      </c>
      <c r="P197" t="b">
        <v>1</v>
      </c>
      <c r="Q197">
        <v>0</v>
      </c>
      <c r="R197">
        <v>87636</v>
      </c>
      <c r="U197" t="s">
        <v>974</v>
      </c>
      <c r="V197" t="s">
        <v>1345</v>
      </c>
      <c r="W197">
        <v>0</v>
      </c>
      <c r="X197">
        <v>-80.40000000000001</v>
      </c>
      <c r="Y197" t="s">
        <v>1702</v>
      </c>
      <c r="Z197">
        <v>28.68506253367267</v>
      </c>
      <c r="AA197">
        <v>7412</v>
      </c>
      <c r="AB197">
        <v>17884</v>
      </c>
      <c r="AC197" t="s">
        <v>2058</v>
      </c>
      <c r="AD197">
        <v>91.70999999999999</v>
      </c>
      <c r="AE197" t="s">
        <v>2429</v>
      </c>
      <c r="AF197" t="s">
        <v>2799</v>
      </c>
      <c r="AG197">
        <v>7271</v>
      </c>
      <c r="AH197">
        <v>2231</v>
      </c>
      <c r="AI197">
        <v>44474</v>
      </c>
      <c r="AJ197">
        <v>0.51</v>
      </c>
      <c r="AK197" t="b">
        <v>1</v>
      </c>
    </row>
    <row r="198" spans="1:38">
      <c r="A198" s="1" t="s">
        <v>232</v>
      </c>
      <c r="B198" t="s">
        <v>603</v>
      </c>
      <c r="C198">
        <f>HYPERLINK("https://finance.naver.com/item/coinfo.nhn?code=007340", "A007340")</f>
        <v>0</v>
      </c>
      <c r="D198">
        <f>HYPERLINK("http://comp.fnguide.com/SVO2/ASP/SVD_Consensus.asp?pGB=1&amp;gicode=A007340&amp;cID=&amp;MenuYn=Y&amp;ReportGB=&amp;NewMenuID=108&amp;stkGb=701", "DN오토모티브")</f>
        <v>0</v>
      </c>
      <c r="E198">
        <v>3</v>
      </c>
      <c r="F198">
        <v>57300</v>
      </c>
      <c r="G198">
        <v>0</v>
      </c>
      <c r="H198">
        <v>8.880000000000001</v>
      </c>
      <c r="I198">
        <v>85837</v>
      </c>
      <c r="J198">
        <v>84012</v>
      </c>
      <c r="K198">
        <v>83402</v>
      </c>
      <c r="L198">
        <v>-49.8</v>
      </c>
      <c r="M198">
        <v>-46.62</v>
      </c>
      <c r="N198">
        <v>-45.55</v>
      </c>
      <c r="O198">
        <v>10.46</v>
      </c>
      <c r="P198" t="b">
        <v>1</v>
      </c>
      <c r="Q198">
        <v>0</v>
      </c>
      <c r="R198">
        <v>8088</v>
      </c>
      <c r="U198" t="s">
        <v>975</v>
      </c>
      <c r="V198" t="s">
        <v>1346</v>
      </c>
      <c r="W198">
        <v>0</v>
      </c>
      <c r="X198">
        <v>37.3</v>
      </c>
      <c r="Y198" t="s">
        <v>1703</v>
      </c>
      <c r="Z198">
        <v>37.02445464481148</v>
      </c>
      <c r="AA198">
        <v>5727</v>
      </c>
      <c r="AB198">
        <v>10599</v>
      </c>
      <c r="AC198" t="s">
        <v>2059</v>
      </c>
      <c r="AD198">
        <v>50.89</v>
      </c>
      <c r="AE198" t="s">
        <v>2430</v>
      </c>
      <c r="AF198" t="s">
        <v>2800</v>
      </c>
      <c r="AG198">
        <v>9308</v>
      </c>
      <c r="AH198">
        <v>896</v>
      </c>
      <c r="AI198">
        <v>1375880</v>
      </c>
      <c r="AJ198">
        <v>2.79</v>
      </c>
      <c r="AK198" t="b">
        <v>1</v>
      </c>
    </row>
    <row r="199" spans="1:38">
      <c r="A199" s="1" t="s">
        <v>233</v>
      </c>
      <c r="B199" t="s">
        <v>604</v>
      </c>
      <c r="C199">
        <f>HYPERLINK("https://finance.naver.com/item/coinfo.nhn?code=001880", "A001880")</f>
        <v>0</v>
      </c>
      <c r="D199">
        <f>HYPERLINK("http://comp.fnguide.com/SVO2/ASP/SVD_Consensus.asp?pGB=1&amp;gicode=A001880&amp;cID=&amp;MenuYn=Y&amp;ReportGB=&amp;NewMenuID=108&amp;stkGb=701", "DL건설")</f>
        <v>0</v>
      </c>
      <c r="E199">
        <v>3</v>
      </c>
      <c r="F199">
        <v>21200</v>
      </c>
      <c r="G199">
        <v>0</v>
      </c>
      <c r="H199">
        <v>3.6</v>
      </c>
      <c r="I199">
        <v>93884</v>
      </c>
      <c r="J199">
        <v>66199</v>
      </c>
      <c r="K199">
        <v>56939</v>
      </c>
      <c r="L199">
        <v>-342.85</v>
      </c>
      <c r="M199">
        <v>-212.26</v>
      </c>
      <c r="N199">
        <v>-168.58</v>
      </c>
      <c r="O199">
        <v>21.72</v>
      </c>
      <c r="P199" t="b">
        <v>1</v>
      </c>
      <c r="Q199">
        <v>0</v>
      </c>
      <c r="R199">
        <v>7532</v>
      </c>
      <c r="U199" t="s">
        <v>976</v>
      </c>
      <c r="V199" t="s">
        <v>1347</v>
      </c>
      <c r="W199">
        <v>0</v>
      </c>
      <c r="X199">
        <v>-89.5</v>
      </c>
      <c r="Y199" t="s">
        <v>1704</v>
      </c>
      <c r="Z199">
        <v>-28.57378329541943</v>
      </c>
      <c r="AA199">
        <v>4675</v>
      </c>
      <c r="AB199">
        <v>17247</v>
      </c>
      <c r="AC199" t="s">
        <v>2060</v>
      </c>
      <c r="AD199">
        <v>65.17</v>
      </c>
      <c r="AE199" t="s">
        <v>2431</v>
      </c>
      <c r="AF199" t="s">
        <v>2801</v>
      </c>
      <c r="AG199">
        <v>20103</v>
      </c>
      <c r="AH199">
        <v>2296</v>
      </c>
      <c r="AI199">
        <v>4263</v>
      </c>
      <c r="AJ199">
        <v>2.76</v>
      </c>
      <c r="AK199" t="b">
        <v>1</v>
      </c>
    </row>
    <row r="200" spans="1:38">
      <c r="A200" s="1" t="s">
        <v>234</v>
      </c>
      <c r="B200" t="s">
        <v>605</v>
      </c>
      <c r="C200">
        <f>HYPERLINK("https://finance.naver.com/item/coinfo.nhn?code=000210", "A000210")</f>
        <v>0</v>
      </c>
      <c r="D200">
        <f>HYPERLINK("http://comp.fnguide.com/SVO2/ASP/SVD_Consensus.asp?pGB=1&amp;gicode=A000210&amp;cID=&amp;MenuYn=Y&amp;ReportGB=&amp;NewMenuID=108&amp;stkGb=701", "DL")</f>
        <v>0</v>
      </c>
      <c r="E200">
        <v>3</v>
      </c>
      <c r="F200">
        <v>65000</v>
      </c>
      <c r="G200">
        <v>-0.16</v>
      </c>
      <c r="H200">
        <v>1.47</v>
      </c>
      <c r="I200">
        <v>358316</v>
      </c>
      <c r="J200">
        <v>264787</v>
      </c>
      <c r="K200">
        <v>233507</v>
      </c>
      <c r="L200">
        <v>-451.26</v>
      </c>
      <c r="M200">
        <v>-307.36</v>
      </c>
      <c r="N200">
        <v>-259.24</v>
      </c>
      <c r="O200">
        <v>19.16</v>
      </c>
      <c r="P200" t="b">
        <v>1</v>
      </c>
      <c r="Q200">
        <v>0</v>
      </c>
      <c r="R200">
        <v>41558</v>
      </c>
      <c r="S200">
        <v>12977</v>
      </c>
      <c r="T200">
        <v>-68.8</v>
      </c>
      <c r="U200" t="s">
        <v>977</v>
      </c>
      <c r="V200" t="s">
        <v>1348</v>
      </c>
      <c r="W200">
        <v>-9.04961783942081</v>
      </c>
      <c r="X200">
        <v>-75.7</v>
      </c>
      <c r="Y200" t="s">
        <v>1705</v>
      </c>
      <c r="Z200">
        <v>-4.492118948007295</v>
      </c>
      <c r="AA200">
        <v>13621</v>
      </c>
      <c r="AB200">
        <v>155714</v>
      </c>
      <c r="AC200" t="s">
        <v>2061</v>
      </c>
      <c r="AD200">
        <v>43.35</v>
      </c>
      <c r="AE200" t="s">
        <v>2432</v>
      </c>
      <c r="AF200" t="s">
        <v>2802</v>
      </c>
      <c r="AG200">
        <v>23854</v>
      </c>
      <c r="AH200">
        <v>2219</v>
      </c>
      <c r="AI200">
        <v>25156</v>
      </c>
      <c r="AJ200">
        <v>3.12</v>
      </c>
      <c r="AL200" t="b">
        <v>0</v>
      </c>
    </row>
    <row r="201" spans="1:38">
      <c r="A201" s="1" t="s">
        <v>235</v>
      </c>
      <c r="B201" t="s">
        <v>606</v>
      </c>
      <c r="C201">
        <f>HYPERLINK("https://finance.naver.com/item/coinfo.nhn?code=005830", "A005830")</f>
        <v>0</v>
      </c>
      <c r="D201">
        <f>HYPERLINK("http://comp.fnguide.com/SVO2/ASP/SVD_Consensus.asp?pGB=1&amp;gicode=A005830&amp;cID=&amp;MenuYn=Y&amp;ReportGB=&amp;NewMenuID=108&amp;stkGb=701", "DB손해보험")</f>
        <v>0</v>
      </c>
      <c r="E201">
        <v>3</v>
      </c>
      <c r="F201">
        <v>60600</v>
      </c>
      <c r="G201">
        <v>0.14</v>
      </c>
      <c r="H201">
        <v>4.4</v>
      </c>
      <c r="I201">
        <v>118639</v>
      </c>
      <c r="J201">
        <v>114229</v>
      </c>
      <c r="K201">
        <v>112754</v>
      </c>
      <c r="L201">
        <v>-95.77</v>
      </c>
      <c r="M201">
        <v>-88.5</v>
      </c>
      <c r="N201">
        <v>-86.06</v>
      </c>
      <c r="O201">
        <v>10.78</v>
      </c>
      <c r="P201" t="b">
        <v>1</v>
      </c>
      <c r="Q201">
        <v>0</v>
      </c>
      <c r="R201">
        <v>12281</v>
      </c>
      <c r="S201">
        <v>11970</v>
      </c>
      <c r="T201">
        <v>-2.5</v>
      </c>
      <c r="U201" t="s">
        <v>978</v>
      </c>
      <c r="V201" t="s">
        <v>1349</v>
      </c>
      <c r="W201">
        <v>31.12244732782285</v>
      </c>
      <c r="X201">
        <v>17.9</v>
      </c>
      <c r="Y201" t="s">
        <v>1706</v>
      </c>
      <c r="Z201">
        <v>11.5149682930566</v>
      </c>
      <c r="AA201">
        <v>42905</v>
      </c>
      <c r="AB201">
        <v>119436</v>
      </c>
      <c r="AC201" t="s">
        <v>2062</v>
      </c>
      <c r="AD201">
        <v>23.21</v>
      </c>
      <c r="AE201" t="s">
        <v>2433</v>
      </c>
      <c r="AF201" t="s">
        <v>2803</v>
      </c>
      <c r="AG201">
        <v>163895</v>
      </c>
      <c r="AH201">
        <v>11084</v>
      </c>
      <c r="AI201">
        <v>10756531</v>
      </c>
      <c r="AJ201">
        <v>6.48</v>
      </c>
      <c r="AK201" t="b">
        <v>1</v>
      </c>
    </row>
    <row r="202" spans="1:38">
      <c r="A202" s="1" t="s">
        <v>236</v>
      </c>
      <c r="B202" t="s">
        <v>607</v>
      </c>
      <c r="C202">
        <f>HYPERLINK("https://finance.naver.com/item/coinfo.nhn?code=016610", "A016610")</f>
        <v>0</v>
      </c>
      <c r="D202">
        <f>HYPERLINK("http://comp.fnguide.com/SVO2/ASP/SVD_Consensus.asp?pGB=1&amp;gicode=A016610&amp;cID=&amp;MenuYn=Y&amp;ReportGB=&amp;NewMenuID=108&amp;stkGb=701", "DB금융투자")</f>
        <v>0</v>
      </c>
      <c r="E202">
        <v>3</v>
      </c>
      <c r="F202">
        <v>5180</v>
      </c>
      <c r="G202">
        <v>0</v>
      </c>
      <c r="H202">
        <v>2.38</v>
      </c>
      <c r="I202">
        <v>27527</v>
      </c>
      <c r="J202">
        <v>24755</v>
      </c>
      <c r="K202">
        <v>23827</v>
      </c>
      <c r="L202">
        <v>-431.4</v>
      </c>
      <c r="M202">
        <v>-377.89</v>
      </c>
      <c r="N202">
        <v>-359.99</v>
      </c>
      <c r="O202">
        <v>12.31</v>
      </c>
      <c r="P202" t="b">
        <v>1</v>
      </c>
      <c r="Q202">
        <v>0</v>
      </c>
      <c r="R202">
        <v>2763</v>
      </c>
      <c r="U202" t="s">
        <v>979</v>
      </c>
      <c r="V202" t="s">
        <v>1350</v>
      </c>
      <c r="W202">
        <v>0</v>
      </c>
      <c r="X202">
        <v>6.5</v>
      </c>
      <c r="Y202" t="s">
        <v>1707</v>
      </c>
      <c r="Z202">
        <v>9.740194350677299</v>
      </c>
      <c r="AA202">
        <v>2199</v>
      </c>
      <c r="AB202">
        <v>24243</v>
      </c>
      <c r="AC202" t="s">
        <v>2063</v>
      </c>
      <c r="AD202">
        <v>33.72</v>
      </c>
      <c r="AE202" t="s">
        <v>2434</v>
      </c>
      <c r="AF202" t="s">
        <v>2804</v>
      </c>
      <c r="AG202">
        <v>4275</v>
      </c>
      <c r="AH202">
        <v>1696</v>
      </c>
      <c r="AI202">
        <v>1647500</v>
      </c>
      <c r="AJ202">
        <v>7.6</v>
      </c>
      <c r="AK202" t="b">
        <v>1</v>
      </c>
    </row>
    <row r="203" spans="1:38">
      <c r="A203" s="1" t="s">
        <v>237</v>
      </c>
      <c r="B203" t="s">
        <v>608</v>
      </c>
      <c r="C203">
        <f>HYPERLINK("https://finance.naver.com/item/coinfo.nhn?code=005940", "A005940")</f>
        <v>0</v>
      </c>
      <c r="D203">
        <f>HYPERLINK("http://comp.fnguide.com/SVO2/ASP/SVD_Consensus.asp?pGB=1&amp;gicode=A005940&amp;cID=&amp;MenuYn=Y&amp;ReportGB=&amp;NewMenuID=108&amp;stkGb=701", "NH투자증권")</f>
        <v>0</v>
      </c>
      <c r="E203">
        <v>3</v>
      </c>
      <c r="F203">
        <v>9950</v>
      </c>
      <c r="G203">
        <v>-2.12</v>
      </c>
      <c r="H203">
        <v>4.08</v>
      </c>
      <c r="I203">
        <v>25304</v>
      </c>
      <c r="J203">
        <v>22722</v>
      </c>
      <c r="K203">
        <v>21859</v>
      </c>
      <c r="L203">
        <v>-154.31</v>
      </c>
      <c r="M203">
        <v>-128.36</v>
      </c>
      <c r="N203">
        <v>-119.68</v>
      </c>
      <c r="O203">
        <v>12.34</v>
      </c>
      <c r="P203" t="b">
        <v>0</v>
      </c>
      <c r="Q203">
        <v>0</v>
      </c>
      <c r="R203">
        <v>3067</v>
      </c>
      <c r="S203">
        <v>1494</v>
      </c>
      <c r="T203">
        <v>-51.3</v>
      </c>
      <c r="U203" t="s">
        <v>980</v>
      </c>
      <c r="V203" t="s">
        <v>1351</v>
      </c>
      <c r="W203">
        <v>-1.923514970692364</v>
      </c>
      <c r="X203">
        <v>5.9</v>
      </c>
      <c r="Y203" t="s">
        <v>1708</v>
      </c>
      <c r="Z203">
        <v>9.43785359308138</v>
      </c>
      <c r="AA203">
        <v>33001</v>
      </c>
      <c r="AB203">
        <v>994395</v>
      </c>
      <c r="AC203" t="s">
        <v>2064</v>
      </c>
      <c r="AD203">
        <v>56.83</v>
      </c>
      <c r="AE203" t="s">
        <v>2435</v>
      </c>
      <c r="AF203" t="s">
        <v>2805</v>
      </c>
      <c r="AG203">
        <v>23406</v>
      </c>
      <c r="AH203">
        <v>12939</v>
      </c>
      <c r="AI203">
        <v>683671</v>
      </c>
      <c r="AJ203">
        <v>8.4</v>
      </c>
      <c r="AK203" t="b">
        <v>1</v>
      </c>
    </row>
    <row r="204" spans="1:38">
      <c r="A204" s="1" t="s">
        <v>238</v>
      </c>
      <c r="B204" t="s">
        <v>609</v>
      </c>
      <c r="C204">
        <f>HYPERLINK("https://finance.naver.com/item/coinfo.nhn?code=010060", "A010060")</f>
        <v>0</v>
      </c>
      <c r="D204">
        <f>HYPERLINK("http://comp.fnguide.com/SVO2/ASP/SVD_Consensus.asp?pGB=1&amp;gicode=A010060&amp;cID=&amp;MenuYn=Y&amp;ReportGB=&amp;NewMenuID=108&amp;stkGb=701", "OCI")</f>
        <v>0</v>
      </c>
      <c r="E204">
        <v>3</v>
      </c>
      <c r="F204">
        <v>122500</v>
      </c>
      <c r="G204">
        <v>0</v>
      </c>
      <c r="H204">
        <v>3.83</v>
      </c>
      <c r="I204">
        <v>153323</v>
      </c>
      <c r="J204">
        <v>139853</v>
      </c>
      <c r="K204">
        <v>135349</v>
      </c>
      <c r="L204">
        <v>-25.16</v>
      </c>
      <c r="M204">
        <v>-14.17</v>
      </c>
      <c r="N204">
        <v>-10.49</v>
      </c>
      <c r="O204">
        <v>11.96</v>
      </c>
      <c r="P204" t="b">
        <v>1</v>
      </c>
      <c r="Q204">
        <v>3</v>
      </c>
      <c r="R204">
        <v>27156</v>
      </c>
      <c r="S204">
        <v>27456</v>
      </c>
      <c r="T204">
        <v>1.1</v>
      </c>
      <c r="U204" t="s">
        <v>981</v>
      </c>
      <c r="V204" t="s">
        <v>1352</v>
      </c>
      <c r="W204">
        <v>0</v>
      </c>
      <c r="X204">
        <v>253.9</v>
      </c>
      <c r="Y204" t="s">
        <v>1709</v>
      </c>
      <c r="Z204">
        <v>0</v>
      </c>
      <c r="AA204">
        <v>29215</v>
      </c>
      <c r="AB204">
        <v>1510769</v>
      </c>
      <c r="AC204" t="s">
        <v>2065</v>
      </c>
      <c r="AD204">
        <v>22.24</v>
      </c>
      <c r="AE204" t="s">
        <v>2436</v>
      </c>
      <c r="AF204" t="s">
        <v>2806</v>
      </c>
      <c r="AG204">
        <v>32440</v>
      </c>
      <c r="AH204">
        <v>6260</v>
      </c>
      <c r="AJ204">
        <v>1.92</v>
      </c>
      <c r="AK204" t="b">
        <v>1</v>
      </c>
    </row>
    <row r="205" spans="1:38">
      <c r="A205" s="1" t="s">
        <v>239</v>
      </c>
      <c r="B205" t="s">
        <v>610</v>
      </c>
      <c r="C205">
        <f>HYPERLINK("https://finance.naver.com/item/coinfo.nhn?code=003540", "A003540")</f>
        <v>0</v>
      </c>
      <c r="D205">
        <f>HYPERLINK("http://comp.fnguide.com/SVO2/ASP/SVD_Consensus.asp?pGB=1&amp;gicode=A003540&amp;cID=&amp;MenuYn=Y&amp;ReportGB=&amp;NewMenuID=108&amp;stkGb=701", "대신증권")</f>
        <v>0</v>
      </c>
      <c r="E205">
        <v>3</v>
      </c>
      <c r="F205">
        <v>15450</v>
      </c>
      <c r="G205">
        <v>0.06</v>
      </c>
      <c r="H205">
        <v>2.62</v>
      </c>
      <c r="I205">
        <v>121265</v>
      </c>
      <c r="J205">
        <v>95361</v>
      </c>
      <c r="K205">
        <v>86698</v>
      </c>
      <c r="L205">
        <v>-684.89</v>
      </c>
      <c r="M205">
        <v>-517.23</v>
      </c>
      <c r="N205">
        <v>-461.15</v>
      </c>
      <c r="O205">
        <v>16.45</v>
      </c>
      <c r="P205" t="b">
        <v>1</v>
      </c>
      <c r="Q205">
        <v>0</v>
      </c>
      <c r="R205">
        <v>7106</v>
      </c>
      <c r="S205">
        <v>3146</v>
      </c>
      <c r="T205">
        <v>-55.7</v>
      </c>
      <c r="U205" t="s">
        <v>982</v>
      </c>
      <c r="V205" t="s">
        <v>1353</v>
      </c>
      <c r="W205">
        <v>42.31686608200769</v>
      </c>
      <c r="X205">
        <v>10.2</v>
      </c>
      <c r="Y205" t="s">
        <v>1710</v>
      </c>
      <c r="Z205">
        <v>10.9631535723312</v>
      </c>
      <c r="AA205">
        <v>7844</v>
      </c>
      <c r="AB205">
        <v>36457</v>
      </c>
      <c r="AC205" t="s">
        <v>2066</v>
      </c>
      <c r="AD205">
        <v>15.47</v>
      </c>
      <c r="AE205" t="s">
        <v>2437</v>
      </c>
      <c r="AF205" t="s">
        <v>2807</v>
      </c>
      <c r="AG205">
        <v>13607</v>
      </c>
      <c r="AH205">
        <v>8855</v>
      </c>
      <c r="AI205">
        <v>15379028</v>
      </c>
      <c r="AJ205">
        <v>7.51</v>
      </c>
      <c r="AK205" t="b">
        <v>1</v>
      </c>
    </row>
    <row r="206" spans="1:38">
      <c r="A206" s="1" t="s">
        <v>240</v>
      </c>
      <c r="B206" t="s">
        <v>611</v>
      </c>
      <c r="C206">
        <f>HYPERLINK("https://finance.naver.com/item/coinfo.nhn?code=004060", "A004060")</f>
        <v>0</v>
      </c>
      <c r="D206">
        <f>HYPERLINK("http://comp.fnguide.com/SVO2/ASP/SVD_Consensus.asp?pGB=1&amp;gicode=A004060&amp;cID=&amp;MenuYn=Y&amp;ReportGB=&amp;NewMenuID=108&amp;stkGb=701", "SG세계물산")</f>
        <v>0</v>
      </c>
      <c r="E206">
        <v>3</v>
      </c>
      <c r="F206">
        <v>589</v>
      </c>
      <c r="G206">
        <v>0</v>
      </c>
      <c r="H206">
        <v>2.95</v>
      </c>
      <c r="I206">
        <v>1376</v>
      </c>
      <c r="J206">
        <v>1283</v>
      </c>
      <c r="K206">
        <v>1252</v>
      </c>
      <c r="L206">
        <v>-133.68</v>
      </c>
      <c r="M206">
        <v>-117.88</v>
      </c>
      <c r="N206">
        <v>-112.6</v>
      </c>
      <c r="O206">
        <v>11.46</v>
      </c>
      <c r="P206" t="b">
        <v>1</v>
      </c>
      <c r="Q206">
        <v>0</v>
      </c>
      <c r="R206">
        <v>232</v>
      </c>
      <c r="U206" t="s">
        <v>983</v>
      </c>
      <c r="V206" t="s">
        <v>1354</v>
      </c>
      <c r="W206">
        <v>0</v>
      </c>
      <c r="Y206" t="s">
        <v>1711</v>
      </c>
      <c r="Z206">
        <v>0</v>
      </c>
      <c r="AA206">
        <v>1192</v>
      </c>
      <c r="AB206">
        <v>499270</v>
      </c>
      <c r="AC206" t="s">
        <v>2067</v>
      </c>
      <c r="AD206">
        <v>50.61</v>
      </c>
      <c r="AE206" t="s">
        <v>2438</v>
      </c>
      <c r="AF206" t="s">
        <v>2808</v>
      </c>
      <c r="AG206">
        <v>1357</v>
      </c>
      <c r="AH206">
        <v>-47</v>
      </c>
      <c r="AK206" t="b">
        <v>1</v>
      </c>
    </row>
    <row r="207" spans="1:38">
      <c r="A207" s="1" t="s">
        <v>241</v>
      </c>
      <c r="B207" t="s">
        <v>612</v>
      </c>
      <c r="C207">
        <f>HYPERLINK("https://finance.naver.com/item/coinfo.nhn?code=084690", "A084690")</f>
        <v>0</v>
      </c>
      <c r="D207">
        <f>HYPERLINK("http://comp.fnguide.com/SVO2/ASP/SVD_Consensus.asp?pGB=1&amp;gicode=A084690&amp;cID=&amp;MenuYn=Y&amp;ReportGB=&amp;NewMenuID=108&amp;stkGb=701", "대상홀딩스")</f>
        <v>0</v>
      </c>
      <c r="E207">
        <v>3</v>
      </c>
      <c r="F207">
        <v>8280</v>
      </c>
      <c r="G207">
        <v>0</v>
      </c>
      <c r="H207">
        <v>6.69</v>
      </c>
      <c r="I207">
        <v>21148</v>
      </c>
      <c r="J207">
        <v>20262</v>
      </c>
      <c r="K207">
        <v>19966</v>
      </c>
      <c r="L207">
        <v>-155.41</v>
      </c>
      <c r="M207">
        <v>-144.72</v>
      </c>
      <c r="N207">
        <v>-141.14</v>
      </c>
      <c r="O207">
        <v>10.88</v>
      </c>
      <c r="P207" t="b">
        <v>0</v>
      </c>
      <c r="Q207">
        <v>0</v>
      </c>
      <c r="R207">
        <v>1451</v>
      </c>
      <c r="U207" t="s">
        <v>984</v>
      </c>
      <c r="V207" t="s">
        <v>1355</v>
      </c>
      <c r="W207">
        <v>0</v>
      </c>
      <c r="X207">
        <v>-40.2</v>
      </c>
      <c r="Y207" t="s">
        <v>1712</v>
      </c>
      <c r="Z207">
        <v>4.431435914716753</v>
      </c>
      <c r="AA207">
        <v>2998</v>
      </c>
      <c r="AB207">
        <v>21252</v>
      </c>
      <c r="AC207" t="s">
        <v>2068</v>
      </c>
      <c r="AD207">
        <v>67.3</v>
      </c>
      <c r="AE207" t="s">
        <v>2439</v>
      </c>
      <c r="AF207" t="s">
        <v>2809</v>
      </c>
      <c r="AG207">
        <v>42060</v>
      </c>
      <c r="AH207">
        <v>1630</v>
      </c>
      <c r="AJ207">
        <v>2.47</v>
      </c>
      <c r="AK207" t="b">
        <v>1</v>
      </c>
    </row>
    <row r="208" spans="1:38">
      <c r="A208" s="1" t="s">
        <v>242</v>
      </c>
      <c r="B208" t="s">
        <v>613</v>
      </c>
      <c r="C208">
        <f>HYPERLINK("https://finance.naver.com/item/coinfo.nhn?code=001680", "A001680")</f>
        <v>0</v>
      </c>
      <c r="D208">
        <f>HYPERLINK("http://comp.fnguide.com/SVO2/ASP/SVD_Consensus.asp?pGB=1&amp;gicode=A001680&amp;cID=&amp;MenuYn=Y&amp;ReportGB=&amp;NewMenuID=108&amp;stkGb=701", "대상")</f>
        <v>0</v>
      </c>
      <c r="E208">
        <v>3</v>
      </c>
      <c r="F208">
        <v>21800</v>
      </c>
      <c r="G208">
        <v>5.66</v>
      </c>
      <c r="H208">
        <v>5.82</v>
      </c>
      <c r="I208">
        <v>42686</v>
      </c>
      <c r="J208">
        <v>38693</v>
      </c>
      <c r="K208">
        <v>37357</v>
      </c>
      <c r="L208">
        <v>-95.81</v>
      </c>
      <c r="M208">
        <v>-77.48999999999999</v>
      </c>
      <c r="N208">
        <v>-71.36</v>
      </c>
      <c r="O208">
        <v>12.12</v>
      </c>
      <c r="P208" t="b">
        <v>1</v>
      </c>
      <c r="Q208">
        <v>0</v>
      </c>
      <c r="R208">
        <v>4002</v>
      </c>
      <c r="S208">
        <v>3071</v>
      </c>
      <c r="T208">
        <v>-23.3</v>
      </c>
      <c r="U208" t="s">
        <v>985</v>
      </c>
      <c r="V208" t="s">
        <v>1356</v>
      </c>
      <c r="W208">
        <v>1.027490735870162</v>
      </c>
      <c r="X208">
        <v>-28.9</v>
      </c>
      <c r="Y208" t="s">
        <v>1713</v>
      </c>
      <c r="Z208">
        <v>14.19882042774241</v>
      </c>
      <c r="AA208">
        <v>7553</v>
      </c>
      <c r="AB208">
        <v>63967</v>
      </c>
      <c r="AC208" t="s">
        <v>2069</v>
      </c>
      <c r="AD208">
        <v>44.27</v>
      </c>
      <c r="AE208" t="s">
        <v>2440</v>
      </c>
      <c r="AF208" t="s">
        <v>2810</v>
      </c>
      <c r="AG208">
        <v>34700</v>
      </c>
      <c r="AH208">
        <v>1532</v>
      </c>
      <c r="AJ208">
        <v>3.43</v>
      </c>
      <c r="AK208" t="b">
        <v>1</v>
      </c>
    </row>
    <row r="209" spans="1:37">
      <c r="A209" s="1" t="s">
        <v>243</v>
      </c>
      <c r="B209" t="s">
        <v>614</v>
      </c>
      <c r="C209">
        <f>HYPERLINK("https://finance.naver.com/item/coinfo.nhn?code=023590", "A023590")</f>
        <v>0</v>
      </c>
      <c r="D209">
        <f>HYPERLINK("http://comp.fnguide.com/SVO2/ASP/SVD_Consensus.asp?pGB=1&amp;gicode=A023590&amp;cID=&amp;MenuYn=Y&amp;ReportGB=&amp;NewMenuID=108&amp;stkGb=701", "다우기술")</f>
        <v>0</v>
      </c>
      <c r="E209">
        <v>3</v>
      </c>
      <c r="F209">
        <v>18800</v>
      </c>
      <c r="G209">
        <v>0</v>
      </c>
      <c r="H209">
        <v>2.72</v>
      </c>
      <c r="I209">
        <v>87837</v>
      </c>
      <c r="J209">
        <v>64765</v>
      </c>
      <c r="K209">
        <v>57049</v>
      </c>
      <c r="L209">
        <v>-367.22</v>
      </c>
      <c r="M209">
        <v>-244.49</v>
      </c>
      <c r="N209">
        <v>-203.45</v>
      </c>
      <c r="O209">
        <v>19.27</v>
      </c>
      <c r="P209" t="b">
        <v>1</v>
      </c>
      <c r="Q209">
        <v>0</v>
      </c>
      <c r="R209">
        <v>8383</v>
      </c>
      <c r="U209" t="s">
        <v>986</v>
      </c>
      <c r="V209" t="s">
        <v>1357</v>
      </c>
      <c r="W209">
        <v>0</v>
      </c>
      <c r="X209">
        <v>-43.7</v>
      </c>
      <c r="Y209" t="s">
        <v>1714</v>
      </c>
      <c r="Z209">
        <v>13.06437844382069</v>
      </c>
      <c r="AA209">
        <v>8435</v>
      </c>
      <c r="AB209">
        <v>26358</v>
      </c>
      <c r="AC209" t="s">
        <v>2070</v>
      </c>
      <c r="AD209">
        <v>47.26</v>
      </c>
      <c r="AE209" t="s">
        <v>2441</v>
      </c>
      <c r="AF209" t="s">
        <v>2811</v>
      </c>
      <c r="AG209">
        <v>60870</v>
      </c>
      <c r="AH209">
        <v>12572</v>
      </c>
      <c r="AI209">
        <v>1715768</v>
      </c>
      <c r="AJ209">
        <v>2.63</v>
      </c>
      <c r="AK209" t="b">
        <v>1</v>
      </c>
    </row>
    <row r="210" spans="1:37">
      <c r="A210" s="1" t="s">
        <v>244</v>
      </c>
      <c r="B210" t="s">
        <v>615</v>
      </c>
      <c r="C210">
        <f>HYPERLINK("https://finance.naver.com/item/coinfo.nhn?code=030210", "A030210")</f>
        <v>0</v>
      </c>
      <c r="D210">
        <f>HYPERLINK("http://comp.fnguide.com/SVO2/ASP/SVD_Consensus.asp?pGB=1&amp;gicode=A030210&amp;cID=&amp;MenuYn=Y&amp;ReportGB=&amp;NewMenuID=108&amp;stkGb=701", "다올투자증권")</f>
        <v>0</v>
      </c>
      <c r="E210">
        <v>3</v>
      </c>
      <c r="F210">
        <v>4535</v>
      </c>
      <c r="G210">
        <v>0.06</v>
      </c>
      <c r="H210">
        <v>2.11</v>
      </c>
      <c r="I210">
        <v>21049</v>
      </c>
      <c r="J210">
        <v>15592</v>
      </c>
      <c r="K210">
        <v>13767</v>
      </c>
      <c r="L210">
        <v>-364.14</v>
      </c>
      <c r="M210">
        <v>-243.81</v>
      </c>
      <c r="N210">
        <v>-203.56</v>
      </c>
      <c r="O210">
        <v>19.05</v>
      </c>
      <c r="P210" t="b">
        <v>1</v>
      </c>
      <c r="Q210">
        <v>0</v>
      </c>
      <c r="R210">
        <v>2459</v>
      </c>
      <c r="S210">
        <v>1877</v>
      </c>
      <c r="T210">
        <v>-23.7</v>
      </c>
      <c r="U210" t="s">
        <v>987</v>
      </c>
      <c r="V210" t="s">
        <v>1358</v>
      </c>
      <c r="W210">
        <v>38.25957162806608</v>
      </c>
      <c r="X210">
        <v>26.9</v>
      </c>
      <c r="Y210" t="s">
        <v>1715</v>
      </c>
      <c r="Z210">
        <v>16.1090561738159</v>
      </c>
      <c r="AA210">
        <v>2735</v>
      </c>
      <c r="AB210">
        <v>244143</v>
      </c>
      <c r="AC210" t="s">
        <v>2071</v>
      </c>
      <c r="AD210">
        <v>25.71</v>
      </c>
      <c r="AE210" t="s">
        <v>2442</v>
      </c>
      <c r="AF210" t="s">
        <v>2812</v>
      </c>
      <c r="AG210">
        <v>4469</v>
      </c>
      <c r="AH210">
        <v>1482</v>
      </c>
      <c r="AI210">
        <v>1816241</v>
      </c>
      <c r="AJ210">
        <v>4.82</v>
      </c>
      <c r="AK210" t="b">
        <v>1</v>
      </c>
    </row>
    <row r="211" spans="1:37">
      <c r="A211" s="1" t="s">
        <v>245</v>
      </c>
      <c r="B211" t="s">
        <v>616</v>
      </c>
      <c r="C211">
        <f>HYPERLINK("https://finance.naver.com/item/coinfo.nhn?code=001260", "A001260")</f>
        <v>0</v>
      </c>
      <c r="D211">
        <f>HYPERLINK("http://comp.fnguide.com/SVO2/ASP/SVD_Consensus.asp?pGB=1&amp;gicode=A001260&amp;cID=&amp;MenuYn=Y&amp;ReportGB=&amp;NewMenuID=108&amp;stkGb=701", "남광토건")</f>
        <v>0</v>
      </c>
      <c r="E211">
        <v>3</v>
      </c>
      <c r="F211">
        <v>10550</v>
      </c>
      <c r="G211">
        <v>0</v>
      </c>
      <c r="H211">
        <v>6.3</v>
      </c>
      <c r="I211">
        <v>20469</v>
      </c>
      <c r="J211">
        <v>14136</v>
      </c>
      <c r="K211">
        <v>12018</v>
      </c>
      <c r="L211">
        <v>-94.02</v>
      </c>
      <c r="M211">
        <v>-33.99</v>
      </c>
      <c r="N211">
        <v>-13.91</v>
      </c>
      <c r="O211">
        <v>23.03</v>
      </c>
      <c r="P211" t="b">
        <v>1</v>
      </c>
      <c r="Q211">
        <v>0</v>
      </c>
      <c r="R211">
        <v>2206</v>
      </c>
      <c r="U211" t="s">
        <v>988</v>
      </c>
      <c r="V211" t="s">
        <v>1359</v>
      </c>
      <c r="W211">
        <v>0</v>
      </c>
      <c r="X211">
        <v>-52.1</v>
      </c>
      <c r="Y211" t="s">
        <v>1716</v>
      </c>
      <c r="Z211">
        <v>43.52040753810373</v>
      </c>
      <c r="AA211">
        <v>1037</v>
      </c>
      <c r="AB211">
        <v>33671</v>
      </c>
      <c r="AC211" t="s">
        <v>2072</v>
      </c>
      <c r="AD211">
        <v>62.37</v>
      </c>
      <c r="AE211" t="s">
        <v>2443</v>
      </c>
      <c r="AF211" t="s">
        <v>2813</v>
      </c>
      <c r="AG211">
        <v>3567</v>
      </c>
      <c r="AH211">
        <v>208</v>
      </c>
      <c r="AI211">
        <v>8858</v>
      </c>
      <c r="AK211" t="b">
        <v>1</v>
      </c>
    </row>
    <row r="212" spans="1:37">
      <c r="A212" s="1" t="s">
        <v>246</v>
      </c>
      <c r="B212" t="s">
        <v>617</v>
      </c>
      <c r="C212">
        <f>HYPERLINK("https://finance.naver.com/item/coinfo.nhn?code=000270", "A000270")</f>
        <v>0</v>
      </c>
      <c r="D212">
        <f>HYPERLINK("http://comp.fnguide.com/SVO2/ASP/SVD_Consensus.asp?pGB=1&amp;gicode=A000270&amp;cID=&amp;MenuYn=Y&amp;ReportGB=&amp;NewMenuID=108&amp;stkGb=701", "기아")</f>
        <v>0</v>
      </c>
      <c r="E212">
        <v>3</v>
      </c>
      <c r="F212">
        <v>81200</v>
      </c>
      <c r="G212">
        <v>0.13</v>
      </c>
      <c r="H212">
        <v>7</v>
      </c>
      <c r="I212">
        <v>87608</v>
      </c>
      <c r="J212">
        <v>87314</v>
      </c>
      <c r="K212">
        <v>87216</v>
      </c>
      <c r="L212">
        <v>-7.89</v>
      </c>
      <c r="M212">
        <v>-7.53</v>
      </c>
      <c r="N212">
        <v>-7.41</v>
      </c>
      <c r="O212">
        <v>10.11</v>
      </c>
      <c r="P212" t="b">
        <v>1</v>
      </c>
      <c r="Q212">
        <v>2</v>
      </c>
      <c r="R212">
        <v>11744</v>
      </c>
      <c r="S212">
        <v>15890</v>
      </c>
      <c r="T212">
        <v>35.3</v>
      </c>
      <c r="U212" t="s">
        <v>989</v>
      </c>
      <c r="V212" t="s">
        <v>1360</v>
      </c>
      <c r="W212">
        <v>52.17993465056794</v>
      </c>
      <c r="X212">
        <v>-0.2</v>
      </c>
      <c r="Y212" t="s">
        <v>1717</v>
      </c>
      <c r="Z212">
        <v>37.4400383437155</v>
      </c>
      <c r="AA212">
        <v>329155</v>
      </c>
      <c r="AB212">
        <v>1386182</v>
      </c>
      <c r="AC212" t="s">
        <v>2073</v>
      </c>
      <c r="AD212">
        <v>35.62</v>
      </c>
      <c r="AE212" t="s">
        <v>2444</v>
      </c>
      <c r="AF212" t="s">
        <v>2814</v>
      </c>
      <c r="AG212">
        <v>698624</v>
      </c>
      <c r="AH212">
        <v>50657</v>
      </c>
      <c r="AI212">
        <v>4432331</v>
      </c>
      <c r="AJ212">
        <v>3.65</v>
      </c>
      <c r="AK212" t="b">
        <v>1</v>
      </c>
    </row>
    <row r="213" spans="1:37">
      <c r="A213" s="1" t="s">
        <v>247</v>
      </c>
      <c r="B213" t="s">
        <v>618</v>
      </c>
      <c r="C213">
        <f>HYPERLINK("https://finance.naver.com/item/coinfo.nhn?code=011780", "A011780")</f>
        <v>0</v>
      </c>
      <c r="D213">
        <f>HYPERLINK("http://comp.fnguide.com/SVO2/ASP/SVD_Consensus.asp?pGB=1&amp;gicode=A011780&amp;cID=&amp;MenuYn=Y&amp;ReportGB=&amp;NewMenuID=108&amp;stkGb=701", "금호석유")</f>
        <v>0</v>
      </c>
      <c r="E213">
        <v>3</v>
      </c>
      <c r="F213">
        <v>129500</v>
      </c>
      <c r="G213">
        <v>0.05</v>
      </c>
      <c r="H213">
        <v>2.83</v>
      </c>
      <c r="I213">
        <v>684555</v>
      </c>
      <c r="J213">
        <v>424722</v>
      </c>
      <c r="K213">
        <v>337823</v>
      </c>
      <c r="L213">
        <v>-428.61</v>
      </c>
      <c r="M213">
        <v>-227.97</v>
      </c>
      <c r="N213">
        <v>-160.87</v>
      </c>
      <c r="O213">
        <v>32.58</v>
      </c>
      <c r="P213" t="b">
        <v>1</v>
      </c>
      <c r="Q213">
        <v>0</v>
      </c>
      <c r="R213">
        <v>58694</v>
      </c>
      <c r="S213">
        <v>35888</v>
      </c>
      <c r="T213">
        <v>-38.9</v>
      </c>
      <c r="U213" t="s">
        <v>990</v>
      </c>
      <c r="V213" t="s">
        <v>1361</v>
      </c>
      <c r="W213">
        <v>59.75637229583904</v>
      </c>
      <c r="X213">
        <v>-21.1</v>
      </c>
      <c r="Y213" t="s">
        <v>1718</v>
      </c>
      <c r="Z213">
        <v>48.68182730591626</v>
      </c>
      <c r="AA213">
        <v>39233</v>
      </c>
      <c r="AB213">
        <v>101854</v>
      </c>
      <c r="AC213" t="s">
        <v>2074</v>
      </c>
      <c r="AD213">
        <v>25.21</v>
      </c>
      <c r="AE213" t="s">
        <v>2445</v>
      </c>
      <c r="AF213" t="s">
        <v>2815</v>
      </c>
      <c r="AG213">
        <v>84618</v>
      </c>
      <c r="AH213">
        <v>24068</v>
      </c>
      <c r="AI213">
        <v>6230366</v>
      </c>
      <c r="AJ213">
        <v>6.02</v>
      </c>
      <c r="AK213" t="b">
        <v>1</v>
      </c>
    </row>
    <row r="214" spans="1:37">
      <c r="A214" s="1" t="s">
        <v>248</v>
      </c>
      <c r="B214" t="s">
        <v>619</v>
      </c>
      <c r="C214">
        <f>HYPERLINK("https://finance.naver.com/item/coinfo.nhn?code=002990", "A002990")</f>
        <v>0</v>
      </c>
      <c r="D214">
        <f>HYPERLINK("http://comp.fnguide.com/SVO2/ASP/SVD_Consensus.asp?pGB=1&amp;gicode=A002990&amp;cID=&amp;MenuYn=Y&amp;ReportGB=&amp;NewMenuID=108&amp;stkGb=701", "금호건설")</f>
        <v>0</v>
      </c>
      <c r="E214">
        <v>3</v>
      </c>
      <c r="F214">
        <v>8300</v>
      </c>
      <c r="G214">
        <v>0.03</v>
      </c>
      <c r="H214">
        <v>2.89</v>
      </c>
      <c r="I214">
        <v>30817</v>
      </c>
      <c r="J214">
        <v>23884</v>
      </c>
      <c r="K214">
        <v>21566</v>
      </c>
      <c r="L214">
        <v>-271.29</v>
      </c>
      <c r="M214">
        <v>-187.76</v>
      </c>
      <c r="N214">
        <v>-159.83</v>
      </c>
      <c r="O214">
        <v>17.03</v>
      </c>
      <c r="P214" t="b">
        <v>1</v>
      </c>
      <c r="Q214">
        <v>0</v>
      </c>
      <c r="R214">
        <v>4011</v>
      </c>
      <c r="S214">
        <v>2310</v>
      </c>
      <c r="T214">
        <v>-42.4</v>
      </c>
      <c r="U214" t="s">
        <v>991</v>
      </c>
      <c r="V214" t="s">
        <v>1362</v>
      </c>
      <c r="W214">
        <v>92.67912626938993</v>
      </c>
      <c r="X214">
        <v>-67.3</v>
      </c>
      <c r="Y214" t="s">
        <v>1719</v>
      </c>
      <c r="Z214">
        <v>0</v>
      </c>
      <c r="AA214">
        <v>3067</v>
      </c>
      <c r="AB214">
        <v>47501</v>
      </c>
      <c r="AC214" t="s">
        <v>2075</v>
      </c>
      <c r="AD214">
        <v>47.51</v>
      </c>
      <c r="AE214" t="s">
        <v>2446</v>
      </c>
      <c r="AF214" t="s">
        <v>2816</v>
      </c>
      <c r="AG214">
        <v>20651</v>
      </c>
      <c r="AH214">
        <v>1116</v>
      </c>
      <c r="AI214">
        <v>1058230</v>
      </c>
      <c r="AJ214">
        <v>6.9</v>
      </c>
      <c r="AK214" t="b">
        <v>1</v>
      </c>
    </row>
    <row r="215" spans="1:37">
      <c r="A215" s="1" t="s">
        <v>249</v>
      </c>
      <c r="B215" t="s">
        <v>620</v>
      </c>
      <c r="C215">
        <f>HYPERLINK("https://finance.naver.com/item/coinfo.nhn?code=007690", "A007690")</f>
        <v>0</v>
      </c>
      <c r="D215">
        <f>HYPERLINK("http://comp.fnguide.com/SVO2/ASP/SVD_Consensus.asp?pGB=1&amp;gicode=A007690&amp;cID=&amp;MenuYn=Y&amp;ReportGB=&amp;NewMenuID=108&amp;stkGb=701", "국도화학")</f>
        <v>0</v>
      </c>
      <c r="E215">
        <v>3</v>
      </c>
      <c r="F215">
        <v>50700</v>
      </c>
      <c r="G215">
        <v>0</v>
      </c>
      <c r="H215">
        <v>2.83</v>
      </c>
      <c r="I215">
        <v>136210</v>
      </c>
      <c r="J215">
        <v>112330</v>
      </c>
      <c r="K215">
        <v>104343</v>
      </c>
      <c r="L215">
        <v>-168.66</v>
      </c>
      <c r="M215">
        <v>-121.56</v>
      </c>
      <c r="N215">
        <v>-105.8</v>
      </c>
      <c r="O215">
        <v>14.77</v>
      </c>
      <c r="P215" t="b">
        <v>1</v>
      </c>
      <c r="Q215">
        <v>0</v>
      </c>
      <c r="R215">
        <v>19980</v>
      </c>
      <c r="U215" t="s">
        <v>992</v>
      </c>
      <c r="V215" t="s">
        <v>1363</v>
      </c>
      <c r="W215">
        <v>0</v>
      </c>
      <c r="X215">
        <v>33</v>
      </c>
      <c r="Y215" t="s">
        <v>1720</v>
      </c>
      <c r="Z215">
        <v>36.23230651926887</v>
      </c>
      <c r="AA215">
        <v>4568</v>
      </c>
      <c r="AB215">
        <v>32895</v>
      </c>
      <c r="AC215" t="s">
        <v>2076</v>
      </c>
      <c r="AD215">
        <v>28.23</v>
      </c>
      <c r="AE215" t="s">
        <v>2447</v>
      </c>
      <c r="AF215" t="s">
        <v>2817</v>
      </c>
      <c r="AG215">
        <v>15771</v>
      </c>
      <c r="AH215">
        <v>2047</v>
      </c>
      <c r="AI215">
        <v>370082</v>
      </c>
      <c r="AJ215">
        <v>3.89</v>
      </c>
      <c r="AK215" t="b">
        <v>1</v>
      </c>
    </row>
    <row r="216" spans="1:37">
      <c r="A216" s="1" t="s">
        <v>250</v>
      </c>
      <c r="B216" t="s">
        <v>621</v>
      </c>
      <c r="C216">
        <f>HYPERLINK("https://finance.naver.com/item/coinfo.nhn?code=013580", "A013580")</f>
        <v>0</v>
      </c>
      <c r="D216">
        <f>HYPERLINK("http://comp.fnguide.com/SVO2/ASP/SVD_Consensus.asp?pGB=1&amp;gicode=A013580&amp;cID=&amp;MenuYn=Y&amp;ReportGB=&amp;NewMenuID=108&amp;stkGb=701", "계룡건설")</f>
        <v>0</v>
      </c>
      <c r="E216">
        <v>3</v>
      </c>
      <c r="F216">
        <v>24500</v>
      </c>
      <c r="G216">
        <v>0</v>
      </c>
      <c r="H216">
        <v>1.87</v>
      </c>
      <c r="I216">
        <v>168846</v>
      </c>
      <c r="J216">
        <v>119484</v>
      </c>
      <c r="K216">
        <v>102975</v>
      </c>
      <c r="L216">
        <v>-589.17</v>
      </c>
      <c r="M216">
        <v>-387.69</v>
      </c>
      <c r="N216">
        <v>-320.31</v>
      </c>
      <c r="O216">
        <v>21.5</v>
      </c>
      <c r="P216" t="b">
        <v>1</v>
      </c>
      <c r="Q216">
        <v>0</v>
      </c>
      <c r="R216">
        <v>17457</v>
      </c>
      <c r="U216" t="s">
        <v>993</v>
      </c>
      <c r="V216" t="s">
        <v>1364</v>
      </c>
      <c r="W216">
        <v>0</v>
      </c>
      <c r="X216">
        <v>-9.300000000000001</v>
      </c>
      <c r="Y216" t="s">
        <v>1721</v>
      </c>
      <c r="Z216">
        <v>21.99363893462065</v>
      </c>
      <c r="AA216">
        <v>2188</v>
      </c>
      <c r="AB216">
        <v>101019</v>
      </c>
      <c r="AC216" t="s">
        <v>2077</v>
      </c>
      <c r="AD216">
        <v>38.7</v>
      </c>
      <c r="AE216" t="s">
        <v>2448</v>
      </c>
      <c r="AF216" t="s">
        <v>2818</v>
      </c>
      <c r="AG216">
        <v>25618</v>
      </c>
      <c r="AH216">
        <v>2327</v>
      </c>
      <c r="AI216">
        <v>73110</v>
      </c>
      <c r="AJ216">
        <v>2.45</v>
      </c>
      <c r="AK216" t="b">
        <v>1</v>
      </c>
    </row>
    <row r="217" spans="1:37">
      <c r="A217" s="1" t="s">
        <v>251</v>
      </c>
      <c r="B217" t="s">
        <v>622</v>
      </c>
      <c r="C217">
        <f>HYPERLINK("https://finance.naver.com/item/coinfo.nhn?code=285130", "A285130")</f>
        <v>0</v>
      </c>
      <c r="D217">
        <f>HYPERLINK("http://comp.fnguide.com/SVO2/ASP/SVD_Consensus.asp?pGB=1&amp;gicode=A285130&amp;cID=&amp;MenuYn=Y&amp;ReportGB=&amp;NewMenuID=108&amp;stkGb=701", "SK케미칼")</f>
        <v>0</v>
      </c>
      <c r="E217">
        <v>3</v>
      </c>
      <c r="F217">
        <v>105000</v>
      </c>
      <c r="G217">
        <v>0.16</v>
      </c>
      <c r="H217">
        <v>17.49</v>
      </c>
      <c r="I217">
        <v>190147</v>
      </c>
      <c r="J217">
        <v>151308</v>
      </c>
      <c r="K217">
        <v>138319</v>
      </c>
      <c r="L217">
        <v>-81.09</v>
      </c>
      <c r="M217">
        <v>-44.1</v>
      </c>
      <c r="N217">
        <v>-31.73</v>
      </c>
      <c r="O217">
        <v>16.01</v>
      </c>
      <c r="P217" t="b">
        <v>0</v>
      </c>
      <c r="Q217">
        <v>0</v>
      </c>
      <c r="R217">
        <v>8521</v>
      </c>
      <c r="S217">
        <v>5016</v>
      </c>
      <c r="T217">
        <v>-41.1</v>
      </c>
      <c r="U217" t="s">
        <v>994</v>
      </c>
      <c r="V217" t="s">
        <v>1365</v>
      </c>
      <c r="W217">
        <v>110.2760228959001</v>
      </c>
      <c r="X217">
        <v>-26</v>
      </c>
      <c r="Y217" t="s">
        <v>1722</v>
      </c>
      <c r="Z217">
        <v>0</v>
      </c>
      <c r="AA217">
        <v>18502</v>
      </c>
      <c r="AB217">
        <v>55101</v>
      </c>
      <c r="AC217" t="s">
        <v>2078</v>
      </c>
      <c r="AD217">
        <v>36.56</v>
      </c>
      <c r="AE217" t="s">
        <v>2449</v>
      </c>
      <c r="AF217" t="s">
        <v>2819</v>
      </c>
      <c r="AG217">
        <v>20896</v>
      </c>
      <c r="AH217">
        <v>5552</v>
      </c>
      <c r="AI217">
        <v>420346</v>
      </c>
      <c r="AJ217">
        <v>2.01</v>
      </c>
      <c r="AK217" t="b">
        <v>1</v>
      </c>
    </row>
    <row r="218" spans="1:37">
      <c r="A218" s="1" t="s">
        <v>252</v>
      </c>
      <c r="B218" t="s">
        <v>623</v>
      </c>
      <c r="C218">
        <f>HYPERLINK("https://finance.naver.com/item/coinfo.nhn?code=210980", "A210980")</f>
        <v>0</v>
      </c>
      <c r="D218">
        <f>HYPERLINK("http://comp.fnguide.com/SVO2/ASP/SVD_Consensus.asp?pGB=1&amp;gicode=A210980&amp;cID=&amp;MenuYn=Y&amp;ReportGB=&amp;NewMenuID=108&amp;stkGb=701", "SK디앤디")</f>
        <v>0</v>
      </c>
      <c r="E218">
        <v>3</v>
      </c>
      <c r="F218">
        <v>25750</v>
      </c>
      <c r="G218">
        <v>0.38</v>
      </c>
      <c r="H218">
        <v>5.76</v>
      </c>
      <c r="I218">
        <v>53107</v>
      </c>
      <c r="J218">
        <v>39771</v>
      </c>
      <c r="K218">
        <v>35311</v>
      </c>
      <c r="L218">
        <v>-106.24</v>
      </c>
      <c r="M218">
        <v>-54.45</v>
      </c>
      <c r="N218">
        <v>-37.13</v>
      </c>
      <c r="O218">
        <v>18.53</v>
      </c>
      <c r="P218" t="b">
        <v>1</v>
      </c>
      <c r="Q218">
        <v>0</v>
      </c>
      <c r="R218">
        <v>5510</v>
      </c>
      <c r="S218">
        <v>3592</v>
      </c>
      <c r="T218">
        <v>-34.8</v>
      </c>
      <c r="U218" t="s">
        <v>995</v>
      </c>
      <c r="V218" t="s">
        <v>1366</v>
      </c>
      <c r="W218">
        <v>14.97441769956092</v>
      </c>
      <c r="X218">
        <v>146.5</v>
      </c>
      <c r="Y218" t="s">
        <v>1723</v>
      </c>
      <c r="Z218">
        <v>32.24623894040246</v>
      </c>
      <c r="AA218">
        <v>5714</v>
      </c>
      <c r="AB218">
        <v>15874</v>
      </c>
      <c r="AC218" t="s">
        <v>2079</v>
      </c>
      <c r="AD218">
        <v>59.19</v>
      </c>
      <c r="AE218" t="s">
        <v>2450</v>
      </c>
      <c r="AF218" t="s">
        <v>2820</v>
      </c>
      <c r="AG218">
        <v>7910</v>
      </c>
      <c r="AH218">
        <v>1294</v>
      </c>
      <c r="AI218">
        <v>640</v>
      </c>
      <c r="AJ218">
        <v>2.52</v>
      </c>
      <c r="AK218" t="b">
        <v>1</v>
      </c>
    </row>
    <row r="219" spans="1:37">
      <c r="A219" s="1" t="s">
        <v>253</v>
      </c>
      <c r="B219" t="s">
        <v>624</v>
      </c>
      <c r="C219">
        <f>HYPERLINK("https://finance.naver.com/item/coinfo.nhn?code=006120", "A006120")</f>
        <v>0</v>
      </c>
      <c r="D219">
        <f>HYPERLINK("http://comp.fnguide.com/SVO2/ASP/SVD_Consensus.asp?pGB=1&amp;gicode=A006120&amp;cID=&amp;MenuYn=Y&amp;ReportGB=&amp;NewMenuID=108&amp;stkGb=701", "SK디스커버리")</f>
        <v>0</v>
      </c>
      <c r="E219">
        <v>3</v>
      </c>
      <c r="F219">
        <v>36000</v>
      </c>
      <c r="G219">
        <v>0</v>
      </c>
      <c r="H219">
        <v>4.45</v>
      </c>
      <c r="I219">
        <v>152802</v>
      </c>
      <c r="J219">
        <v>140923</v>
      </c>
      <c r="K219">
        <v>136950</v>
      </c>
      <c r="L219">
        <v>-324.45</v>
      </c>
      <c r="M219">
        <v>-291.45</v>
      </c>
      <c r="N219">
        <v>-280.42</v>
      </c>
      <c r="O219">
        <v>11.71</v>
      </c>
      <c r="P219" t="b">
        <v>1</v>
      </c>
      <c r="Q219">
        <v>0</v>
      </c>
      <c r="R219">
        <v>10438</v>
      </c>
      <c r="U219" t="s">
        <v>996</v>
      </c>
      <c r="V219" t="s">
        <v>1367</v>
      </c>
      <c r="W219">
        <v>0</v>
      </c>
      <c r="X219">
        <v>174.8</v>
      </c>
      <c r="Y219" t="s">
        <v>1724</v>
      </c>
      <c r="Z219">
        <v>-0.06996558365021111</v>
      </c>
      <c r="AA219">
        <v>6854</v>
      </c>
      <c r="AB219">
        <v>12303</v>
      </c>
      <c r="AC219" t="s">
        <v>2080</v>
      </c>
      <c r="AD219">
        <v>47.53</v>
      </c>
      <c r="AE219" t="s">
        <v>2451</v>
      </c>
      <c r="AF219" t="s">
        <v>2821</v>
      </c>
      <c r="AG219">
        <v>66143</v>
      </c>
      <c r="AH219">
        <v>744</v>
      </c>
      <c r="AI219">
        <v>638137</v>
      </c>
      <c r="AJ219">
        <v>3.23</v>
      </c>
      <c r="AK219" t="b">
        <v>1</v>
      </c>
    </row>
    <row r="220" spans="1:37">
      <c r="A220" s="1" t="s">
        <v>254</v>
      </c>
      <c r="B220" t="s">
        <v>625</v>
      </c>
      <c r="C220">
        <f>HYPERLINK("https://finance.naver.com/item/coinfo.nhn?code=018670", "A018670")</f>
        <v>0</v>
      </c>
      <c r="D220">
        <f>HYPERLINK("http://comp.fnguide.com/SVO2/ASP/SVD_Consensus.asp?pGB=1&amp;gicode=A018670&amp;cID=&amp;MenuYn=Y&amp;ReportGB=&amp;NewMenuID=108&amp;stkGb=701", "SK가스")</f>
        <v>0</v>
      </c>
      <c r="E220">
        <v>3</v>
      </c>
      <c r="F220">
        <v>112500</v>
      </c>
      <c r="G220">
        <v>0.6</v>
      </c>
      <c r="H220">
        <v>4.72</v>
      </c>
      <c r="I220">
        <v>300867</v>
      </c>
      <c r="J220">
        <v>265220</v>
      </c>
      <c r="K220">
        <v>253298</v>
      </c>
      <c r="L220">
        <v>-167.44</v>
      </c>
      <c r="M220">
        <v>-135.75</v>
      </c>
      <c r="N220">
        <v>-125.15</v>
      </c>
      <c r="O220">
        <v>12.82</v>
      </c>
      <c r="P220" t="b">
        <v>1</v>
      </c>
      <c r="Q220">
        <v>0</v>
      </c>
      <c r="R220">
        <v>27005</v>
      </c>
      <c r="S220">
        <v>21603</v>
      </c>
      <c r="T220">
        <v>-20</v>
      </c>
      <c r="U220" t="s">
        <v>997</v>
      </c>
      <c r="V220" t="s">
        <v>1368</v>
      </c>
      <c r="W220">
        <v>7.850960401313056</v>
      </c>
      <c r="X220">
        <v>153.6</v>
      </c>
      <c r="Y220" t="s">
        <v>1725</v>
      </c>
      <c r="Z220">
        <v>43.9621854922611</v>
      </c>
      <c r="AA220">
        <v>10384</v>
      </c>
      <c r="AB220">
        <v>4600</v>
      </c>
      <c r="AC220" t="s">
        <v>2081</v>
      </c>
      <c r="AD220">
        <v>72.33</v>
      </c>
      <c r="AE220" t="s">
        <v>2452</v>
      </c>
      <c r="AF220" t="s">
        <v>2822</v>
      </c>
      <c r="AG220">
        <v>64945</v>
      </c>
      <c r="AH220">
        <v>1055</v>
      </c>
      <c r="AI220">
        <v>255198</v>
      </c>
      <c r="AJ220">
        <v>4</v>
      </c>
      <c r="AK220" t="b">
        <v>1</v>
      </c>
    </row>
    <row r="221" spans="1:37">
      <c r="A221" s="1" t="s">
        <v>255</v>
      </c>
      <c r="B221" t="s">
        <v>626</v>
      </c>
      <c r="C221">
        <f>HYPERLINK("https://finance.naver.com/item/coinfo.nhn?code=009160", "A009160")</f>
        <v>0</v>
      </c>
      <c r="D221">
        <f>HYPERLINK("http://comp.fnguide.com/SVO2/ASP/SVD_Consensus.asp?pGB=1&amp;gicode=A009160&amp;cID=&amp;MenuYn=Y&amp;ReportGB=&amp;NewMenuID=108&amp;stkGb=701", "SIMPAC")</f>
        <v>0</v>
      </c>
      <c r="E221">
        <v>3</v>
      </c>
      <c r="F221">
        <v>6480</v>
      </c>
      <c r="G221">
        <v>0.03</v>
      </c>
      <c r="H221">
        <v>4.62</v>
      </c>
      <c r="I221">
        <v>11757</v>
      </c>
      <c r="J221">
        <v>10770</v>
      </c>
      <c r="K221">
        <v>10440</v>
      </c>
      <c r="L221">
        <v>-81.44</v>
      </c>
      <c r="M221">
        <v>-66.20999999999999</v>
      </c>
      <c r="N221">
        <v>-61.11</v>
      </c>
      <c r="O221">
        <v>11.87</v>
      </c>
      <c r="P221" t="b">
        <v>0</v>
      </c>
      <c r="Q221">
        <v>3</v>
      </c>
      <c r="R221">
        <v>1388</v>
      </c>
      <c r="S221">
        <v>1959</v>
      </c>
      <c r="T221">
        <v>41.1</v>
      </c>
      <c r="U221" t="s">
        <v>998</v>
      </c>
      <c r="V221" t="s">
        <v>1369</v>
      </c>
      <c r="W221">
        <v>138.1492860922493</v>
      </c>
      <c r="X221">
        <v>257.5</v>
      </c>
      <c r="Y221" t="s">
        <v>1726</v>
      </c>
      <c r="Z221">
        <v>62.06152375512648</v>
      </c>
      <c r="AA221">
        <v>4240</v>
      </c>
      <c r="AB221">
        <v>205433</v>
      </c>
      <c r="AC221" t="s">
        <v>2082</v>
      </c>
      <c r="AD221">
        <v>60.01</v>
      </c>
      <c r="AE221" t="s">
        <v>2453</v>
      </c>
      <c r="AF221" t="s">
        <v>2823</v>
      </c>
      <c r="AG221">
        <v>6130</v>
      </c>
      <c r="AH221">
        <v>1064</v>
      </c>
      <c r="AI221">
        <v>10533410</v>
      </c>
      <c r="AJ221">
        <v>3.12</v>
      </c>
      <c r="AK221" t="b">
        <v>1</v>
      </c>
    </row>
    <row r="222" spans="1:37">
      <c r="A222" s="1" t="s">
        <v>256</v>
      </c>
      <c r="B222" t="s">
        <v>627</v>
      </c>
      <c r="C222">
        <f>HYPERLINK("https://finance.naver.com/item/coinfo.nhn?code=002630", "A002630")</f>
        <v>0</v>
      </c>
      <c r="D222">
        <f>HYPERLINK("http://comp.fnguide.com/SVO2/ASP/SVD_Consensus.asp?pGB=1&amp;gicode=A002630&amp;cID=&amp;MenuYn=Y&amp;ReportGB=&amp;NewMenuID=108&amp;stkGb=701", "오리엔트바이오")</f>
        <v>0</v>
      </c>
      <c r="E222">
        <v>3</v>
      </c>
      <c r="F222">
        <v>815</v>
      </c>
      <c r="G222">
        <v>0</v>
      </c>
      <c r="H222">
        <v>3.21</v>
      </c>
      <c r="I222">
        <v>1813</v>
      </c>
      <c r="J222">
        <v>1203</v>
      </c>
      <c r="K222">
        <v>999</v>
      </c>
      <c r="L222">
        <v>-122.4</v>
      </c>
      <c r="M222">
        <v>-47.59</v>
      </c>
      <c r="N222">
        <v>-22.57</v>
      </c>
      <c r="O222">
        <v>25.96</v>
      </c>
      <c r="P222" t="b">
        <v>1</v>
      </c>
      <c r="Q222">
        <v>0</v>
      </c>
      <c r="R222">
        <v>288</v>
      </c>
      <c r="U222" t="s">
        <v>999</v>
      </c>
      <c r="V222" t="s">
        <v>1370</v>
      </c>
      <c r="W222">
        <v>0</v>
      </c>
      <c r="Y222" t="s">
        <v>1534</v>
      </c>
      <c r="Z222">
        <v>0</v>
      </c>
      <c r="AA222">
        <v>966</v>
      </c>
      <c r="AB222">
        <v>329127</v>
      </c>
      <c r="AC222" t="s">
        <v>2083</v>
      </c>
      <c r="AD222">
        <v>35.6</v>
      </c>
      <c r="AE222" t="s">
        <v>2454</v>
      </c>
      <c r="AF222" t="s">
        <v>2714</v>
      </c>
      <c r="AG222">
        <v>263</v>
      </c>
      <c r="AH222">
        <v>-38</v>
      </c>
      <c r="AI222">
        <v>14879</v>
      </c>
      <c r="AK222" t="b">
        <v>1</v>
      </c>
    </row>
    <row r="223" spans="1:37">
      <c r="A223" s="1" t="s">
        <v>257</v>
      </c>
      <c r="B223" t="s">
        <v>628</v>
      </c>
      <c r="C223">
        <f>HYPERLINK("https://finance.naver.com/item/coinfo.nhn?code=016360", "A016360")</f>
        <v>0</v>
      </c>
      <c r="D223">
        <f>HYPERLINK("http://comp.fnguide.com/SVO2/ASP/SVD_Consensus.asp?pGB=1&amp;gicode=A016360&amp;cID=&amp;MenuYn=Y&amp;ReportGB=&amp;NewMenuID=108&amp;stkGb=701", "삼성증권")</f>
        <v>0</v>
      </c>
      <c r="E223">
        <v>3</v>
      </c>
      <c r="F223">
        <v>35000</v>
      </c>
      <c r="G223">
        <v>0.26</v>
      </c>
      <c r="H223">
        <v>4.15</v>
      </c>
      <c r="I223">
        <v>88930</v>
      </c>
      <c r="J223">
        <v>77494</v>
      </c>
      <c r="K223">
        <v>73670</v>
      </c>
      <c r="L223">
        <v>-154.09</v>
      </c>
      <c r="M223">
        <v>-121.41</v>
      </c>
      <c r="N223">
        <v>-110.48</v>
      </c>
      <c r="O223">
        <v>13.12</v>
      </c>
      <c r="P223" t="b">
        <v>0</v>
      </c>
      <c r="Q223">
        <v>0</v>
      </c>
      <c r="R223">
        <v>10810</v>
      </c>
      <c r="S223">
        <v>6846</v>
      </c>
      <c r="T223">
        <v>-36.7</v>
      </c>
      <c r="U223" t="s">
        <v>1000</v>
      </c>
      <c r="V223" t="s">
        <v>1371</v>
      </c>
      <c r="W223">
        <v>15.96589286594485</v>
      </c>
      <c r="X223">
        <v>10.1</v>
      </c>
      <c r="Y223" t="s">
        <v>1727</v>
      </c>
      <c r="Z223">
        <v>10.45012531162108</v>
      </c>
      <c r="AA223">
        <v>31255</v>
      </c>
      <c r="AB223">
        <v>339371</v>
      </c>
      <c r="AC223" t="s">
        <v>2084</v>
      </c>
      <c r="AD223">
        <v>29.62</v>
      </c>
      <c r="AE223" t="s">
        <v>2455</v>
      </c>
      <c r="AF223" t="s">
        <v>2824</v>
      </c>
      <c r="AG223">
        <v>22418</v>
      </c>
      <c r="AH223">
        <v>13087</v>
      </c>
      <c r="AJ223">
        <v>8.460000000000001</v>
      </c>
      <c r="AK223" t="b">
        <v>1</v>
      </c>
    </row>
    <row r="224" spans="1:37">
      <c r="A224" s="1" t="s">
        <v>258</v>
      </c>
      <c r="B224" t="s">
        <v>629</v>
      </c>
      <c r="C224">
        <f>HYPERLINK("https://finance.naver.com/item/coinfo.nhn?code=123890", "A123890")</f>
        <v>0</v>
      </c>
      <c r="D224">
        <f>HYPERLINK("http://comp.fnguide.com/SVO2/ASP/SVD_Consensus.asp?pGB=1&amp;gicode=A123890&amp;cID=&amp;MenuYn=Y&amp;ReportGB=&amp;NewMenuID=108&amp;stkGb=701", "한국자산신탁")</f>
        <v>0</v>
      </c>
      <c r="E224">
        <v>3</v>
      </c>
      <c r="F224">
        <v>3460</v>
      </c>
      <c r="G224">
        <v>0.4</v>
      </c>
      <c r="H224">
        <v>4.71</v>
      </c>
      <c r="I224">
        <v>10399</v>
      </c>
      <c r="J224">
        <v>8501</v>
      </c>
      <c r="K224">
        <v>7866</v>
      </c>
      <c r="L224">
        <v>-200.56</v>
      </c>
      <c r="M224">
        <v>-145.69</v>
      </c>
      <c r="N224">
        <v>-127.34</v>
      </c>
      <c r="O224">
        <v>15.06</v>
      </c>
      <c r="P224" t="b">
        <v>1</v>
      </c>
      <c r="Q224">
        <v>1</v>
      </c>
      <c r="R224">
        <v>867</v>
      </c>
      <c r="S224">
        <v>996</v>
      </c>
      <c r="T224">
        <v>14.9</v>
      </c>
      <c r="U224" t="s">
        <v>1001</v>
      </c>
      <c r="V224" t="s">
        <v>1372</v>
      </c>
      <c r="W224">
        <v>11.65745402078784</v>
      </c>
      <c r="Y224" t="s">
        <v>1536</v>
      </c>
      <c r="Z224">
        <v>3.207757180606907</v>
      </c>
      <c r="AA224">
        <v>4290</v>
      </c>
      <c r="AB224">
        <v>97494</v>
      </c>
      <c r="AC224" t="s">
        <v>2085</v>
      </c>
      <c r="AD224">
        <v>53.62</v>
      </c>
      <c r="AE224" t="s">
        <v>2456</v>
      </c>
      <c r="AF224" t="s">
        <v>2825</v>
      </c>
      <c r="AG224">
        <v>2125</v>
      </c>
      <c r="AH224">
        <v>1479</v>
      </c>
      <c r="AI224">
        <v>1610697</v>
      </c>
      <c r="AJ224">
        <v>5.39</v>
      </c>
      <c r="AK224" t="b">
        <v>1</v>
      </c>
    </row>
    <row r="225" spans="1:38">
      <c r="A225" s="1" t="s">
        <v>259</v>
      </c>
      <c r="B225" t="s">
        <v>630</v>
      </c>
      <c r="C225">
        <f>HYPERLINK("https://finance.naver.com/item/coinfo.nhn?code=002020", "A002020")</f>
        <v>0</v>
      </c>
      <c r="D225">
        <f>HYPERLINK("http://comp.fnguide.com/SVO2/ASP/SVD_Consensus.asp?pGB=1&amp;gicode=A002020&amp;cID=&amp;MenuYn=Y&amp;ReportGB=&amp;NewMenuID=108&amp;stkGb=701", "코오롱")</f>
        <v>0</v>
      </c>
      <c r="E225">
        <v>3</v>
      </c>
      <c r="F225">
        <v>25050</v>
      </c>
      <c r="G225">
        <v>0</v>
      </c>
      <c r="H225">
        <v>3.26</v>
      </c>
      <c r="I225">
        <v>112646</v>
      </c>
      <c r="J225">
        <v>89037</v>
      </c>
      <c r="K225">
        <v>81140</v>
      </c>
      <c r="L225">
        <v>-349.69</v>
      </c>
      <c r="M225">
        <v>-255.44</v>
      </c>
      <c r="N225">
        <v>-223.91</v>
      </c>
      <c r="O225">
        <v>16.26</v>
      </c>
      <c r="P225" t="b">
        <v>1</v>
      </c>
      <c r="Q225">
        <v>0</v>
      </c>
      <c r="R225">
        <v>10129</v>
      </c>
      <c r="U225" t="s">
        <v>1002</v>
      </c>
      <c r="V225" t="s">
        <v>1373</v>
      </c>
      <c r="W225">
        <v>0</v>
      </c>
      <c r="X225">
        <v>46.6</v>
      </c>
      <c r="Y225" t="s">
        <v>1728</v>
      </c>
      <c r="Z225">
        <v>0</v>
      </c>
      <c r="AA225">
        <v>3163</v>
      </c>
      <c r="AB225">
        <v>12711</v>
      </c>
      <c r="AC225" t="s">
        <v>2086</v>
      </c>
      <c r="AD225">
        <v>52.14</v>
      </c>
      <c r="AE225" t="s">
        <v>2457</v>
      </c>
      <c r="AF225" t="s">
        <v>2826</v>
      </c>
      <c r="AG225">
        <v>54104</v>
      </c>
      <c r="AH225">
        <v>3322</v>
      </c>
      <c r="AJ225">
        <v>1.66</v>
      </c>
      <c r="AK225" t="b">
        <v>1</v>
      </c>
    </row>
    <row r="226" spans="1:38">
      <c r="A226" s="1" t="s">
        <v>260</v>
      </c>
      <c r="B226" t="s">
        <v>631</v>
      </c>
      <c r="C226">
        <f>HYPERLINK("https://finance.naver.com/item/coinfo.nhn?code=192400", "A192400")</f>
        <v>0</v>
      </c>
      <c r="D226">
        <f>HYPERLINK("http://comp.fnguide.com/SVO2/ASP/SVD_Consensus.asp?pGB=1&amp;gicode=A192400&amp;cID=&amp;MenuYn=Y&amp;ReportGB=&amp;NewMenuID=108&amp;stkGb=701", "쿠쿠홀딩스")</f>
        <v>0</v>
      </c>
      <c r="E226">
        <v>3</v>
      </c>
      <c r="F226">
        <v>17250</v>
      </c>
      <c r="G226">
        <v>0</v>
      </c>
      <c r="H226">
        <v>4.7</v>
      </c>
      <c r="I226">
        <v>44893</v>
      </c>
      <c r="J226">
        <v>35912</v>
      </c>
      <c r="K226">
        <v>32909</v>
      </c>
      <c r="L226">
        <v>-160.25</v>
      </c>
      <c r="M226">
        <v>-108.19</v>
      </c>
      <c r="N226">
        <v>-90.78</v>
      </c>
      <c r="O226">
        <v>15.81</v>
      </c>
      <c r="P226" t="b">
        <v>1</v>
      </c>
      <c r="Q226">
        <v>0</v>
      </c>
      <c r="R226">
        <v>4073</v>
      </c>
      <c r="U226" t="s">
        <v>1003</v>
      </c>
      <c r="V226" t="s">
        <v>1374</v>
      </c>
      <c r="W226">
        <v>0</v>
      </c>
      <c r="X226">
        <v>-5.2</v>
      </c>
      <c r="Y226" t="s">
        <v>1729</v>
      </c>
      <c r="Z226">
        <v>-16.48536739871709</v>
      </c>
      <c r="AA226">
        <v>6134</v>
      </c>
      <c r="AB226">
        <v>30693</v>
      </c>
      <c r="AC226" t="s">
        <v>2087</v>
      </c>
      <c r="AD226">
        <v>64.86</v>
      </c>
      <c r="AE226" t="s">
        <v>2458</v>
      </c>
      <c r="AF226" t="s">
        <v>2827</v>
      </c>
      <c r="AG226">
        <v>6851</v>
      </c>
      <c r="AH226">
        <v>1070</v>
      </c>
      <c r="AI226">
        <v>4483800</v>
      </c>
      <c r="AJ226">
        <v>3.66</v>
      </c>
      <c r="AK226" t="b">
        <v>1</v>
      </c>
    </row>
    <row r="227" spans="1:38">
      <c r="A227" s="1" t="s">
        <v>261</v>
      </c>
      <c r="B227" t="s">
        <v>632</v>
      </c>
      <c r="C227">
        <f>HYPERLINK("https://finance.naver.com/item/coinfo.nhn?code=284740", "A284740")</f>
        <v>0</v>
      </c>
      <c r="D227">
        <f>HYPERLINK("http://comp.fnguide.com/SVO2/ASP/SVD_Consensus.asp?pGB=1&amp;gicode=A284740&amp;cID=&amp;MenuYn=Y&amp;ReportGB=&amp;NewMenuID=108&amp;stkGb=701", "쿠쿠홈시스")</f>
        <v>0</v>
      </c>
      <c r="E227">
        <v>3</v>
      </c>
      <c r="F227">
        <v>31500</v>
      </c>
      <c r="G227">
        <v>0</v>
      </c>
      <c r="H227">
        <v>5.78</v>
      </c>
      <c r="I227">
        <v>60904</v>
      </c>
      <c r="J227">
        <v>43276</v>
      </c>
      <c r="K227">
        <v>37381</v>
      </c>
      <c r="L227">
        <v>-93.34999999999999</v>
      </c>
      <c r="M227">
        <v>-37.39</v>
      </c>
      <c r="N227">
        <v>-18.67</v>
      </c>
      <c r="O227">
        <v>21.26</v>
      </c>
      <c r="P227" t="b">
        <v>1</v>
      </c>
      <c r="Q227">
        <v>0</v>
      </c>
      <c r="R227">
        <v>6780</v>
      </c>
      <c r="U227" t="s">
        <v>1004</v>
      </c>
      <c r="V227" t="s">
        <v>1375</v>
      </c>
      <c r="W227">
        <v>0</v>
      </c>
      <c r="X227">
        <v>-25.7</v>
      </c>
      <c r="Y227" t="s">
        <v>1730</v>
      </c>
      <c r="Z227">
        <v>118.7446140643382</v>
      </c>
      <c r="AA227">
        <v>7068</v>
      </c>
      <c r="AB227">
        <v>15456</v>
      </c>
      <c r="AC227" t="s">
        <v>2088</v>
      </c>
      <c r="AD227">
        <v>70.09</v>
      </c>
      <c r="AE227" t="s">
        <v>2459</v>
      </c>
      <c r="AF227" t="s">
        <v>2828</v>
      </c>
      <c r="AG227">
        <v>8932</v>
      </c>
      <c r="AH227">
        <v>1786</v>
      </c>
      <c r="AI227">
        <v>14950</v>
      </c>
      <c r="AJ227">
        <v>1.66</v>
      </c>
      <c r="AK227" t="b">
        <v>1</v>
      </c>
    </row>
    <row r="228" spans="1:38">
      <c r="A228" s="1" t="s">
        <v>262</v>
      </c>
      <c r="B228" t="s">
        <v>633</v>
      </c>
      <c r="C228">
        <f>HYPERLINK("https://finance.naver.com/item/coinfo.nhn?code=264900", "A264900")</f>
        <v>0</v>
      </c>
      <c r="D228">
        <f>HYPERLINK("http://comp.fnguide.com/SVO2/ASP/SVD_Consensus.asp?pGB=1&amp;gicode=A264900&amp;cID=&amp;MenuYn=Y&amp;ReportGB=&amp;NewMenuID=108&amp;stkGb=701", "크라운제과")</f>
        <v>0</v>
      </c>
      <c r="E228">
        <v>3</v>
      </c>
      <c r="F228">
        <v>8690</v>
      </c>
      <c r="G228">
        <v>0</v>
      </c>
      <c r="H228">
        <v>9.32</v>
      </c>
      <c r="I228">
        <v>13543</v>
      </c>
      <c r="J228">
        <v>13445</v>
      </c>
      <c r="K228">
        <v>13413</v>
      </c>
      <c r="L228">
        <v>-55.84</v>
      </c>
      <c r="M228">
        <v>-54.72</v>
      </c>
      <c r="N228">
        <v>-54.35</v>
      </c>
      <c r="O228">
        <v>10.18</v>
      </c>
      <c r="P228" t="b">
        <v>1</v>
      </c>
      <c r="Q228">
        <v>0</v>
      </c>
      <c r="R228">
        <v>985</v>
      </c>
      <c r="U228" t="s">
        <v>1005</v>
      </c>
      <c r="V228" t="s">
        <v>1376</v>
      </c>
      <c r="W228">
        <v>0</v>
      </c>
      <c r="X228">
        <v>274.4</v>
      </c>
      <c r="Y228" t="s">
        <v>1731</v>
      </c>
      <c r="Z228">
        <v>28.85051004873058</v>
      </c>
      <c r="AA228">
        <v>1088</v>
      </c>
      <c r="AB228">
        <v>11107</v>
      </c>
      <c r="AC228" t="s">
        <v>2089</v>
      </c>
      <c r="AD228">
        <v>61.68</v>
      </c>
      <c r="AE228" t="s">
        <v>2460</v>
      </c>
      <c r="AF228" t="s">
        <v>2829</v>
      </c>
      <c r="AG228">
        <v>3812</v>
      </c>
      <c r="AH228">
        <v>159</v>
      </c>
      <c r="AI228">
        <v>507681</v>
      </c>
      <c r="AJ228">
        <v>2.72</v>
      </c>
      <c r="AK228" t="b">
        <v>1</v>
      </c>
    </row>
    <row r="229" spans="1:38">
      <c r="A229" s="1" t="s">
        <v>263</v>
      </c>
      <c r="B229" t="s">
        <v>634</v>
      </c>
      <c r="C229">
        <f>HYPERLINK("https://finance.naver.com/item/coinfo.nhn?code=039490", "A039490")</f>
        <v>0</v>
      </c>
      <c r="D229">
        <f>HYPERLINK("http://comp.fnguide.com/SVO2/ASP/SVD_Consensus.asp?pGB=1&amp;gicode=A039490&amp;cID=&amp;MenuYn=Y&amp;ReportGB=&amp;NewMenuID=108&amp;stkGb=701", "키움증권")</f>
        <v>0</v>
      </c>
      <c r="E229">
        <v>3</v>
      </c>
      <c r="F229">
        <v>84500</v>
      </c>
      <c r="G229">
        <v>0.23</v>
      </c>
      <c r="H229">
        <v>3.27</v>
      </c>
      <c r="I229">
        <v>422839</v>
      </c>
      <c r="J229">
        <v>285076</v>
      </c>
      <c r="K229">
        <v>239002</v>
      </c>
      <c r="L229">
        <v>-400.4</v>
      </c>
      <c r="M229">
        <v>-237.37</v>
      </c>
      <c r="N229">
        <v>-182.84</v>
      </c>
      <c r="O229">
        <v>24.73</v>
      </c>
      <c r="P229" t="b">
        <v>1</v>
      </c>
      <c r="Q229">
        <v>0</v>
      </c>
      <c r="R229">
        <v>32682</v>
      </c>
      <c r="S229">
        <v>21136</v>
      </c>
      <c r="T229">
        <v>-35.3</v>
      </c>
      <c r="U229" t="s">
        <v>1006</v>
      </c>
      <c r="V229" t="s">
        <v>1377</v>
      </c>
      <c r="W229">
        <v>13.96558718143945</v>
      </c>
      <c r="X229">
        <v>13.1</v>
      </c>
      <c r="Y229" t="s">
        <v>1732</v>
      </c>
      <c r="Z229">
        <v>18.59524799540173</v>
      </c>
      <c r="AA229">
        <v>22155</v>
      </c>
      <c r="AB229">
        <v>71174</v>
      </c>
      <c r="AC229" t="s">
        <v>2090</v>
      </c>
      <c r="AD229">
        <v>41.38</v>
      </c>
      <c r="AE229" t="s">
        <v>2461</v>
      </c>
      <c r="AF229" t="s">
        <v>2830</v>
      </c>
      <c r="AG229">
        <v>18353</v>
      </c>
      <c r="AH229">
        <v>12089</v>
      </c>
      <c r="AI229">
        <v>1400000</v>
      </c>
      <c r="AJ229">
        <v>3.27</v>
      </c>
      <c r="AK229" t="b">
        <v>1</v>
      </c>
    </row>
    <row r="230" spans="1:38">
      <c r="A230" s="1" t="s">
        <v>264</v>
      </c>
      <c r="B230" t="s">
        <v>635</v>
      </c>
      <c r="C230">
        <f>HYPERLINK("https://finance.naver.com/item/coinfo.nhn?code=009410", "A009410")</f>
        <v>0</v>
      </c>
      <c r="D230">
        <f>HYPERLINK("http://comp.fnguide.com/SVO2/ASP/SVD_Consensus.asp?pGB=1&amp;gicode=A009410&amp;cID=&amp;MenuYn=Y&amp;ReportGB=&amp;NewMenuID=108&amp;stkGb=701", "태영건설")</f>
        <v>0</v>
      </c>
      <c r="E230">
        <v>3</v>
      </c>
      <c r="F230">
        <v>6850</v>
      </c>
      <c r="G230">
        <v>0</v>
      </c>
      <c r="H230">
        <v>5.62</v>
      </c>
      <c r="I230">
        <v>50365</v>
      </c>
      <c r="J230">
        <v>32790</v>
      </c>
      <c r="K230">
        <v>26913</v>
      </c>
      <c r="L230">
        <v>-635.25</v>
      </c>
      <c r="M230">
        <v>-378.69</v>
      </c>
      <c r="N230">
        <v>-292.89</v>
      </c>
      <c r="O230">
        <v>27.59</v>
      </c>
      <c r="P230" t="b">
        <v>1</v>
      </c>
      <c r="Q230">
        <v>0</v>
      </c>
      <c r="R230">
        <v>1869</v>
      </c>
      <c r="U230" t="s">
        <v>1007</v>
      </c>
      <c r="V230" t="s">
        <v>1378</v>
      </c>
      <c r="W230">
        <v>0</v>
      </c>
      <c r="X230">
        <v>-5.1</v>
      </c>
      <c r="Y230" t="s">
        <v>1733</v>
      </c>
      <c r="Z230">
        <v>9.209175052664808</v>
      </c>
      <c r="AA230">
        <v>2665</v>
      </c>
      <c r="AB230">
        <v>40144</v>
      </c>
      <c r="AC230" t="s">
        <v>2091</v>
      </c>
      <c r="AD230">
        <v>49.17</v>
      </c>
      <c r="AE230" t="s">
        <v>2462</v>
      </c>
      <c r="AF230" t="s">
        <v>2831</v>
      </c>
      <c r="AG230">
        <v>27517</v>
      </c>
      <c r="AH230">
        <v>1745</v>
      </c>
      <c r="AI230">
        <v>7780</v>
      </c>
      <c r="AJ230">
        <v>3.33</v>
      </c>
      <c r="AL230" t="b">
        <v>0</v>
      </c>
    </row>
    <row r="231" spans="1:38">
      <c r="A231" s="1" t="s">
        <v>265</v>
      </c>
      <c r="B231" t="s">
        <v>636</v>
      </c>
      <c r="C231">
        <f>HYPERLINK("https://finance.naver.com/item/coinfo.nhn?code=019180", "A019180")</f>
        <v>0</v>
      </c>
      <c r="D231">
        <f>HYPERLINK("http://comp.fnguide.com/SVO2/ASP/SVD_Consensus.asp?pGB=1&amp;gicode=A019180&amp;cID=&amp;MenuYn=Y&amp;ReportGB=&amp;NewMenuID=108&amp;stkGb=701", "티에이치엔")</f>
        <v>0</v>
      </c>
      <c r="E231">
        <v>3</v>
      </c>
      <c r="F231">
        <v>3145</v>
      </c>
      <c r="G231">
        <v>0</v>
      </c>
      <c r="H231">
        <v>4.58</v>
      </c>
      <c r="I231">
        <v>8033</v>
      </c>
      <c r="J231">
        <v>6274</v>
      </c>
      <c r="K231">
        <v>5685</v>
      </c>
      <c r="L231">
        <v>-155.44</v>
      </c>
      <c r="M231">
        <v>-99.48999999999999</v>
      </c>
      <c r="N231">
        <v>-80.78</v>
      </c>
      <c r="O231">
        <v>16.72</v>
      </c>
      <c r="P231" t="b">
        <v>1</v>
      </c>
      <c r="Q231">
        <v>0</v>
      </c>
      <c r="R231">
        <v>955</v>
      </c>
      <c r="U231" t="s">
        <v>1008</v>
      </c>
      <c r="V231" t="s">
        <v>1379</v>
      </c>
      <c r="W231">
        <v>0</v>
      </c>
      <c r="Y231" t="s">
        <v>1734</v>
      </c>
      <c r="Z231">
        <v>0</v>
      </c>
      <c r="AA231">
        <v>566</v>
      </c>
      <c r="AB231">
        <v>71407</v>
      </c>
      <c r="AC231" t="s">
        <v>2092</v>
      </c>
      <c r="AD231">
        <v>42.82</v>
      </c>
      <c r="AE231" t="s">
        <v>2463</v>
      </c>
      <c r="AF231" t="s">
        <v>2832</v>
      </c>
      <c r="AG231">
        <v>4027</v>
      </c>
      <c r="AH231">
        <v>198</v>
      </c>
      <c r="AJ231">
        <v>1.14</v>
      </c>
      <c r="AK231" t="b">
        <v>1</v>
      </c>
    </row>
    <row r="232" spans="1:38">
      <c r="A232" s="1" t="s">
        <v>266</v>
      </c>
      <c r="B232" t="s">
        <v>637</v>
      </c>
      <c r="C232">
        <f>HYPERLINK("https://finance.naver.com/item/coinfo.nhn?code=004720", "A004720")</f>
        <v>0</v>
      </c>
      <c r="D232">
        <f>HYPERLINK("http://comp.fnguide.com/SVO2/ASP/SVD_Consensus.asp?pGB=1&amp;gicode=A004720&amp;cID=&amp;MenuYn=Y&amp;ReportGB=&amp;NewMenuID=108&amp;stkGb=701", "팜젠사이언스")</f>
        <v>0</v>
      </c>
      <c r="E232">
        <v>3</v>
      </c>
      <c r="F232">
        <v>7590</v>
      </c>
      <c r="G232">
        <v>0</v>
      </c>
      <c r="H232">
        <v>4.77</v>
      </c>
      <c r="I232">
        <v>16294</v>
      </c>
      <c r="J232">
        <v>11863</v>
      </c>
      <c r="K232">
        <v>10381</v>
      </c>
      <c r="L232">
        <v>-114.68</v>
      </c>
      <c r="M232">
        <v>-56.3</v>
      </c>
      <c r="N232">
        <v>-36.78</v>
      </c>
      <c r="O232">
        <v>19.92</v>
      </c>
      <c r="P232" t="b">
        <v>1</v>
      </c>
      <c r="Q232">
        <v>0</v>
      </c>
      <c r="R232">
        <v>2200</v>
      </c>
      <c r="U232" t="s">
        <v>1009</v>
      </c>
      <c r="V232" t="s">
        <v>1380</v>
      </c>
      <c r="W232">
        <v>0</v>
      </c>
      <c r="X232">
        <v>147.2</v>
      </c>
      <c r="Y232" t="s">
        <v>1735</v>
      </c>
      <c r="Z232">
        <v>69.79405572146948</v>
      </c>
      <c r="AA232">
        <v>1175</v>
      </c>
      <c r="AB232">
        <v>83583</v>
      </c>
      <c r="AC232" t="s">
        <v>2093</v>
      </c>
      <c r="AD232">
        <v>7.86</v>
      </c>
      <c r="AE232" t="s">
        <v>2464</v>
      </c>
      <c r="AF232" t="s">
        <v>2833</v>
      </c>
      <c r="AG232">
        <v>1099</v>
      </c>
      <c r="AH232">
        <v>-50</v>
      </c>
      <c r="AI232">
        <v>41910</v>
      </c>
      <c r="AK232" t="b">
        <v>1</v>
      </c>
    </row>
    <row r="233" spans="1:38">
      <c r="A233" s="1" t="s">
        <v>267</v>
      </c>
      <c r="B233" t="s">
        <v>638</v>
      </c>
      <c r="C233">
        <f>HYPERLINK("https://finance.naver.com/item/coinfo.nhn?code=028670", "A028670")</f>
        <v>0</v>
      </c>
      <c r="D233">
        <f>HYPERLINK("http://comp.fnguide.com/SVO2/ASP/SVD_Consensus.asp?pGB=1&amp;gicode=A028670&amp;cID=&amp;MenuYn=Y&amp;ReportGB=&amp;NewMenuID=108&amp;stkGb=701", "팬오션")</f>
        <v>0</v>
      </c>
      <c r="E233">
        <v>3</v>
      </c>
      <c r="F233">
        <v>5650</v>
      </c>
      <c r="G233">
        <v>0.09</v>
      </c>
      <c r="H233">
        <v>5.26</v>
      </c>
      <c r="I233">
        <v>7082</v>
      </c>
      <c r="J233">
        <v>6888</v>
      </c>
      <c r="K233">
        <v>6823</v>
      </c>
      <c r="L233">
        <v>-25.35</v>
      </c>
      <c r="M233">
        <v>-21.91</v>
      </c>
      <c r="N233">
        <v>-20.76</v>
      </c>
      <c r="O233">
        <v>10.58</v>
      </c>
      <c r="P233" t="b">
        <v>1</v>
      </c>
      <c r="Q233">
        <v>2</v>
      </c>
      <c r="R233">
        <v>1028</v>
      </c>
      <c r="S233">
        <v>1187</v>
      </c>
      <c r="T233">
        <v>15.5</v>
      </c>
      <c r="U233" t="s">
        <v>1010</v>
      </c>
      <c r="V233" t="s">
        <v>1381</v>
      </c>
      <c r="W233">
        <v>61.08087304288872</v>
      </c>
      <c r="X233">
        <v>198.2</v>
      </c>
      <c r="Y233" t="s">
        <v>1736</v>
      </c>
      <c r="Z233">
        <v>62.80216851763654</v>
      </c>
      <c r="AA233">
        <v>30203</v>
      </c>
      <c r="AB233">
        <v>1834137</v>
      </c>
      <c r="AC233" t="s">
        <v>2094</v>
      </c>
      <c r="AD233">
        <v>54.77</v>
      </c>
      <c r="AE233" t="s">
        <v>2465</v>
      </c>
      <c r="AF233" t="s">
        <v>2834</v>
      </c>
      <c r="AG233">
        <v>46161</v>
      </c>
      <c r="AH233">
        <v>5729</v>
      </c>
      <c r="AJ233">
        <v>1.85</v>
      </c>
      <c r="AK233" t="b">
        <v>1</v>
      </c>
    </row>
    <row r="234" spans="1:38">
      <c r="A234" s="1" t="s">
        <v>268</v>
      </c>
      <c r="B234" t="s">
        <v>639</v>
      </c>
      <c r="C234">
        <f>HYPERLINK("https://finance.naver.com/item/coinfo.nhn?code=058430", "A058430")</f>
        <v>0</v>
      </c>
      <c r="D234">
        <f>HYPERLINK("http://comp.fnguide.com/SVO2/ASP/SVD_Consensus.asp?pGB=1&amp;gicode=A058430&amp;cID=&amp;MenuYn=Y&amp;ReportGB=&amp;NewMenuID=108&amp;stkGb=701", "포스코스틸리온")</f>
        <v>0</v>
      </c>
      <c r="E234">
        <v>3</v>
      </c>
      <c r="F234">
        <v>37100</v>
      </c>
      <c r="G234">
        <v>0</v>
      </c>
      <c r="H234">
        <v>3.22</v>
      </c>
      <c r="I234">
        <v>106460</v>
      </c>
      <c r="J234">
        <v>77455</v>
      </c>
      <c r="K234">
        <v>67755</v>
      </c>
      <c r="L234">
        <v>-186.95</v>
      </c>
      <c r="M234">
        <v>-108.77</v>
      </c>
      <c r="N234">
        <v>-82.63</v>
      </c>
      <c r="O234">
        <v>19.95</v>
      </c>
      <c r="P234" t="b">
        <v>1</v>
      </c>
      <c r="Q234">
        <v>0</v>
      </c>
      <c r="R234">
        <v>17070</v>
      </c>
      <c r="U234" t="s">
        <v>1011</v>
      </c>
      <c r="V234" t="s">
        <v>1382</v>
      </c>
      <c r="W234">
        <v>0</v>
      </c>
      <c r="X234">
        <v>92</v>
      </c>
      <c r="Y234" t="s">
        <v>1737</v>
      </c>
      <c r="Z234">
        <v>61.33913995321096</v>
      </c>
      <c r="AA234">
        <v>2226</v>
      </c>
      <c r="AB234">
        <v>80872</v>
      </c>
      <c r="AC234" t="s">
        <v>2095</v>
      </c>
      <c r="AD234">
        <v>56.87</v>
      </c>
      <c r="AE234" t="s">
        <v>2466</v>
      </c>
      <c r="AF234" t="s">
        <v>2835</v>
      </c>
      <c r="AG234">
        <v>13473</v>
      </c>
      <c r="AH234">
        <v>1433</v>
      </c>
      <c r="AJ234">
        <v>1.82</v>
      </c>
      <c r="AK234" t="b">
        <v>1</v>
      </c>
    </row>
    <row r="235" spans="1:38">
      <c r="A235" s="1" t="s">
        <v>269</v>
      </c>
      <c r="B235" t="s">
        <v>640</v>
      </c>
      <c r="C235">
        <f>HYPERLINK("https://finance.naver.com/item/coinfo.nhn?code=005810", "A005810")</f>
        <v>0</v>
      </c>
      <c r="D235">
        <f>HYPERLINK("http://comp.fnguide.com/SVO2/ASP/SVD_Consensus.asp?pGB=1&amp;gicode=A005810&amp;cID=&amp;MenuYn=Y&amp;ReportGB=&amp;NewMenuID=108&amp;stkGb=701", "풍산홀딩스")</f>
        <v>0</v>
      </c>
      <c r="E235">
        <v>3</v>
      </c>
      <c r="F235">
        <v>27450</v>
      </c>
      <c r="G235">
        <v>0.03</v>
      </c>
      <c r="H235">
        <v>1.71</v>
      </c>
      <c r="I235">
        <v>110067</v>
      </c>
      <c r="J235">
        <v>100376</v>
      </c>
      <c r="K235">
        <v>97135</v>
      </c>
      <c r="L235">
        <v>-300.97</v>
      </c>
      <c r="M235">
        <v>-265.67</v>
      </c>
      <c r="N235">
        <v>-253.86</v>
      </c>
      <c r="O235">
        <v>11.97</v>
      </c>
      <c r="P235" t="b">
        <v>1</v>
      </c>
      <c r="Q235">
        <v>0</v>
      </c>
      <c r="R235">
        <v>16510</v>
      </c>
      <c r="S235">
        <v>7983</v>
      </c>
      <c r="T235">
        <v>-51.6</v>
      </c>
      <c r="U235" t="s">
        <v>1012</v>
      </c>
      <c r="V235" t="s">
        <v>1383</v>
      </c>
      <c r="W235">
        <v>55.95449099871066</v>
      </c>
      <c r="X235">
        <v>114.5</v>
      </c>
      <c r="Y235" t="s">
        <v>1738</v>
      </c>
      <c r="Z235">
        <v>43.14867524017394</v>
      </c>
      <c r="AA235">
        <v>2857</v>
      </c>
      <c r="AB235">
        <v>14596</v>
      </c>
      <c r="AC235" t="s">
        <v>2096</v>
      </c>
      <c r="AD235">
        <v>44.98</v>
      </c>
      <c r="AE235" t="s">
        <v>2467</v>
      </c>
      <c r="AF235" t="s">
        <v>2836</v>
      </c>
      <c r="AG235">
        <v>4878</v>
      </c>
      <c r="AH235">
        <v>968</v>
      </c>
      <c r="AI235">
        <v>822000</v>
      </c>
      <c r="AJ235">
        <v>4.95</v>
      </c>
      <c r="AK235" t="b">
        <v>1</v>
      </c>
    </row>
    <row r="236" spans="1:38">
      <c r="A236" s="1" t="s">
        <v>270</v>
      </c>
      <c r="B236" t="s">
        <v>641</v>
      </c>
      <c r="C236">
        <f>HYPERLINK("https://finance.naver.com/item/coinfo.nhn?code=071050", "A071050")</f>
        <v>0</v>
      </c>
      <c r="D236">
        <f>HYPERLINK("http://comp.fnguide.com/SVO2/ASP/SVD_Consensus.asp?pGB=1&amp;gicode=A071050&amp;cID=&amp;MenuYn=Y&amp;ReportGB=&amp;NewMenuID=108&amp;stkGb=701", "한국금융지주")</f>
        <v>0</v>
      </c>
      <c r="E236">
        <v>3</v>
      </c>
      <c r="F236">
        <v>63100</v>
      </c>
      <c r="G236">
        <v>0.37</v>
      </c>
      <c r="H236">
        <v>2.82</v>
      </c>
      <c r="I236">
        <v>307175</v>
      </c>
      <c r="J236">
        <v>215571</v>
      </c>
      <c r="K236">
        <v>184934</v>
      </c>
      <c r="L236">
        <v>-386.81</v>
      </c>
      <c r="M236">
        <v>-241.63</v>
      </c>
      <c r="N236">
        <v>-193.08</v>
      </c>
      <c r="O236">
        <v>22.01</v>
      </c>
      <c r="P236" t="b">
        <v>1</v>
      </c>
      <c r="Q236">
        <v>0</v>
      </c>
      <c r="R236">
        <v>28650</v>
      </c>
      <c r="S236">
        <v>17142</v>
      </c>
      <c r="T236">
        <v>-40.2</v>
      </c>
      <c r="U236" t="s">
        <v>1013</v>
      </c>
      <c r="V236" t="s">
        <v>1384</v>
      </c>
      <c r="W236">
        <v>7.681264991170322</v>
      </c>
      <c r="X236">
        <v>0</v>
      </c>
      <c r="Y236" t="s">
        <v>1739</v>
      </c>
      <c r="Z236">
        <v>-0.6750597500537414</v>
      </c>
      <c r="AA236">
        <v>35163</v>
      </c>
      <c r="AB236">
        <v>272143</v>
      </c>
      <c r="AC236" t="s">
        <v>2097</v>
      </c>
      <c r="AD236">
        <v>20.7</v>
      </c>
      <c r="AE236" t="s">
        <v>2468</v>
      </c>
      <c r="AF236" t="s">
        <v>2837</v>
      </c>
      <c r="AG236">
        <v>16725</v>
      </c>
      <c r="AH236">
        <v>15210</v>
      </c>
      <c r="AI236">
        <v>2987479</v>
      </c>
      <c r="AJ236">
        <v>7.62</v>
      </c>
      <c r="AK236" t="b">
        <v>1</v>
      </c>
    </row>
    <row r="237" spans="1:38">
      <c r="A237" s="1" t="s">
        <v>271</v>
      </c>
      <c r="B237" t="s">
        <v>642</v>
      </c>
      <c r="C237">
        <f>HYPERLINK("https://finance.naver.com/item/coinfo.nhn?code=006200", "A006200")</f>
        <v>0</v>
      </c>
      <c r="D237">
        <f>HYPERLINK("http://comp.fnguide.com/SVO2/ASP/SVD_Consensus.asp?pGB=1&amp;gicode=A006200&amp;cID=&amp;MenuYn=Y&amp;ReportGB=&amp;NewMenuID=108&amp;stkGb=701", "한국전자홀딩스")</f>
        <v>0</v>
      </c>
      <c r="E237">
        <v>3</v>
      </c>
      <c r="F237">
        <v>1455</v>
      </c>
      <c r="G237">
        <v>0</v>
      </c>
      <c r="H237">
        <v>4.39</v>
      </c>
      <c r="I237">
        <v>2935</v>
      </c>
      <c r="J237">
        <v>2916</v>
      </c>
      <c r="K237">
        <v>2910</v>
      </c>
      <c r="L237">
        <v>-101.72</v>
      </c>
      <c r="M237">
        <v>-100.41</v>
      </c>
      <c r="N237">
        <v>-99.98</v>
      </c>
      <c r="O237">
        <v>10.17</v>
      </c>
      <c r="P237" t="b">
        <v>1</v>
      </c>
      <c r="Q237">
        <v>0</v>
      </c>
      <c r="R237">
        <v>497</v>
      </c>
      <c r="U237" t="s">
        <v>1014</v>
      </c>
      <c r="V237" t="s">
        <v>1385</v>
      </c>
      <c r="W237">
        <v>0</v>
      </c>
      <c r="X237">
        <v>72.8</v>
      </c>
      <c r="Y237" t="s">
        <v>1740</v>
      </c>
      <c r="Z237">
        <v>0</v>
      </c>
      <c r="AA237">
        <v>681</v>
      </c>
      <c r="AB237">
        <v>297423</v>
      </c>
      <c r="AC237" t="s">
        <v>2098</v>
      </c>
      <c r="AD237">
        <v>39.18</v>
      </c>
      <c r="AE237" t="s">
        <v>2469</v>
      </c>
      <c r="AF237" t="s">
        <v>2838</v>
      </c>
      <c r="AG237">
        <v>3312</v>
      </c>
      <c r="AH237">
        <v>385</v>
      </c>
      <c r="AI237">
        <v>2947249</v>
      </c>
      <c r="AK237" t="b">
        <v>1</v>
      </c>
    </row>
    <row r="238" spans="1:38">
      <c r="A238" s="1" t="s">
        <v>272</v>
      </c>
      <c r="B238" t="s">
        <v>643</v>
      </c>
      <c r="C238">
        <f>HYPERLINK("https://finance.naver.com/item/coinfo.nhn?code=000970", "A000970")</f>
        <v>0</v>
      </c>
      <c r="D238">
        <f>HYPERLINK("http://comp.fnguide.com/SVO2/ASP/SVD_Consensus.asp?pGB=1&amp;gicode=A000970&amp;cID=&amp;MenuYn=Y&amp;ReportGB=&amp;NewMenuID=108&amp;stkGb=701", "한국주철관")</f>
        <v>0</v>
      </c>
      <c r="E238">
        <v>3</v>
      </c>
      <c r="F238">
        <v>8070</v>
      </c>
      <c r="G238">
        <v>0</v>
      </c>
      <c r="H238">
        <v>3.16</v>
      </c>
      <c r="I238">
        <v>20094</v>
      </c>
      <c r="J238">
        <v>17713</v>
      </c>
      <c r="K238">
        <v>16916</v>
      </c>
      <c r="L238">
        <v>-149</v>
      </c>
      <c r="M238">
        <v>-119.49</v>
      </c>
      <c r="N238">
        <v>-109.61</v>
      </c>
      <c r="O238">
        <v>12.82</v>
      </c>
      <c r="P238" t="b">
        <v>1</v>
      </c>
      <c r="Q238">
        <v>0</v>
      </c>
      <c r="R238">
        <v>2883</v>
      </c>
      <c r="U238" t="s">
        <v>1015</v>
      </c>
      <c r="V238" t="s">
        <v>1386</v>
      </c>
      <c r="W238">
        <v>0</v>
      </c>
      <c r="X238">
        <v>-65.7</v>
      </c>
      <c r="Y238" t="s">
        <v>1741</v>
      </c>
      <c r="Z238">
        <v>13.69599483480395</v>
      </c>
      <c r="AA238">
        <v>1840</v>
      </c>
      <c r="AB238">
        <v>32608</v>
      </c>
      <c r="AC238" t="s">
        <v>2099</v>
      </c>
      <c r="AD238">
        <v>47.93</v>
      </c>
      <c r="AE238" t="s">
        <v>2470</v>
      </c>
      <c r="AF238" t="s">
        <v>2839</v>
      </c>
      <c r="AG238">
        <v>5102</v>
      </c>
      <c r="AH238">
        <v>486</v>
      </c>
      <c r="AI238">
        <v>1289530</v>
      </c>
      <c r="AJ238">
        <v>4.4</v>
      </c>
      <c r="AK238" t="b">
        <v>1</v>
      </c>
    </row>
    <row r="239" spans="1:38">
      <c r="A239" s="1" t="s">
        <v>273</v>
      </c>
      <c r="B239" t="s">
        <v>644</v>
      </c>
      <c r="C239">
        <f>HYPERLINK("https://finance.naver.com/item/coinfo.nhn?code=024720", "A024720")</f>
        <v>0</v>
      </c>
      <c r="D239">
        <f>HYPERLINK("http://comp.fnguide.com/SVO2/ASP/SVD_Consensus.asp?pGB=1&amp;gicode=A024720&amp;cID=&amp;MenuYn=Y&amp;ReportGB=&amp;NewMenuID=108&amp;stkGb=701", "한국콜마홀딩스")</f>
        <v>0</v>
      </c>
      <c r="E239">
        <v>3</v>
      </c>
      <c r="F239">
        <v>17850</v>
      </c>
      <c r="G239">
        <v>0</v>
      </c>
      <c r="H239">
        <v>17.74</v>
      </c>
      <c r="I239">
        <v>36352</v>
      </c>
      <c r="J239">
        <v>34904</v>
      </c>
      <c r="K239">
        <v>34420</v>
      </c>
      <c r="L239">
        <v>-103.66</v>
      </c>
      <c r="M239">
        <v>-95.54000000000001</v>
      </c>
      <c r="N239">
        <v>-92.83</v>
      </c>
      <c r="O239">
        <v>10.84</v>
      </c>
      <c r="P239" t="b">
        <v>0</v>
      </c>
      <c r="Q239">
        <v>0</v>
      </c>
      <c r="R239">
        <v>1108</v>
      </c>
      <c r="U239" t="s">
        <v>1016</v>
      </c>
      <c r="V239" t="s">
        <v>1387</v>
      </c>
      <c r="W239">
        <v>0</v>
      </c>
      <c r="X239">
        <v>86.59999999999999</v>
      </c>
      <c r="Y239" t="s">
        <v>1742</v>
      </c>
      <c r="Z239">
        <v>4.352056469792198</v>
      </c>
      <c r="AA239">
        <v>3316</v>
      </c>
      <c r="AB239">
        <v>4675</v>
      </c>
      <c r="AC239" t="s">
        <v>2100</v>
      </c>
      <c r="AD239">
        <v>44.37</v>
      </c>
      <c r="AE239" t="s">
        <v>2471</v>
      </c>
      <c r="AF239" t="s">
        <v>2840</v>
      </c>
      <c r="AG239">
        <v>6740</v>
      </c>
      <c r="AH239">
        <v>824</v>
      </c>
      <c r="AI239">
        <v>97500</v>
      </c>
      <c r="AJ239">
        <v>1.25</v>
      </c>
      <c r="AK239" t="b">
        <v>1</v>
      </c>
    </row>
    <row r="240" spans="1:38">
      <c r="A240" s="1" t="s">
        <v>274</v>
      </c>
      <c r="B240" t="s">
        <v>645</v>
      </c>
      <c r="C240">
        <f>HYPERLINK("https://finance.naver.com/item/coinfo.nhn?code=034830", "A034830")</f>
        <v>0</v>
      </c>
      <c r="D240">
        <f>HYPERLINK("http://comp.fnguide.com/SVO2/ASP/SVD_Consensus.asp?pGB=1&amp;gicode=A034830&amp;cID=&amp;MenuYn=Y&amp;ReportGB=&amp;NewMenuID=108&amp;stkGb=701", "한국토지신탁")</f>
        <v>0</v>
      </c>
      <c r="E240">
        <v>3</v>
      </c>
      <c r="F240">
        <v>1675</v>
      </c>
      <c r="G240">
        <v>-2.13</v>
      </c>
      <c r="H240">
        <v>4.72</v>
      </c>
      <c r="I240">
        <v>5545</v>
      </c>
      <c r="J240">
        <v>4958</v>
      </c>
      <c r="K240">
        <v>4762</v>
      </c>
      <c r="L240">
        <v>-231.04</v>
      </c>
      <c r="M240">
        <v>-196</v>
      </c>
      <c r="N240">
        <v>-184.28</v>
      </c>
      <c r="O240">
        <v>12.45</v>
      </c>
      <c r="P240" t="b">
        <v>1</v>
      </c>
      <c r="Q240">
        <v>0</v>
      </c>
      <c r="R240">
        <v>552</v>
      </c>
      <c r="S240">
        <v>400</v>
      </c>
      <c r="T240">
        <v>-27.5</v>
      </c>
      <c r="U240" t="s">
        <v>1017</v>
      </c>
      <c r="V240" t="s">
        <v>1388</v>
      </c>
      <c r="W240">
        <v>-2.21286048778403</v>
      </c>
      <c r="Y240" t="s">
        <v>1536</v>
      </c>
      <c r="Z240">
        <v>4.352056469792198</v>
      </c>
      <c r="AA240">
        <v>4229</v>
      </c>
      <c r="AB240">
        <v>635028</v>
      </c>
      <c r="AC240" t="s">
        <v>2101</v>
      </c>
      <c r="AD240">
        <v>35.46</v>
      </c>
      <c r="AE240" t="s">
        <v>2472</v>
      </c>
      <c r="AF240" t="s">
        <v>2841</v>
      </c>
      <c r="AG240">
        <v>2255</v>
      </c>
      <c r="AH240">
        <v>895</v>
      </c>
      <c r="AI240">
        <v>24446793</v>
      </c>
      <c r="AJ240">
        <v>3.84</v>
      </c>
      <c r="AK240" t="b">
        <v>1</v>
      </c>
    </row>
    <row r="241" spans="1:38">
      <c r="A241" s="1" t="s">
        <v>275</v>
      </c>
      <c r="B241" t="s">
        <v>646</v>
      </c>
      <c r="C241">
        <f>HYPERLINK("https://finance.naver.com/item/coinfo.nhn?code=007280", "A007280")</f>
        <v>0</v>
      </c>
      <c r="D241">
        <f>HYPERLINK("http://comp.fnguide.com/SVO2/ASP/SVD_Consensus.asp?pGB=1&amp;gicode=A007280&amp;cID=&amp;MenuYn=Y&amp;ReportGB=&amp;NewMenuID=108&amp;stkGb=701", "한국특강")</f>
        <v>0</v>
      </c>
      <c r="E241">
        <v>3</v>
      </c>
      <c r="F241">
        <v>2455</v>
      </c>
      <c r="G241">
        <v>0</v>
      </c>
      <c r="H241">
        <v>4.94</v>
      </c>
      <c r="I241">
        <v>3866</v>
      </c>
      <c r="J241">
        <v>3036</v>
      </c>
      <c r="K241">
        <v>2758</v>
      </c>
      <c r="L241">
        <v>-57.48</v>
      </c>
      <c r="M241">
        <v>-23.66</v>
      </c>
      <c r="N241">
        <v>-12.34</v>
      </c>
      <c r="O241">
        <v>16.51</v>
      </c>
      <c r="P241" t="b">
        <v>0</v>
      </c>
      <c r="Q241">
        <v>0</v>
      </c>
      <c r="R241">
        <v>691</v>
      </c>
      <c r="U241" t="s">
        <v>1018</v>
      </c>
      <c r="V241" t="s">
        <v>1389</v>
      </c>
      <c r="W241">
        <v>0</v>
      </c>
      <c r="Y241" t="s">
        <v>1743</v>
      </c>
      <c r="Z241">
        <v>0</v>
      </c>
      <c r="AA241">
        <v>1481</v>
      </c>
      <c r="AB241">
        <v>38380</v>
      </c>
      <c r="AC241" t="s">
        <v>2102</v>
      </c>
      <c r="AD241">
        <v>48.2</v>
      </c>
      <c r="AE241" t="s">
        <v>2473</v>
      </c>
      <c r="AF241" t="s">
        <v>2842</v>
      </c>
      <c r="AG241">
        <v>6915</v>
      </c>
      <c r="AH241">
        <v>400</v>
      </c>
      <c r="AK241" t="b">
        <v>1</v>
      </c>
    </row>
    <row r="242" spans="1:38">
      <c r="A242" s="1" t="s">
        <v>276</v>
      </c>
      <c r="B242" t="s">
        <v>647</v>
      </c>
      <c r="C242">
        <f>HYPERLINK("https://finance.naver.com/item/coinfo.nhn?code=014790", "A014790")</f>
        <v>0</v>
      </c>
      <c r="D242">
        <f>HYPERLINK("http://comp.fnguide.com/SVO2/ASP/SVD_Consensus.asp?pGB=1&amp;gicode=A014790&amp;cID=&amp;MenuYn=Y&amp;ReportGB=&amp;NewMenuID=108&amp;stkGb=701", "한라")</f>
        <v>0</v>
      </c>
      <c r="E242">
        <v>3</v>
      </c>
      <c r="F242">
        <v>4145</v>
      </c>
      <c r="G242">
        <v>0.01</v>
      </c>
      <c r="H242">
        <v>2.67</v>
      </c>
      <c r="I242">
        <v>26679</v>
      </c>
      <c r="J242">
        <v>18074</v>
      </c>
      <c r="K242">
        <v>15196</v>
      </c>
      <c r="L242">
        <v>-543.64</v>
      </c>
      <c r="M242">
        <v>-336.04</v>
      </c>
      <c r="N242">
        <v>-266.61</v>
      </c>
      <c r="O242">
        <v>24.37</v>
      </c>
      <c r="P242" t="b">
        <v>1</v>
      </c>
      <c r="Q242">
        <v>0</v>
      </c>
      <c r="R242">
        <v>2022</v>
      </c>
      <c r="S242">
        <v>1271</v>
      </c>
      <c r="T242">
        <v>-37.1</v>
      </c>
      <c r="U242" t="s">
        <v>1019</v>
      </c>
      <c r="V242" t="s">
        <v>1390</v>
      </c>
      <c r="W242">
        <v>192.129695770894</v>
      </c>
      <c r="X242">
        <v>63.3</v>
      </c>
      <c r="Y242" t="s">
        <v>1744</v>
      </c>
      <c r="Z242">
        <v>0</v>
      </c>
      <c r="AA242">
        <v>1569</v>
      </c>
      <c r="AB242">
        <v>463212</v>
      </c>
      <c r="AC242" t="s">
        <v>2103</v>
      </c>
      <c r="AD242">
        <v>46.46</v>
      </c>
      <c r="AE242" t="s">
        <v>2474</v>
      </c>
      <c r="AF242" t="s">
        <v>2843</v>
      </c>
      <c r="AG242">
        <v>14753</v>
      </c>
      <c r="AH242">
        <v>786</v>
      </c>
      <c r="AJ242">
        <v>1.85</v>
      </c>
      <c r="AK242" t="b">
        <v>1</v>
      </c>
    </row>
    <row r="243" spans="1:38">
      <c r="A243" s="1" t="s">
        <v>277</v>
      </c>
      <c r="B243" t="s">
        <v>648</v>
      </c>
      <c r="C243">
        <f>HYPERLINK("https://finance.naver.com/item/coinfo.nhn?code=053690", "A053690")</f>
        <v>0</v>
      </c>
      <c r="D243">
        <f>HYPERLINK("http://comp.fnguide.com/SVO2/ASP/SVD_Consensus.asp?pGB=1&amp;gicode=A053690&amp;cID=&amp;MenuYn=Y&amp;ReportGB=&amp;NewMenuID=108&amp;stkGb=701", "한미글로벌")</f>
        <v>0</v>
      </c>
      <c r="E243">
        <v>3</v>
      </c>
      <c r="F243">
        <v>11800</v>
      </c>
      <c r="G243">
        <v>-1.06</v>
      </c>
      <c r="H243">
        <v>9.17</v>
      </c>
      <c r="I243">
        <v>16469</v>
      </c>
      <c r="J243">
        <v>15119</v>
      </c>
      <c r="K243">
        <v>14668</v>
      </c>
      <c r="L243">
        <v>-39.56</v>
      </c>
      <c r="M243">
        <v>-28.13</v>
      </c>
      <c r="N243">
        <v>-24.31</v>
      </c>
      <c r="O243">
        <v>11.81</v>
      </c>
      <c r="P243" t="b">
        <v>1</v>
      </c>
      <c r="Q243">
        <v>2</v>
      </c>
      <c r="R243">
        <v>1325</v>
      </c>
      <c r="S243">
        <v>1551</v>
      </c>
      <c r="T243">
        <v>17.1</v>
      </c>
      <c r="U243" t="s">
        <v>1020</v>
      </c>
      <c r="V243" t="s">
        <v>1391</v>
      </c>
      <c r="W243">
        <v>-8.652089502063443</v>
      </c>
      <c r="X243">
        <v>23.3</v>
      </c>
      <c r="Y243" t="s">
        <v>1745</v>
      </c>
      <c r="Z243">
        <v>14.63136204903193</v>
      </c>
      <c r="AA243">
        <v>1293</v>
      </c>
      <c r="AB243">
        <v>155636</v>
      </c>
      <c r="AC243" t="s">
        <v>2104</v>
      </c>
      <c r="AD243">
        <v>24.44</v>
      </c>
      <c r="AE243" t="s">
        <v>2475</v>
      </c>
      <c r="AF243" t="s">
        <v>2844</v>
      </c>
      <c r="AG243">
        <v>2701</v>
      </c>
      <c r="AH243">
        <v>196</v>
      </c>
      <c r="AI243">
        <v>1486000</v>
      </c>
      <c r="AJ243">
        <v>3.7</v>
      </c>
      <c r="AK243" t="b">
        <v>1</v>
      </c>
    </row>
    <row r="244" spans="1:38">
      <c r="A244" s="1" t="s">
        <v>278</v>
      </c>
      <c r="B244" t="s">
        <v>649</v>
      </c>
      <c r="C244">
        <f>HYPERLINK("https://finance.naver.com/item/coinfo.nhn?code=016450", "A016450")</f>
        <v>0</v>
      </c>
      <c r="D244">
        <f>HYPERLINK("http://comp.fnguide.com/SVO2/ASP/SVD_Consensus.asp?pGB=1&amp;gicode=A016450&amp;cID=&amp;MenuYn=Y&amp;ReportGB=&amp;NewMenuID=108&amp;stkGb=701", "한세예스24홀딩스")</f>
        <v>0</v>
      </c>
      <c r="E244">
        <v>3</v>
      </c>
      <c r="F244">
        <v>5940</v>
      </c>
      <c r="G244">
        <v>0</v>
      </c>
      <c r="H244">
        <v>7.37</v>
      </c>
      <c r="I244">
        <v>14060</v>
      </c>
      <c r="J244">
        <v>12965</v>
      </c>
      <c r="K244">
        <v>12599</v>
      </c>
      <c r="L244">
        <v>-136.7</v>
      </c>
      <c r="M244">
        <v>-118.27</v>
      </c>
      <c r="N244">
        <v>-112.1</v>
      </c>
      <c r="O244">
        <v>11.71</v>
      </c>
      <c r="P244" t="b">
        <v>1</v>
      </c>
      <c r="Q244">
        <v>0</v>
      </c>
      <c r="R244">
        <v>1007</v>
      </c>
      <c r="U244" t="s">
        <v>1021</v>
      </c>
      <c r="V244" t="s">
        <v>1392</v>
      </c>
      <c r="W244">
        <v>0</v>
      </c>
      <c r="X244">
        <v>41</v>
      </c>
      <c r="Y244" t="s">
        <v>1746</v>
      </c>
      <c r="Z244">
        <v>0</v>
      </c>
      <c r="AA244">
        <v>2376</v>
      </c>
      <c r="AB244">
        <v>31706</v>
      </c>
      <c r="AC244" t="s">
        <v>2105</v>
      </c>
      <c r="AD244">
        <v>79.72</v>
      </c>
      <c r="AE244" t="s">
        <v>2476</v>
      </c>
      <c r="AF244" t="s">
        <v>2845</v>
      </c>
      <c r="AG244">
        <v>27989</v>
      </c>
      <c r="AH244">
        <v>1347</v>
      </c>
      <c r="AI244">
        <v>738213</v>
      </c>
      <c r="AJ244">
        <v>3.37</v>
      </c>
      <c r="AK244" t="b">
        <v>1</v>
      </c>
    </row>
    <row r="245" spans="1:38">
      <c r="A245" s="1" t="s">
        <v>279</v>
      </c>
      <c r="B245" t="s">
        <v>650</v>
      </c>
      <c r="C245">
        <f>HYPERLINK("https://finance.naver.com/item/coinfo.nhn?code=009180", "A009180")</f>
        <v>0</v>
      </c>
      <c r="D245">
        <f>HYPERLINK("http://comp.fnguide.com/SVO2/ASP/SVD_Consensus.asp?pGB=1&amp;gicode=A009180&amp;cID=&amp;MenuYn=Y&amp;ReportGB=&amp;NewMenuID=108&amp;stkGb=701", "한솔로지스틱스")</f>
        <v>0</v>
      </c>
      <c r="E245">
        <v>3</v>
      </c>
      <c r="F245">
        <v>3395</v>
      </c>
      <c r="G245">
        <v>0</v>
      </c>
      <c r="H245">
        <v>4.6</v>
      </c>
      <c r="I245">
        <v>7178</v>
      </c>
      <c r="J245">
        <v>4806</v>
      </c>
      <c r="K245">
        <v>4013</v>
      </c>
      <c r="L245">
        <v>-111.42</v>
      </c>
      <c r="M245">
        <v>-41.57</v>
      </c>
      <c r="N245">
        <v>-18.22</v>
      </c>
      <c r="O245">
        <v>25.24</v>
      </c>
      <c r="P245" t="b">
        <v>1</v>
      </c>
      <c r="Q245">
        <v>0</v>
      </c>
      <c r="R245">
        <v>855</v>
      </c>
      <c r="U245" t="s">
        <v>1022</v>
      </c>
      <c r="V245" t="s">
        <v>1393</v>
      </c>
      <c r="W245">
        <v>0</v>
      </c>
      <c r="X245">
        <v>120.9</v>
      </c>
      <c r="Y245" t="s">
        <v>1747</v>
      </c>
      <c r="Z245">
        <v>64.25428382309823</v>
      </c>
      <c r="AA245">
        <v>933</v>
      </c>
      <c r="AB245">
        <v>248322</v>
      </c>
      <c r="AC245" t="s">
        <v>2106</v>
      </c>
      <c r="AD245">
        <v>21.51</v>
      </c>
      <c r="AE245" t="s">
        <v>2477</v>
      </c>
      <c r="AF245" t="s">
        <v>2846</v>
      </c>
      <c r="AG245">
        <v>7470</v>
      </c>
      <c r="AH245">
        <v>303</v>
      </c>
      <c r="AI245">
        <v>6691</v>
      </c>
      <c r="AJ245">
        <v>1.53</v>
      </c>
      <c r="AK245" t="b">
        <v>1</v>
      </c>
    </row>
    <row r="246" spans="1:38">
      <c r="A246" s="1" t="s">
        <v>280</v>
      </c>
      <c r="B246" t="s">
        <v>651</v>
      </c>
      <c r="C246">
        <f>HYPERLINK("https://finance.naver.com/item/coinfo.nhn?code=004960", "A004960")</f>
        <v>0</v>
      </c>
      <c r="D246">
        <f>HYPERLINK("http://comp.fnguide.com/SVO2/ASP/SVD_Consensus.asp?pGB=1&amp;gicode=A004960&amp;cID=&amp;MenuYn=Y&amp;ReportGB=&amp;NewMenuID=108&amp;stkGb=701", "한신공영")</f>
        <v>0</v>
      </c>
      <c r="E246">
        <v>3</v>
      </c>
      <c r="F246">
        <v>12100</v>
      </c>
      <c r="G246">
        <v>-0.21</v>
      </c>
      <c r="H246">
        <v>3.75</v>
      </c>
      <c r="I246">
        <v>72911</v>
      </c>
      <c r="J246">
        <v>64736</v>
      </c>
      <c r="K246">
        <v>62002</v>
      </c>
      <c r="L246">
        <v>-502.57</v>
      </c>
      <c r="M246">
        <v>-435.01</v>
      </c>
      <c r="N246">
        <v>-412.41</v>
      </c>
      <c r="O246">
        <v>12.63</v>
      </c>
      <c r="P246" t="b">
        <v>1</v>
      </c>
      <c r="Q246">
        <v>0</v>
      </c>
      <c r="R246">
        <v>4186</v>
      </c>
      <c r="S246">
        <v>3456</v>
      </c>
      <c r="T246">
        <v>-17.4</v>
      </c>
      <c r="U246" t="s">
        <v>1023</v>
      </c>
      <c r="V246" t="s">
        <v>1394</v>
      </c>
      <c r="W246">
        <v>-17.75088310676776</v>
      </c>
      <c r="X246">
        <v>-12.7</v>
      </c>
      <c r="Y246" t="s">
        <v>1748</v>
      </c>
      <c r="Z246">
        <v>-11.17905149659823</v>
      </c>
      <c r="AA246">
        <v>1400</v>
      </c>
      <c r="AB246">
        <v>297515</v>
      </c>
      <c r="AC246" t="s">
        <v>2107</v>
      </c>
      <c r="AD246">
        <v>36.76</v>
      </c>
      <c r="AE246" t="s">
        <v>2478</v>
      </c>
      <c r="AF246" t="s">
        <v>2847</v>
      </c>
      <c r="AG246">
        <v>13111</v>
      </c>
      <c r="AH246">
        <v>446</v>
      </c>
      <c r="AJ246">
        <v>2.23</v>
      </c>
      <c r="AK246" t="b">
        <v>1</v>
      </c>
    </row>
    <row r="247" spans="1:38">
      <c r="A247" s="1" t="s">
        <v>281</v>
      </c>
      <c r="B247" t="s">
        <v>652</v>
      </c>
      <c r="C247">
        <f>HYPERLINK("https://finance.naver.com/item/coinfo.nhn?code=001750", "A001750")</f>
        <v>0</v>
      </c>
      <c r="D247">
        <f>HYPERLINK("http://comp.fnguide.com/SVO2/ASP/SVD_Consensus.asp?pGB=1&amp;gicode=A001750&amp;cID=&amp;MenuYn=Y&amp;ReportGB=&amp;NewMenuID=108&amp;stkGb=701", "한양증권")</f>
        <v>0</v>
      </c>
      <c r="E247">
        <v>3</v>
      </c>
      <c r="F247">
        <v>11100</v>
      </c>
      <c r="G247">
        <v>0</v>
      </c>
      <c r="H247">
        <v>2.62</v>
      </c>
      <c r="I247">
        <v>54707</v>
      </c>
      <c r="J247">
        <v>43321</v>
      </c>
      <c r="K247">
        <v>39513</v>
      </c>
      <c r="L247">
        <v>-392.86</v>
      </c>
      <c r="M247">
        <v>-290.28</v>
      </c>
      <c r="N247">
        <v>-255.97</v>
      </c>
      <c r="O247">
        <v>16.19</v>
      </c>
      <c r="P247" t="b">
        <v>1</v>
      </c>
      <c r="Q247">
        <v>0</v>
      </c>
      <c r="R247">
        <v>5994</v>
      </c>
      <c r="U247" t="s">
        <v>1024</v>
      </c>
      <c r="V247" t="s">
        <v>1395</v>
      </c>
      <c r="W247">
        <v>0</v>
      </c>
      <c r="X247">
        <v>13.1</v>
      </c>
      <c r="Y247" t="s">
        <v>1749</v>
      </c>
      <c r="Z247">
        <v>11.26212409400291</v>
      </c>
      <c r="AA247">
        <v>1413</v>
      </c>
      <c r="AB247">
        <v>13221</v>
      </c>
      <c r="AC247" t="s">
        <v>2108</v>
      </c>
      <c r="AD247">
        <v>41.07</v>
      </c>
      <c r="AE247" t="s">
        <v>2479</v>
      </c>
      <c r="AF247" t="s">
        <v>2848</v>
      </c>
      <c r="AG247">
        <v>2937</v>
      </c>
      <c r="AH247">
        <v>1162</v>
      </c>
      <c r="AJ247">
        <v>5.73</v>
      </c>
      <c r="AK247" t="b">
        <v>1</v>
      </c>
    </row>
    <row r="248" spans="1:38">
      <c r="A248" s="1" t="s">
        <v>282</v>
      </c>
      <c r="B248" t="s">
        <v>653</v>
      </c>
      <c r="C248">
        <f>HYPERLINK("https://finance.naver.com/item/coinfo.nhn?code=009460", "A009460")</f>
        <v>0</v>
      </c>
      <c r="D248">
        <f>HYPERLINK("http://comp.fnguide.com/SVO2/ASP/SVD_Consensus.asp?pGB=1&amp;gicode=A009460&amp;cID=&amp;MenuYn=Y&amp;ReportGB=&amp;NewMenuID=108&amp;stkGb=701", "한창제지")</f>
        <v>0</v>
      </c>
      <c r="E248">
        <v>3</v>
      </c>
      <c r="F248">
        <v>1735</v>
      </c>
      <c r="G248">
        <v>0</v>
      </c>
      <c r="H248">
        <v>8.140000000000001</v>
      </c>
      <c r="I248">
        <v>2317</v>
      </c>
      <c r="J248">
        <v>2043</v>
      </c>
      <c r="K248">
        <v>1952</v>
      </c>
      <c r="L248">
        <v>-33.54</v>
      </c>
      <c r="M248">
        <v>-17.77</v>
      </c>
      <c r="N248">
        <v>-12.49</v>
      </c>
      <c r="O248">
        <v>12.8</v>
      </c>
      <c r="P248" t="b">
        <v>1</v>
      </c>
      <c r="Q248">
        <v>0</v>
      </c>
      <c r="R248">
        <v>252</v>
      </c>
      <c r="U248" t="s">
        <v>1025</v>
      </c>
      <c r="V248" t="s">
        <v>1396</v>
      </c>
      <c r="W248">
        <v>0</v>
      </c>
      <c r="X248">
        <v>-28.3</v>
      </c>
      <c r="Y248" t="s">
        <v>1750</v>
      </c>
      <c r="Z248">
        <v>-1.84739438662247</v>
      </c>
      <c r="AA248">
        <v>1035</v>
      </c>
      <c r="AB248">
        <v>264345</v>
      </c>
      <c r="AC248" t="s">
        <v>2109</v>
      </c>
      <c r="AD248">
        <v>39.29</v>
      </c>
      <c r="AE248" t="s">
        <v>2480</v>
      </c>
      <c r="AF248" t="s">
        <v>2849</v>
      </c>
      <c r="AG248">
        <v>1822</v>
      </c>
      <c r="AH248">
        <v>178</v>
      </c>
      <c r="AJ248">
        <v>0.98</v>
      </c>
      <c r="AK248" t="b">
        <v>1</v>
      </c>
    </row>
    <row r="249" spans="1:38">
      <c r="A249" s="1" t="s">
        <v>283</v>
      </c>
      <c r="B249" t="s">
        <v>654</v>
      </c>
      <c r="C249">
        <f>HYPERLINK("https://finance.naver.com/item/coinfo.nhn?code=000880", "A000880")</f>
        <v>0</v>
      </c>
      <c r="D249">
        <f>HYPERLINK("http://comp.fnguide.com/SVO2/ASP/SVD_Consensus.asp?pGB=1&amp;gicode=A000880&amp;cID=&amp;MenuYn=Y&amp;ReportGB=&amp;NewMenuID=108&amp;stkGb=701", "한화")</f>
        <v>0</v>
      </c>
      <c r="E249">
        <v>3</v>
      </c>
      <c r="F249">
        <v>27550</v>
      </c>
      <c r="G249">
        <v>0.04</v>
      </c>
      <c r="H249">
        <v>3.41</v>
      </c>
      <c r="I249">
        <v>84006</v>
      </c>
      <c r="J249">
        <v>76530</v>
      </c>
      <c r="K249">
        <v>74029</v>
      </c>
      <c r="L249">
        <v>-204.92</v>
      </c>
      <c r="M249">
        <v>-177.78</v>
      </c>
      <c r="N249">
        <v>-168.71</v>
      </c>
      <c r="O249">
        <v>11.99</v>
      </c>
      <c r="P249" t="b">
        <v>1</v>
      </c>
      <c r="Q249">
        <v>0</v>
      </c>
      <c r="R249">
        <v>9203</v>
      </c>
      <c r="S249">
        <v>5732</v>
      </c>
      <c r="T249">
        <v>-37.7</v>
      </c>
      <c r="U249" t="s">
        <v>1026</v>
      </c>
      <c r="V249" t="s">
        <v>1397</v>
      </c>
      <c r="W249">
        <v>84.09111663522346</v>
      </c>
      <c r="X249">
        <v>-86.7</v>
      </c>
      <c r="Y249" t="s">
        <v>1751</v>
      </c>
      <c r="Z249">
        <v>-21.62759226517742</v>
      </c>
      <c r="AA249">
        <v>20651</v>
      </c>
      <c r="AB249">
        <v>1841974</v>
      </c>
      <c r="AC249" t="s">
        <v>2110</v>
      </c>
      <c r="AD249">
        <v>43.62</v>
      </c>
      <c r="AE249" t="s">
        <v>2481</v>
      </c>
      <c r="AF249" t="s">
        <v>2850</v>
      </c>
      <c r="AG249">
        <v>528361</v>
      </c>
      <c r="AH249">
        <v>29279</v>
      </c>
      <c r="AI249">
        <v>6568817</v>
      </c>
      <c r="AJ249">
        <v>2.39</v>
      </c>
      <c r="AK249" t="b">
        <v>1</v>
      </c>
    </row>
    <row r="250" spans="1:38">
      <c r="A250" s="1" t="s">
        <v>284</v>
      </c>
      <c r="B250" t="s">
        <v>655</v>
      </c>
      <c r="C250">
        <f>HYPERLINK("https://finance.naver.com/item/coinfo.nhn?code=042670", "A042670")</f>
        <v>0</v>
      </c>
      <c r="D250">
        <f>HYPERLINK("http://comp.fnguide.com/SVO2/ASP/SVD_Consensus.asp?pGB=1&amp;gicode=A042670&amp;cID=&amp;MenuYn=Y&amp;ReportGB=&amp;NewMenuID=108&amp;stkGb=701", "현대두산인프라코어")</f>
        <v>0</v>
      </c>
      <c r="E250">
        <v>3</v>
      </c>
      <c r="F250">
        <v>5570</v>
      </c>
      <c r="G250">
        <v>-0.45</v>
      </c>
      <c r="H250">
        <v>2.65</v>
      </c>
      <c r="I250">
        <v>11315</v>
      </c>
      <c r="J250">
        <v>8910</v>
      </c>
      <c r="K250">
        <v>8105</v>
      </c>
      <c r="L250">
        <v>-103.15</v>
      </c>
      <c r="M250">
        <v>-59.96</v>
      </c>
      <c r="N250">
        <v>-45.52</v>
      </c>
      <c r="O250">
        <v>16.4</v>
      </c>
      <c r="P250" t="b">
        <v>1</v>
      </c>
      <c r="Q250">
        <v>0</v>
      </c>
      <c r="R250">
        <v>2675</v>
      </c>
      <c r="S250">
        <v>861</v>
      </c>
      <c r="T250">
        <v>-67.8</v>
      </c>
      <c r="U250" t="s">
        <v>1027</v>
      </c>
      <c r="V250" t="s">
        <v>1398</v>
      </c>
      <c r="W250">
        <v>-5.865544910026621</v>
      </c>
      <c r="X250">
        <v>-28.7</v>
      </c>
      <c r="Y250" t="s">
        <v>1752</v>
      </c>
      <c r="Z250">
        <v>24.36382232394698</v>
      </c>
      <c r="AA250">
        <v>11015</v>
      </c>
      <c r="AB250">
        <v>1168606</v>
      </c>
      <c r="AC250" t="s">
        <v>2111</v>
      </c>
      <c r="AD250">
        <v>33.3</v>
      </c>
      <c r="AE250" t="s">
        <v>2482</v>
      </c>
      <c r="AF250" t="s">
        <v>2851</v>
      </c>
      <c r="AG250">
        <v>45937</v>
      </c>
      <c r="AH250">
        <v>2645</v>
      </c>
      <c r="AI250">
        <v>64835</v>
      </c>
      <c r="AL250" t="b">
        <v>0</v>
      </c>
    </row>
    <row r="251" spans="1:38">
      <c r="A251" s="1" t="s">
        <v>285</v>
      </c>
      <c r="B251" t="s">
        <v>656</v>
      </c>
      <c r="C251">
        <f>HYPERLINK("https://finance.naver.com/item/coinfo.nhn?code=004560", "A004560")</f>
        <v>0</v>
      </c>
      <c r="D251">
        <f>HYPERLINK("http://comp.fnguide.com/SVO2/ASP/SVD_Consensus.asp?pGB=1&amp;gicode=A004560&amp;cID=&amp;MenuYn=Y&amp;ReportGB=&amp;NewMenuID=108&amp;stkGb=701", "현대비앤지스틸")</f>
        <v>0</v>
      </c>
      <c r="E251">
        <v>3</v>
      </c>
      <c r="F251">
        <v>13450</v>
      </c>
      <c r="G251">
        <v>0</v>
      </c>
      <c r="H251">
        <v>3.58</v>
      </c>
      <c r="I251">
        <v>34003</v>
      </c>
      <c r="J251">
        <v>33456</v>
      </c>
      <c r="K251">
        <v>33273</v>
      </c>
      <c r="L251">
        <v>-152.81</v>
      </c>
      <c r="M251">
        <v>-148.74</v>
      </c>
      <c r="N251">
        <v>-147.38</v>
      </c>
      <c r="O251">
        <v>10.35</v>
      </c>
      <c r="P251" t="b">
        <v>1</v>
      </c>
      <c r="Q251">
        <v>0</v>
      </c>
      <c r="R251">
        <v>4595</v>
      </c>
      <c r="U251" t="s">
        <v>1028</v>
      </c>
      <c r="V251" t="s">
        <v>1399</v>
      </c>
      <c r="W251">
        <v>0</v>
      </c>
      <c r="X251">
        <v>25.9</v>
      </c>
      <c r="Y251" t="s">
        <v>1753</v>
      </c>
      <c r="Z251">
        <v>34.7886304579303</v>
      </c>
      <c r="AA251">
        <v>2028</v>
      </c>
      <c r="AB251">
        <v>89357</v>
      </c>
      <c r="AC251" t="s">
        <v>2112</v>
      </c>
      <c r="AD251">
        <v>46.1</v>
      </c>
      <c r="AE251" t="s">
        <v>2483</v>
      </c>
      <c r="AF251" t="s">
        <v>2852</v>
      </c>
      <c r="AG251">
        <v>8557</v>
      </c>
      <c r="AH251">
        <v>897</v>
      </c>
      <c r="AJ251">
        <v>0.61</v>
      </c>
      <c r="AK251" t="b">
        <v>1</v>
      </c>
    </row>
    <row r="252" spans="1:38">
      <c r="A252" s="1" t="s">
        <v>286</v>
      </c>
      <c r="B252" t="s">
        <v>657</v>
      </c>
      <c r="C252">
        <f>HYPERLINK("https://finance.naver.com/item/coinfo.nhn?code=011760", "A011760")</f>
        <v>0</v>
      </c>
      <c r="D252">
        <f>HYPERLINK("http://comp.fnguide.com/SVO2/ASP/SVD_Consensus.asp?pGB=1&amp;gicode=A011760&amp;cID=&amp;MenuYn=Y&amp;ReportGB=&amp;NewMenuID=108&amp;stkGb=701", "현대코퍼레이션")</f>
        <v>0</v>
      </c>
      <c r="E252">
        <v>3</v>
      </c>
      <c r="F252">
        <v>15900</v>
      </c>
      <c r="G252">
        <v>0.12</v>
      </c>
      <c r="H252">
        <v>5.88</v>
      </c>
      <c r="I252">
        <v>34342</v>
      </c>
      <c r="J252">
        <v>31994</v>
      </c>
      <c r="K252">
        <v>31209</v>
      </c>
      <c r="L252">
        <v>-115.99</v>
      </c>
      <c r="M252">
        <v>-101.22</v>
      </c>
      <c r="N252">
        <v>-96.28</v>
      </c>
      <c r="O252">
        <v>11.48</v>
      </c>
      <c r="P252" t="b">
        <v>1</v>
      </c>
      <c r="Q252">
        <v>1</v>
      </c>
      <c r="R252">
        <v>2857</v>
      </c>
      <c r="S252">
        <v>4082</v>
      </c>
      <c r="T252">
        <v>42.9</v>
      </c>
      <c r="U252" t="s">
        <v>1029</v>
      </c>
      <c r="V252" t="s">
        <v>1400</v>
      </c>
      <c r="W252">
        <v>48.94924393163939</v>
      </c>
      <c r="X252">
        <v>107.5</v>
      </c>
      <c r="Y252" t="s">
        <v>1754</v>
      </c>
      <c r="Z252">
        <v>0</v>
      </c>
      <c r="AA252">
        <v>2103</v>
      </c>
      <c r="AB252">
        <v>45039</v>
      </c>
      <c r="AC252" t="s">
        <v>2113</v>
      </c>
      <c r="AD252">
        <v>24.96</v>
      </c>
      <c r="AE252" t="s">
        <v>2484</v>
      </c>
      <c r="AF252" t="s">
        <v>2853</v>
      </c>
      <c r="AG252">
        <v>37825</v>
      </c>
      <c r="AH252">
        <v>351</v>
      </c>
      <c r="AI252">
        <v>1218000</v>
      </c>
      <c r="AJ252">
        <v>3.57</v>
      </c>
      <c r="AK252" t="b">
        <v>1</v>
      </c>
    </row>
    <row r="253" spans="1:38">
      <c r="A253" s="1" t="s">
        <v>287</v>
      </c>
      <c r="B253" t="s">
        <v>658</v>
      </c>
      <c r="C253">
        <f>HYPERLINK("https://finance.naver.com/item/coinfo.nhn?code=003070", "A003070")</f>
        <v>0</v>
      </c>
      <c r="D253">
        <f>HYPERLINK("http://comp.fnguide.com/SVO2/ASP/SVD_Consensus.asp?pGB=1&amp;gicode=A003070&amp;cID=&amp;MenuYn=Y&amp;ReportGB=&amp;NewMenuID=108&amp;stkGb=701", "코오롱글로벌")</f>
        <v>0</v>
      </c>
      <c r="E253">
        <v>3</v>
      </c>
      <c r="F253">
        <v>19600</v>
      </c>
      <c r="G253">
        <v>0.07000000000000001</v>
      </c>
      <c r="H253">
        <v>4.16</v>
      </c>
      <c r="I253">
        <v>47911</v>
      </c>
      <c r="J253">
        <v>34679</v>
      </c>
      <c r="K253">
        <v>30254</v>
      </c>
      <c r="L253">
        <v>-144.45</v>
      </c>
      <c r="M253">
        <v>-76.93000000000001</v>
      </c>
      <c r="N253">
        <v>-54.36</v>
      </c>
      <c r="O253">
        <v>20.23</v>
      </c>
      <c r="P253" t="b">
        <v>1</v>
      </c>
      <c r="Q253">
        <v>3</v>
      </c>
      <c r="R253">
        <v>5436</v>
      </c>
      <c r="S253">
        <v>6000</v>
      </c>
      <c r="T253">
        <v>10.4</v>
      </c>
      <c r="U253" t="s">
        <v>1030</v>
      </c>
      <c r="V253" t="s">
        <v>1401</v>
      </c>
      <c r="W253">
        <v>62.03201013549633</v>
      </c>
      <c r="X253">
        <v>24.3</v>
      </c>
      <c r="Y253" t="s">
        <v>1755</v>
      </c>
      <c r="Z253">
        <v>59.28530682293886</v>
      </c>
      <c r="AA253">
        <v>4941</v>
      </c>
      <c r="AB253">
        <v>195677</v>
      </c>
      <c r="AC253" t="s">
        <v>2114</v>
      </c>
      <c r="AD253">
        <v>76.23999999999999</v>
      </c>
      <c r="AE253" t="s">
        <v>2485</v>
      </c>
      <c r="AF253" t="s">
        <v>2854</v>
      </c>
      <c r="AG253">
        <v>47495</v>
      </c>
      <c r="AH253">
        <v>2415</v>
      </c>
      <c r="AI253">
        <v>84095</v>
      </c>
      <c r="AJ253">
        <v>2.21</v>
      </c>
      <c r="AK253" t="b">
        <v>1</v>
      </c>
    </row>
    <row r="254" spans="1:38">
      <c r="A254" s="1" t="s">
        <v>288</v>
      </c>
      <c r="B254" t="s">
        <v>659</v>
      </c>
      <c r="C254">
        <f>HYPERLINK("https://finance.naver.com/item/coinfo.nhn?code=010240", "A010240")</f>
        <v>0</v>
      </c>
      <c r="D254">
        <f>HYPERLINK("http://comp.fnguide.com/SVO2/ASP/SVD_Consensus.asp?pGB=1&amp;gicode=A010240&amp;cID=&amp;MenuYn=Y&amp;ReportGB=&amp;NewMenuID=108&amp;stkGb=701", "흥국")</f>
        <v>0</v>
      </c>
      <c r="E254">
        <v>3</v>
      </c>
      <c r="F254">
        <v>7000</v>
      </c>
      <c r="G254">
        <v>0</v>
      </c>
      <c r="H254">
        <v>8.050000000000001</v>
      </c>
      <c r="I254">
        <v>10922</v>
      </c>
      <c r="J254">
        <v>9009</v>
      </c>
      <c r="K254">
        <v>8370</v>
      </c>
      <c r="L254">
        <v>-56.02</v>
      </c>
      <c r="M254">
        <v>-28.7</v>
      </c>
      <c r="N254">
        <v>-19.56</v>
      </c>
      <c r="O254">
        <v>14.76</v>
      </c>
      <c r="P254" t="b">
        <v>1</v>
      </c>
      <c r="Q254">
        <v>0</v>
      </c>
      <c r="R254">
        <v>963</v>
      </c>
      <c r="U254" t="s">
        <v>1031</v>
      </c>
      <c r="V254" t="s">
        <v>1402</v>
      </c>
      <c r="W254">
        <v>0</v>
      </c>
      <c r="X254">
        <v>-46.1</v>
      </c>
      <c r="Y254" t="s">
        <v>1756</v>
      </c>
      <c r="Z254">
        <v>-1.663492538074485</v>
      </c>
      <c r="AA254">
        <v>863</v>
      </c>
      <c r="AB254">
        <v>63524</v>
      </c>
      <c r="AC254" t="s">
        <v>2115</v>
      </c>
      <c r="AD254">
        <v>50.73</v>
      </c>
      <c r="AE254" t="s">
        <v>2486</v>
      </c>
      <c r="AF254" t="s">
        <v>2855</v>
      </c>
      <c r="AG254">
        <v>1418</v>
      </c>
      <c r="AH254">
        <v>138</v>
      </c>
      <c r="AI254">
        <v>772811</v>
      </c>
      <c r="AJ254">
        <v>2.58</v>
      </c>
      <c r="AK254" t="b">
        <v>1</v>
      </c>
    </row>
    <row r="255" spans="1:38">
      <c r="A255" s="1" t="s">
        <v>289</v>
      </c>
      <c r="B255" t="s">
        <v>660</v>
      </c>
      <c r="C255">
        <f>HYPERLINK("https://finance.naver.com/item/coinfo.nhn?code=281820", "A281820")</f>
        <v>0</v>
      </c>
      <c r="D255">
        <f>HYPERLINK("http://comp.fnguide.com/SVO2/ASP/SVD_Consensus.asp?pGB=1&amp;gicode=A281820&amp;cID=&amp;MenuYn=Y&amp;ReportGB=&amp;NewMenuID=108&amp;stkGb=701", "케이씨텍")</f>
        <v>0</v>
      </c>
      <c r="E255">
        <v>3</v>
      </c>
      <c r="F255">
        <v>17800</v>
      </c>
      <c r="G255">
        <v>0</v>
      </c>
      <c r="H255">
        <v>11.96</v>
      </c>
      <c r="I255">
        <v>23491</v>
      </c>
      <c r="J255">
        <v>21013</v>
      </c>
      <c r="K255">
        <v>20184</v>
      </c>
      <c r="L255">
        <v>-31.97</v>
      </c>
      <c r="M255">
        <v>-18.05</v>
      </c>
      <c r="N255">
        <v>-13.39</v>
      </c>
      <c r="O255">
        <v>12.44</v>
      </c>
      <c r="P255" t="b">
        <v>0</v>
      </c>
      <c r="Q255">
        <v>0</v>
      </c>
      <c r="R255">
        <v>2011</v>
      </c>
      <c r="U255" t="s">
        <v>1032</v>
      </c>
      <c r="V255" t="s">
        <v>1403</v>
      </c>
      <c r="W255">
        <v>0</v>
      </c>
      <c r="X255">
        <v>47.5</v>
      </c>
      <c r="Y255" t="s">
        <v>1757</v>
      </c>
      <c r="Z255">
        <v>39.43287199002987</v>
      </c>
      <c r="AA255">
        <v>3713</v>
      </c>
      <c r="AB255">
        <v>13498</v>
      </c>
      <c r="AC255" t="s">
        <v>2116</v>
      </c>
      <c r="AD255">
        <v>51.51</v>
      </c>
      <c r="AE255" t="s">
        <v>2487</v>
      </c>
      <c r="AF255" t="s">
        <v>2856</v>
      </c>
      <c r="AG255">
        <v>3445</v>
      </c>
      <c r="AH255">
        <v>521</v>
      </c>
      <c r="AI255">
        <v>561795</v>
      </c>
      <c r="AJ255">
        <v>0.91</v>
      </c>
      <c r="AK255" t="b">
        <v>1</v>
      </c>
    </row>
    <row r="256" spans="1:38">
      <c r="A256" s="1" t="s">
        <v>290</v>
      </c>
      <c r="B256" t="s">
        <v>661</v>
      </c>
      <c r="C256">
        <f>HYPERLINK("https://finance.naver.com/item/coinfo.nhn?code=101140", "A101140")</f>
        <v>0</v>
      </c>
      <c r="D256">
        <f>HYPERLINK("http://comp.fnguide.com/SVO2/ASP/SVD_Consensus.asp?pGB=1&amp;gicode=A101140&amp;cID=&amp;MenuYn=Y&amp;ReportGB=&amp;NewMenuID=108&amp;stkGb=701", "인바이오젠")</f>
        <v>0</v>
      </c>
      <c r="E256">
        <v>3</v>
      </c>
      <c r="F256">
        <v>2185</v>
      </c>
      <c r="G256">
        <v>0</v>
      </c>
      <c r="H256">
        <v>2.21</v>
      </c>
      <c r="I256">
        <v>14103</v>
      </c>
      <c r="J256">
        <v>8229</v>
      </c>
      <c r="K256">
        <v>6264</v>
      </c>
      <c r="L256">
        <v>-545.4299999999999</v>
      </c>
      <c r="M256">
        <v>-276.59</v>
      </c>
      <c r="N256">
        <v>-186.68</v>
      </c>
      <c r="O256">
        <v>41.68</v>
      </c>
      <c r="P256" t="b">
        <v>1</v>
      </c>
      <c r="Q256">
        <v>0</v>
      </c>
      <c r="R256">
        <v>1612</v>
      </c>
      <c r="U256" t="s">
        <v>1033</v>
      </c>
      <c r="V256" t="s">
        <v>1404</v>
      </c>
      <c r="W256">
        <v>0</v>
      </c>
      <c r="Y256" t="s">
        <v>1758</v>
      </c>
      <c r="Z256">
        <v>0</v>
      </c>
      <c r="AA256">
        <v>1167</v>
      </c>
      <c r="AB256">
        <v>344166</v>
      </c>
      <c r="AC256" t="s">
        <v>2117</v>
      </c>
      <c r="AD256">
        <v>20.64</v>
      </c>
      <c r="AE256" t="s">
        <v>2488</v>
      </c>
      <c r="AF256" t="s">
        <v>2857</v>
      </c>
      <c r="AG256">
        <v>105</v>
      </c>
      <c r="AH256">
        <v>-79</v>
      </c>
      <c r="AI256">
        <v>1055087</v>
      </c>
      <c r="AK256" t="b">
        <v>1</v>
      </c>
    </row>
    <row r="257" spans="1:38">
      <c r="A257" s="1" t="s">
        <v>291</v>
      </c>
      <c r="B257" t="s">
        <v>662</v>
      </c>
      <c r="C257">
        <f>HYPERLINK("https://finance.naver.com/item/coinfo.nhn?code=002780", "A002780")</f>
        <v>0</v>
      </c>
      <c r="D257">
        <f>HYPERLINK("http://comp.fnguide.com/SVO2/ASP/SVD_Consensus.asp?pGB=1&amp;gicode=A002780&amp;cID=&amp;MenuYn=Y&amp;ReportGB=&amp;NewMenuID=108&amp;stkGb=701", "진흥기업")</f>
        <v>0</v>
      </c>
      <c r="E257">
        <v>3</v>
      </c>
      <c r="F257">
        <v>1725</v>
      </c>
      <c r="G257">
        <v>0</v>
      </c>
      <c r="H257">
        <v>5.98</v>
      </c>
      <c r="I257">
        <v>3342</v>
      </c>
      <c r="J257">
        <v>2153</v>
      </c>
      <c r="K257">
        <v>1756</v>
      </c>
      <c r="L257">
        <v>-93.75</v>
      </c>
      <c r="M257">
        <v>-24.82</v>
      </c>
      <c r="N257">
        <v>-1.77</v>
      </c>
      <c r="O257">
        <v>28.56</v>
      </c>
      <c r="P257" t="b">
        <v>1</v>
      </c>
      <c r="Q257">
        <v>0</v>
      </c>
      <c r="R257">
        <v>364</v>
      </c>
      <c r="U257" t="s">
        <v>1034</v>
      </c>
      <c r="V257" t="s">
        <v>1405</v>
      </c>
      <c r="W257">
        <v>0</v>
      </c>
      <c r="X257">
        <v>13.2</v>
      </c>
      <c r="Y257" t="s">
        <v>1759</v>
      </c>
      <c r="Z257">
        <v>20.26159183676084</v>
      </c>
      <c r="AA257">
        <v>2509</v>
      </c>
      <c r="AB257">
        <v>2653638</v>
      </c>
      <c r="AC257" t="s">
        <v>2118</v>
      </c>
      <c r="AD257">
        <v>48.57</v>
      </c>
      <c r="AE257" t="s">
        <v>2489</v>
      </c>
      <c r="AF257" t="s">
        <v>2858</v>
      </c>
      <c r="AG257">
        <v>4442</v>
      </c>
      <c r="AH257">
        <v>433</v>
      </c>
      <c r="AI257">
        <v>58131</v>
      </c>
      <c r="AK257" t="b">
        <v>1</v>
      </c>
    </row>
    <row r="258" spans="1:38">
      <c r="A258" s="1" t="s">
        <v>292</v>
      </c>
      <c r="B258" t="s">
        <v>663</v>
      </c>
      <c r="C258">
        <f>HYPERLINK("https://finance.naver.com/item/coinfo.nhn?code=194370", "A194370")</f>
        <v>0</v>
      </c>
      <c r="D258">
        <f>HYPERLINK("http://comp.fnguide.com/SVO2/ASP/SVD_Consensus.asp?pGB=1&amp;gicode=A194370&amp;cID=&amp;MenuYn=Y&amp;ReportGB=&amp;NewMenuID=108&amp;stkGb=701", "제이에스코퍼레이션")</f>
        <v>0</v>
      </c>
      <c r="E258">
        <v>3</v>
      </c>
      <c r="F258">
        <v>17100</v>
      </c>
      <c r="G258">
        <v>0.06</v>
      </c>
      <c r="H258">
        <v>5.91</v>
      </c>
      <c r="I258">
        <v>24037</v>
      </c>
      <c r="J258">
        <v>19630</v>
      </c>
      <c r="K258">
        <v>18157</v>
      </c>
      <c r="L258">
        <v>-40.57</v>
      </c>
      <c r="M258">
        <v>-14.8</v>
      </c>
      <c r="N258">
        <v>-6.18</v>
      </c>
      <c r="O258">
        <v>15.09</v>
      </c>
      <c r="P258" t="b">
        <v>1</v>
      </c>
      <c r="Q258">
        <v>2</v>
      </c>
      <c r="R258">
        <v>3619</v>
      </c>
      <c r="S258">
        <v>4499</v>
      </c>
      <c r="T258">
        <v>24.3</v>
      </c>
      <c r="U258" t="s">
        <v>1035</v>
      </c>
      <c r="V258" t="s">
        <v>1406</v>
      </c>
      <c r="W258">
        <v>94.15890958279722</v>
      </c>
      <c r="X258">
        <v>242.3</v>
      </c>
      <c r="Y258" t="s">
        <v>1760</v>
      </c>
      <c r="Z258">
        <v>95.55842867210819</v>
      </c>
      <c r="AA258">
        <v>2280</v>
      </c>
      <c r="AB258">
        <v>60481</v>
      </c>
      <c r="AC258" t="s">
        <v>2119</v>
      </c>
      <c r="AD258">
        <v>60.69</v>
      </c>
      <c r="AE258" t="s">
        <v>2490</v>
      </c>
      <c r="AF258" t="s">
        <v>2859</v>
      </c>
      <c r="AG258">
        <v>9870</v>
      </c>
      <c r="AH258">
        <v>610</v>
      </c>
      <c r="AI258">
        <v>729982</v>
      </c>
      <c r="AJ258">
        <v>2.8</v>
      </c>
      <c r="AK258" t="b">
        <v>1</v>
      </c>
    </row>
    <row r="259" spans="1:38">
      <c r="A259" s="1" t="s">
        <v>293</v>
      </c>
      <c r="B259" t="s">
        <v>664</v>
      </c>
      <c r="C259">
        <f>HYPERLINK("https://finance.naver.com/item/coinfo.nhn?code=317400", "A317400")</f>
        <v>0</v>
      </c>
      <c r="D259">
        <f>HYPERLINK("http://comp.fnguide.com/SVO2/ASP/SVD_Consensus.asp?pGB=1&amp;gicode=A317400&amp;cID=&amp;MenuYn=Y&amp;ReportGB=&amp;NewMenuID=108&amp;stkGb=701", "자이에스앤디")</f>
        <v>0</v>
      </c>
      <c r="E259">
        <v>3</v>
      </c>
      <c r="F259">
        <v>7920</v>
      </c>
      <c r="G259">
        <v>0.17</v>
      </c>
      <c r="H259">
        <v>8.93</v>
      </c>
      <c r="I259">
        <v>11403</v>
      </c>
      <c r="J259">
        <v>9447</v>
      </c>
      <c r="K259">
        <v>8792</v>
      </c>
      <c r="L259">
        <v>-43.98</v>
      </c>
      <c r="M259">
        <v>-19.27</v>
      </c>
      <c r="N259">
        <v>-11.01</v>
      </c>
      <c r="O259">
        <v>14.62</v>
      </c>
      <c r="P259" t="b">
        <v>1</v>
      </c>
      <c r="Q259">
        <v>3</v>
      </c>
      <c r="R259">
        <v>1036</v>
      </c>
      <c r="S259">
        <v>2277</v>
      </c>
      <c r="T259">
        <v>119.8</v>
      </c>
      <c r="U259" t="s">
        <v>1036</v>
      </c>
      <c r="V259" t="s">
        <v>1407</v>
      </c>
      <c r="W259">
        <v>53.01530711050179</v>
      </c>
      <c r="X259">
        <v>4.7</v>
      </c>
      <c r="Y259" t="s">
        <v>1761</v>
      </c>
      <c r="Z259">
        <v>9.668244077543143</v>
      </c>
      <c r="AA259">
        <v>3072</v>
      </c>
      <c r="AB259">
        <v>975226</v>
      </c>
      <c r="AC259" t="s">
        <v>2120</v>
      </c>
      <c r="AD259">
        <v>49.81</v>
      </c>
      <c r="AE259" t="s">
        <v>2491</v>
      </c>
      <c r="AF259" t="s">
        <v>2860</v>
      </c>
      <c r="AG259">
        <v>4357</v>
      </c>
      <c r="AH259">
        <v>508</v>
      </c>
      <c r="AJ259">
        <v>2.16</v>
      </c>
      <c r="AK259" t="b">
        <v>1</v>
      </c>
    </row>
    <row r="260" spans="1:38">
      <c r="A260" s="1" t="s">
        <v>294</v>
      </c>
      <c r="B260" t="s">
        <v>665</v>
      </c>
      <c r="C260">
        <f>HYPERLINK("https://finance.naver.com/item/coinfo.nhn?code=077500", "A077500")</f>
        <v>0</v>
      </c>
      <c r="D260">
        <f>HYPERLINK("http://comp.fnguide.com/SVO2/ASP/SVD_Consensus.asp?pGB=1&amp;gicode=A077500&amp;cID=&amp;MenuYn=Y&amp;ReportGB=&amp;NewMenuID=108&amp;stkGb=701", "유니퀘스트")</f>
        <v>0</v>
      </c>
      <c r="E260">
        <v>3</v>
      </c>
      <c r="F260">
        <v>9340</v>
      </c>
      <c r="G260">
        <v>0</v>
      </c>
      <c r="H260">
        <v>5.29</v>
      </c>
      <c r="I260">
        <v>19791</v>
      </c>
      <c r="J260">
        <v>15174</v>
      </c>
      <c r="K260">
        <v>13630</v>
      </c>
      <c r="L260">
        <v>-111.89</v>
      </c>
      <c r="M260">
        <v>-62.47</v>
      </c>
      <c r="N260">
        <v>-45.93</v>
      </c>
      <c r="O260">
        <v>17.48</v>
      </c>
      <c r="P260" t="b">
        <v>1</v>
      </c>
      <c r="Q260">
        <v>0</v>
      </c>
      <c r="R260">
        <v>2289</v>
      </c>
      <c r="U260" t="s">
        <v>1037</v>
      </c>
      <c r="V260" t="s">
        <v>1408</v>
      </c>
      <c r="W260">
        <v>0</v>
      </c>
      <c r="X260">
        <v>92.2</v>
      </c>
      <c r="Y260" t="s">
        <v>1762</v>
      </c>
      <c r="Z260">
        <v>64.88258041612704</v>
      </c>
      <c r="AA260">
        <v>2554</v>
      </c>
      <c r="AB260">
        <v>54495</v>
      </c>
      <c r="AC260" t="s">
        <v>2121</v>
      </c>
      <c r="AD260">
        <v>44.81</v>
      </c>
      <c r="AE260" t="s">
        <v>2492</v>
      </c>
      <c r="AF260" t="s">
        <v>2861</v>
      </c>
      <c r="AG260">
        <v>5910</v>
      </c>
      <c r="AH260">
        <v>245</v>
      </c>
      <c r="AI260">
        <v>837007</v>
      </c>
      <c r="AJ260">
        <v>2.48</v>
      </c>
      <c r="AK260" t="b">
        <v>1</v>
      </c>
    </row>
    <row r="261" spans="1:38">
      <c r="A261" s="1" t="s">
        <v>295</v>
      </c>
      <c r="B261" t="s">
        <v>666</v>
      </c>
      <c r="C261">
        <f>HYPERLINK("https://finance.naver.com/item/coinfo.nhn?code=000700", "A000700")</f>
        <v>0</v>
      </c>
      <c r="D261">
        <f>HYPERLINK("http://comp.fnguide.com/SVO2/ASP/SVD_Consensus.asp?pGB=1&amp;gicode=A000700&amp;cID=&amp;MenuYn=Y&amp;ReportGB=&amp;NewMenuID=108&amp;stkGb=701", "유수홀딩스")</f>
        <v>0</v>
      </c>
      <c r="E261">
        <v>3</v>
      </c>
      <c r="F261">
        <v>5990</v>
      </c>
      <c r="G261">
        <v>0</v>
      </c>
      <c r="H261">
        <v>6.83</v>
      </c>
      <c r="I261">
        <v>18536</v>
      </c>
      <c r="J261">
        <v>15556</v>
      </c>
      <c r="K261">
        <v>14559</v>
      </c>
      <c r="L261">
        <v>-209.45</v>
      </c>
      <c r="M261">
        <v>-159.7</v>
      </c>
      <c r="N261">
        <v>-143.06</v>
      </c>
      <c r="O261">
        <v>14.21</v>
      </c>
      <c r="P261" t="b">
        <v>1</v>
      </c>
      <c r="Q261">
        <v>0</v>
      </c>
      <c r="R261">
        <v>923</v>
      </c>
      <c r="U261" t="s">
        <v>1038</v>
      </c>
      <c r="V261" t="s">
        <v>1409</v>
      </c>
      <c r="W261">
        <v>0</v>
      </c>
      <c r="X261">
        <v>79.2</v>
      </c>
      <c r="Y261" t="s">
        <v>1763</v>
      </c>
      <c r="Z261">
        <v>0</v>
      </c>
      <c r="AA261">
        <v>1560</v>
      </c>
      <c r="AB261">
        <v>22306</v>
      </c>
      <c r="AC261" t="s">
        <v>2122</v>
      </c>
      <c r="AD261">
        <v>47.05</v>
      </c>
      <c r="AE261" t="s">
        <v>2493</v>
      </c>
      <c r="AF261" t="s">
        <v>2862</v>
      </c>
      <c r="AG261">
        <v>5037</v>
      </c>
      <c r="AH261">
        <v>203</v>
      </c>
      <c r="AI261">
        <v>2290582</v>
      </c>
      <c r="AJ261">
        <v>6.35</v>
      </c>
      <c r="AK261" t="b">
        <v>1</v>
      </c>
    </row>
    <row r="262" spans="1:38">
      <c r="A262" s="1" t="s">
        <v>296</v>
      </c>
      <c r="B262" t="s">
        <v>667</v>
      </c>
      <c r="C262">
        <f>HYPERLINK("https://finance.naver.com/item/coinfo.nhn?code=118000", "A118000")</f>
        <v>0</v>
      </c>
      <c r="D262">
        <f>HYPERLINK("http://comp.fnguide.com/SVO2/ASP/SVD_Consensus.asp?pGB=1&amp;gicode=A118000&amp;cID=&amp;MenuYn=Y&amp;ReportGB=&amp;NewMenuID=108&amp;stkGb=701", "초록뱀헬스케어")</f>
        <v>0</v>
      </c>
      <c r="E262">
        <v>3</v>
      </c>
      <c r="F262">
        <v>914</v>
      </c>
      <c r="G262">
        <v>0</v>
      </c>
      <c r="H262">
        <v>13.64</v>
      </c>
      <c r="I262">
        <v>1496</v>
      </c>
      <c r="J262">
        <v>1449</v>
      </c>
      <c r="K262">
        <v>1433</v>
      </c>
      <c r="L262">
        <v>-63.69</v>
      </c>
      <c r="M262">
        <v>-58.5</v>
      </c>
      <c r="N262">
        <v>-56.76</v>
      </c>
      <c r="O262">
        <v>10.67</v>
      </c>
      <c r="P262" t="b">
        <v>0</v>
      </c>
      <c r="Q262">
        <v>0</v>
      </c>
      <c r="R262">
        <v>110</v>
      </c>
      <c r="U262" t="s">
        <v>1039</v>
      </c>
      <c r="V262" t="s">
        <v>1410</v>
      </c>
      <c r="W262">
        <v>0</v>
      </c>
      <c r="Y262" t="s">
        <v>1764</v>
      </c>
      <c r="Z262">
        <v>0</v>
      </c>
      <c r="AA262">
        <v>774</v>
      </c>
      <c r="AB262">
        <v>232051</v>
      </c>
      <c r="AC262" t="s">
        <v>2123</v>
      </c>
      <c r="AD262">
        <v>8.289999999999999</v>
      </c>
      <c r="AE262" t="s">
        <v>2494</v>
      </c>
      <c r="AF262" t="s">
        <v>2863</v>
      </c>
      <c r="AG262">
        <v>186</v>
      </c>
      <c r="AH262">
        <v>-18</v>
      </c>
      <c r="AI262">
        <v>2154</v>
      </c>
      <c r="AK262" t="b">
        <v>1</v>
      </c>
    </row>
    <row r="263" spans="1:38">
      <c r="A263" s="1" t="s">
        <v>297</v>
      </c>
      <c r="B263" t="s">
        <v>668</v>
      </c>
      <c r="C263">
        <f>HYPERLINK("https://finance.naver.com/item/coinfo.nhn?code=072130", "A072130")</f>
        <v>0</v>
      </c>
      <c r="D263">
        <f>HYPERLINK("http://comp.fnguide.com/SVO2/ASP/SVD_Consensus.asp?pGB=1&amp;gicode=A072130&amp;cID=&amp;MenuYn=Y&amp;ReportGB=&amp;NewMenuID=108&amp;stkGb=701", "유엔젤")</f>
        <v>0</v>
      </c>
      <c r="E263">
        <v>3</v>
      </c>
      <c r="F263">
        <v>3385</v>
      </c>
      <c r="G263">
        <v>0</v>
      </c>
      <c r="H263">
        <v>4.74</v>
      </c>
      <c r="I263">
        <v>7191</v>
      </c>
      <c r="J263">
        <v>5641</v>
      </c>
      <c r="K263">
        <v>5122</v>
      </c>
      <c r="L263">
        <v>-112.44</v>
      </c>
      <c r="M263">
        <v>-66.64</v>
      </c>
      <c r="N263">
        <v>-51.33</v>
      </c>
      <c r="O263">
        <v>16.55</v>
      </c>
      <c r="P263" t="b">
        <v>1</v>
      </c>
      <c r="Q263">
        <v>0</v>
      </c>
      <c r="R263">
        <v>1113</v>
      </c>
      <c r="U263" t="s">
        <v>1040</v>
      </c>
      <c r="V263" t="s">
        <v>1411</v>
      </c>
      <c r="W263">
        <v>0</v>
      </c>
      <c r="Y263" t="s">
        <v>1534</v>
      </c>
      <c r="Z263">
        <v>0</v>
      </c>
      <c r="AA263">
        <v>447</v>
      </c>
      <c r="AB263">
        <v>21086</v>
      </c>
      <c r="AC263" t="s">
        <v>2124</v>
      </c>
      <c r="AD263">
        <v>15.92</v>
      </c>
      <c r="AE263" t="s">
        <v>2495</v>
      </c>
      <c r="AF263" t="s">
        <v>2864</v>
      </c>
      <c r="AG263">
        <v>297</v>
      </c>
      <c r="AH263">
        <v>31</v>
      </c>
      <c r="AI263">
        <v>1241570</v>
      </c>
      <c r="AK263" t="b">
        <v>1</v>
      </c>
    </row>
    <row r="264" spans="1:38">
      <c r="A264" s="1" t="s">
        <v>298</v>
      </c>
      <c r="B264" t="s">
        <v>669</v>
      </c>
      <c r="C264">
        <f>HYPERLINK("https://finance.naver.com/item/coinfo.nhn?code=000760", "A000760")</f>
        <v>0</v>
      </c>
      <c r="D264">
        <f>HYPERLINK("http://comp.fnguide.com/SVO2/ASP/SVD_Consensus.asp?pGB=1&amp;gicode=A000760&amp;cID=&amp;MenuYn=Y&amp;ReportGB=&amp;NewMenuID=108&amp;stkGb=701", "이화산업")</f>
        <v>0</v>
      </c>
      <c r="E264">
        <v>3</v>
      </c>
      <c r="F264">
        <v>16150</v>
      </c>
      <c r="G264">
        <v>0</v>
      </c>
      <c r="H264">
        <v>0.92</v>
      </c>
      <c r="I264">
        <v>99665</v>
      </c>
      <c r="J264">
        <v>73640</v>
      </c>
      <c r="K264">
        <v>64936</v>
      </c>
      <c r="L264">
        <v>-517.12</v>
      </c>
      <c r="M264">
        <v>-355.97</v>
      </c>
      <c r="N264">
        <v>-302.08</v>
      </c>
      <c r="O264">
        <v>19.17</v>
      </c>
      <c r="P264" t="b">
        <v>1</v>
      </c>
      <c r="Q264">
        <v>0</v>
      </c>
      <c r="R264">
        <v>16817</v>
      </c>
      <c r="U264" t="s">
        <v>1041</v>
      </c>
      <c r="V264" t="s">
        <v>1412</v>
      </c>
      <c r="W264">
        <v>0</v>
      </c>
      <c r="X264">
        <v>-98.7</v>
      </c>
      <c r="Y264" t="s">
        <v>1765</v>
      </c>
      <c r="Z264">
        <v>0</v>
      </c>
      <c r="AA264">
        <v>452</v>
      </c>
      <c r="AB264">
        <v>1063</v>
      </c>
      <c r="AC264" t="s">
        <v>2125</v>
      </c>
      <c r="AD264">
        <v>72.81</v>
      </c>
      <c r="AE264" t="s">
        <v>2496</v>
      </c>
      <c r="AF264" t="s">
        <v>2865</v>
      </c>
      <c r="AG264">
        <v>578</v>
      </c>
      <c r="AH264">
        <v>-50</v>
      </c>
      <c r="AK264" t="b">
        <v>1</v>
      </c>
    </row>
    <row r="265" spans="1:38">
      <c r="A265" s="1" t="s">
        <v>299</v>
      </c>
      <c r="B265" t="s">
        <v>670</v>
      </c>
      <c r="C265">
        <f>HYPERLINK("https://finance.naver.com/item/coinfo.nhn?code=014830", "A014830")</f>
        <v>0</v>
      </c>
      <c r="D265">
        <f>HYPERLINK("http://comp.fnguide.com/SVO2/ASP/SVD_Consensus.asp?pGB=1&amp;gicode=A014830&amp;cID=&amp;MenuYn=Y&amp;ReportGB=&amp;NewMenuID=108&amp;stkGb=701", "유니드")</f>
        <v>0</v>
      </c>
      <c r="E265">
        <v>3</v>
      </c>
      <c r="F265">
        <v>96100</v>
      </c>
      <c r="G265">
        <v>0</v>
      </c>
      <c r="H265">
        <v>4.89</v>
      </c>
      <c r="I265">
        <v>173922</v>
      </c>
      <c r="J265">
        <v>141043</v>
      </c>
      <c r="K265">
        <v>130047</v>
      </c>
      <c r="L265">
        <v>-80.98</v>
      </c>
      <c r="M265">
        <v>-46.77</v>
      </c>
      <c r="N265">
        <v>-35.32</v>
      </c>
      <c r="O265">
        <v>15.33</v>
      </c>
      <c r="P265" t="b">
        <v>1</v>
      </c>
      <c r="Q265">
        <v>0</v>
      </c>
      <c r="R265">
        <v>20535</v>
      </c>
      <c r="U265" t="s">
        <v>1042</v>
      </c>
      <c r="V265" t="s">
        <v>1413</v>
      </c>
      <c r="W265">
        <v>0</v>
      </c>
      <c r="X265">
        <v>25.8</v>
      </c>
      <c r="Y265" t="s">
        <v>1766</v>
      </c>
      <c r="Z265">
        <v>42.12730960259863</v>
      </c>
      <c r="AA265">
        <v>8543</v>
      </c>
      <c r="AB265">
        <v>74443</v>
      </c>
      <c r="AC265" t="s">
        <v>2126</v>
      </c>
      <c r="AD265">
        <v>45.44</v>
      </c>
      <c r="AE265" t="s">
        <v>2497</v>
      </c>
      <c r="AF265" t="s">
        <v>2866</v>
      </c>
      <c r="AG265">
        <v>10973</v>
      </c>
      <c r="AH265">
        <v>1683</v>
      </c>
      <c r="AI265">
        <v>158000</v>
      </c>
      <c r="AJ265">
        <v>1.69</v>
      </c>
      <c r="AK265" t="b">
        <v>1</v>
      </c>
    </row>
    <row r="266" spans="1:38">
      <c r="A266" s="1" t="s">
        <v>300</v>
      </c>
      <c r="B266" t="s">
        <v>671</v>
      </c>
      <c r="C266">
        <f>HYPERLINK("https://finance.naver.com/item/coinfo.nhn?code=008350", "A008350")</f>
        <v>0</v>
      </c>
      <c r="D266">
        <f>HYPERLINK("http://comp.fnguide.com/SVO2/ASP/SVD_Consensus.asp?pGB=1&amp;gicode=A008350&amp;cID=&amp;MenuYn=Y&amp;ReportGB=&amp;NewMenuID=108&amp;stkGb=701", "남선알미늄")</f>
        <v>0</v>
      </c>
      <c r="E266">
        <v>2</v>
      </c>
      <c r="F266">
        <v>2315</v>
      </c>
      <c r="G266">
        <v>0</v>
      </c>
      <c r="H266">
        <v>6.59</v>
      </c>
      <c r="I266">
        <v>2790</v>
      </c>
      <c r="J266">
        <v>2434</v>
      </c>
      <c r="K266">
        <v>2315</v>
      </c>
      <c r="L266">
        <v>-20.51</v>
      </c>
      <c r="M266">
        <v>-5.13</v>
      </c>
      <c r="N266">
        <v>0.02</v>
      </c>
      <c r="O266">
        <v>13.1</v>
      </c>
      <c r="P266" t="b">
        <v>0</v>
      </c>
      <c r="Q266">
        <v>0</v>
      </c>
      <c r="R266">
        <v>377</v>
      </c>
      <c r="U266" t="s">
        <v>1043</v>
      </c>
      <c r="V266" t="s">
        <v>1414</v>
      </c>
      <c r="W266">
        <v>0</v>
      </c>
      <c r="X266">
        <v>45.7</v>
      </c>
      <c r="Y266" t="s">
        <v>1767</v>
      </c>
      <c r="Z266">
        <v>22.81273954027558</v>
      </c>
      <c r="AA266">
        <v>2551</v>
      </c>
      <c r="AB266">
        <v>4142476</v>
      </c>
      <c r="AC266" t="s">
        <v>2127</v>
      </c>
      <c r="AD266">
        <v>18.08</v>
      </c>
      <c r="AE266" t="s">
        <v>2498</v>
      </c>
      <c r="AF266" t="s">
        <v>2867</v>
      </c>
      <c r="AG266">
        <v>2303</v>
      </c>
      <c r="AH266">
        <v>-69</v>
      </c>
      <c r="AK266" t="b">
        <v>1</v>
      </c>
    </row>
    <row r="267" spans="1:38">
      <c r="A267" s="1" t="s">
        <v>301</v>
      </c>
      <c r="B267" t="s">
        <v>672</v>
      </c>
      <c r="C267">
        <f>HYPERLINK("https://finance.naver.com/item/coinfo.nhn?code=264450", "A264450")</f>
        <v>0</v>
      </c>
      <c r="D267">
        <f>HYPERLINK("http://comp.fnguide.com/SVO2/ASP/SVD_Consensus.asp?pGB=1&amp;gicode=A264450&amp;cID=&amp;MenuYn=Y&amp;ReportGB=&amp;NewMenuID=108&amp;stkGb=701", "유비쿼스")</f>
        <v>0</v>
      </c>
      <c r="E267">
        <v>2</v>
      </c>
      <c r="F267">
        <v>16800</v>
      </c>
      <c r="G267">
        <v>0</v>
      </c>
      <c r="H267">
        <v>8.09</v>
      </c>
      <c r="I267">
        <v>25255</v>
      </c>
      <c r="J267">
        <v>18225</v>
      </c>
      <c r="K267">
        <v>15874</v>
      </c>
      <c r="L267">
        <v>-50.33</v>
      </c>
      <c r="M267">
        <v>-8.48</v>
      </c>
      <c r="N267">
        <v>5.51</v>
      </c>
      <c r="O267">
        <v>20.39</v>
      </c>
      <c r="P267" t="b">
        <v>1</v>
      </c>
      <c r="Q267">
        <v>0</v>
      </c>
      <c r="R267">
        <v>2811</v>
      </c>
      <c r="U267" t="s">
        <v>1044</v>
      </c>
      <c r="V267" t="s">
        <v>1415</v>
      </c>
      <c r="W267">
        <v>0</v>
      </c>
      <c r="X267">
        <v>-48.6</v>
      </c>
      <c r="Y267" t="s">
        <v>1768</v>
      </c>
      <c r="Z267">
        <v>3.844580556329347</v>
      </c>
      <c r="AA267">
        <v>1721</v>
      </c>
      <c r="AB267">
        <v>9318</v>
      </c>
      <c r="AC267" t="s">
        <v>2128</v>
      </c>
      <c r="AD267">
        <v>39.57</v>
      </c>
      <c r="AE267" t="s">
        <v>2499</v>
      </c>
      <c r="AF267" t="s">
        <v>2868</v>
      </c>
      <c r="AG267">
        <v>1391</v>
      </c>
      <c r="AH267">
        <v>319</v>
      </c>
      <c r="AI267">
        <v>2204</v>
      </c>
      <c r="AJ267">
        <v>2.46</v>
      </c>
      <c r="AK267" t="b">
        <v>1</v>
      </c>
    </row>
    <row r="268" spans="1:38">
      <c r="A268" s="1" t="s">
        <v>302</v>
      </c>
      <c r="B268" t="s">
        <v>673</v>
      </c>
      <c r="C268">
        <f>HYPERLINK("https://finance.naver.com/item/coinfo.nhn?code=033780", "A033780")</f>
        <v>0</v>
      </c>
      <c r="D268">
        <f>HYPERLINK("http://comp.fnguide.com/SVO2/ASP/SVD_Consensus.asp?pGB=1&amp;gicode=A033780&amp;cID=&amp;MenuYn=Y&amp;ReportGB=&amp;NewMenuID=108&amp;stkGb=701", "KT&amp;G")</f>
        <v>0</v>
      </c>
      <c r="E268">
        <v>2</v>
      </c>
      <c r="F268">
        <v>81900</v>
      </c>
      <c r="G268">
        <v>45.47</v>
      </c>
      <c r="H268">
        <v>11.1</v>
      </c>
      <c r="I268">
        <v>89856</v>
      </c>
      <c r="J268">
        <v>82435</v>
      </c>
      <c r="K268">
        <v>79953</v>
      </c>
      <c r="L268">
        <v>-9.710000000000001</v>
      </c>
      <c r="M268">
        <v>-0.65</v>
      </c>
      <c r="N268">
        <v>2.38</v>
      </c>
      <c r="O268">
        <v>11.83</v>
      </c>
      <c r="P268" t="b">
        <v>1</v>
      </c>
      <c r="Q268">
        <v>1</v>
      </c>
      <c r="R268">
        <v>7118</v>
      </c>
      <c r="S268">
        <v>7592</v>
      </c>
      <c r="T268">
        <v>6.7</v>
      </c>
      <c r="U268" t="s">
        <v>1045</v>
      </c>
      <c r="V268" t="s">
        <v>1416</v>
      </c>
      <c r="W268">
        <v>0.2441333706195703</v>
      </c>
      <c r="X268">
        <v>-3.5</v>
      </c>
      <c r="Y268" t="s">
        <v>1769</v>
      </c>
      <c r="Z268">
        <v>-4.891025599657373</v>
      </c>
      <c r="AA268">
        <v>112443</v>
      </c>
      <c r="AB268">
        <v>287361</v>
      </c>
      <c r="AC268" t="s">
        <v>2129</v>
      </c>
      <c r="AD268">
        <v>8.029999999999999</v>
      </c>
      <c r="AE268" t="s">
        <v>2500</v>
      </c>
      <c r="AF268" t="s">
        <v>2869</v>
      </c>
      <c r="AG268">
        <v>52284</v>
      </c>
      <c r="AH268">
        <v>13384</v>
      </c>
      <c r="AI268">
        <v>17312574</v>
      </c>
      <c r="AJ268">
        <v>6.08</v>
      </c>
      <c r="AK268" t="b">
        <v>1</v>
      </c>
    </row>
    <row r="269" spans="1:38">
      <c r="A269" s="1" t="s">
        <v>303</v>
      </c>
      <c r="B269" t="s">
        <v>674</v>
      </c>
      <c r="C269">
        <f>HYPERLINK("https://finance.naver.com/item/coinfo.nhn?code=006390", "A006390")</f>
        <v>0</v>
      </c>
      <c r="D269">
        <f>HYPERLINK("http://comp.fnguide.com/SVO2/ASP/SVD_Consensus.asp?pGB=1&amp;gicode=A006390&amp;cID=&amp;MenuYn=Y&amp;ReportGB=&amp;NewMenuID=108&amp;stkGb=701", "한일현대시멘트")</f>
        <v>0</v>
      </c>
      <c r="E269">
        <v>2</v>
      </c>
      <c r="F269">
        <v>25850</v>
      </c>
      <c r="G269">
        <v>0</v>
      </c>
      <c r="H269">
        <v>14.41</v>
      </c>
      <c r="I269">
        <v>35690</v>
      </c>
      <c r="J269">
        <v>26112</v>
      </c>
      <c r="K269">
        <v>22908</v>
      </c>
      <c r="L269">
        <v>-38.06</v>
      </c>
      <c r="M269">
        <v>-1.01</v>
      </c>
      <c r="N269">
        <v>11.38</v>
      </c>
      <c r="O269">
        <v>19.67</v>
      </c>
      <c r="P269" t="b">
        <v>1</v>
      </c>
      <c r="Q269">
        <v>0</v>
      </c>
      <c r="R269">
        <v>2310</v>
      </c>
      <c r="U269" t="s">
        <v>1046</v>
      </c>
      <c r="V269" t="s">
        <v>1417</v>
      </c>
      <c r="W269">
        <v>0</v>
      </c>
      <c r="Y269" t="s">
        <v>1770</v>
      </c>
      <c r="Z269">
        <v>0</v>
      </c>
      <c r="AA269">
        <v>4595</v>
      </c>
      <c r="AB269">
        <v>20358</v>
      </c>
      <c r="AC269" t="s">
        <v>2130</v>
      </c>
      <c r="AD269">
        <v>79.73</v>
      </c>
      <c r="AE269" t="s">
        <v>2501</v>
      </c>
      <c r="AF269" t="s">
        <v>2870</v>
      </c>
      <c r="AG269">
        <v>3970</v>
      </c>
      <c r="AH269">
        <v>359</v>
      </c>
      <c r="AJ269">
        <v>3.6</v>
      </c>
      <c r="AK269" t="b">
        <v>1</v>
      </c>
    </row>
    <row r="270" spans="1:38">
      <c r="A270" s="1" t="s">
        <v>304</v>
      </c>
      <c r="B270" t="s">
        <v>675</v>
      </c>
      <c r="C270">
        <f>HYPERLINK("https://finance.naver.com/item/coinfo.nhn?code=229000", "A229000")</f>
        <v>0</v>
      </c>
      <c r="D270">
        <f>HYPERLINK("http://comp.fnguide.com/SVO2/ASP/SVD_Consensus.asp?pGB=1&amp;gicode=A229000&amp;cID=&amp;MenuYn=Y&amp;ReportGB=&amp;NewMenuID=108&amp;stkGb=701", "젠큐릭스")</f>
        <v>0</v>
      </c>
      <c r="E270">
        <v>2</v>
      </c>
      <c r="F270">
        <v>9700</v>
      </c>
      <c r="G270">
        <v>0</v>
      </c>
      <c r="I270">
        <v>19073</v>
      </c>
      <c r="J270">
        <v>11156</v>
      </c>
      <c r="K270">
        <v>8508</v>
      </c>
      <c r="L270">
        <v>-96.62</v>
      </c>
      <c r="M270">
        <v>-15.01</v>
      </c>
      <c r="N270">
        <v>12.29</v>
      </c>
      <c r="O270">
        <v>41.23</v>
      </c>
      <c r="P270" t="b">
        <v>0</v>
      </c>
      <c r="Q270">
        <v>0</v>
      </c>
      <c r="R270">
        <v>-5111</v>
      </c>
      <c r="U270" t="s">
        <v>1047</v>
      </c>
      <c r="V270" t="s">
        <v>1418</v>
      </c>
      <c r="W270">
        <v>0</v>
      </c>
      <c r="Y270" t="s">
        <v>1534</v>
      </c>
      <c r="Z270">
        <v>0</v>
      </c>
      <c r="AA270">
        <v>647</v>
      </c>
      <c r="AB270">
        <v>10170</v>
      </c>
      <c r="AC270" t="s">
        <v>2131</v>
      </c>
      <c r="AD270">
        <v>17.45</v>
      </c>
      <c r="AE270" t="s">
        <v>2502</v>
      </c>
      <c r="AF270" t="s">
        <v>2871</v>
      </c>
      <c r="AG270">
        <v>30</v>
      </c>
      <c r="AH270">
        <v>-127</v>
      </c>
      <c r="AL270" t="b">
        <v>0</v>
      </c>
    </row>
    <row r="271" spans="1:38">
      <c r="A271" s="1" t="s">
        <v>305</v>
      </c>
      <c r="B271" t="s">
        <v>676</v>
      </c>
      <c r="C271">
        <f>HYPERLINK("https://finance.naver.com/item/coinfo.nhn?code=089790", "A089790")</f>
        <v>0</v>
      </c>
      <c r="D271">
        <f>HYPERLINK("http://comp.fnguide.com/SVO2/ASP/SVD_Consensus.asp?pGB=1&amp;gicode=A089790&amp;cID=&amp;MenuYn=Y&amp;ReportGB=&amp;NewMenuID=108&amp;stkGb=701", "제이티")</f>
        <v>0</v>
      </c>
      <c r="E271">
        <v>2</v>
      </c>
      <c r="F271">
        <v>7330</v>
      </c>
      <c r="G271">
        <v>0.15</v>
      </c>
      <c r="H271">
        <v>7.86</v>
      </c>
      <c r="I271">
        <v>12060</v>
      </c>
      <c r="J271">
        <v>7968</v>
      </c>
      <c r="K271">
        <v>6599</v>
      </c>
      <c r="L271">
        <v>-64.53</v>
      </c>
      <c r="M271">
        <v>-8.699999999999999</v>
      </c>
      <c r="N271">
        <v>9.970000000000001</v>
      </c>
      <c r="O271">
        <v>26.32</v>
      </c>
      <c r="P271" t="b">
        <v>1</v>
      </c>
      <c r="Q271">
        <v>0</v>
      </c>
      <c r="R271">
        <v>1349</v>
      </c>
      <c r="S271">
        <v>1270</v>
      </c>
      <c r="T271">
        <v>-5.9</v>
      </c>
      <c r="U271" t="s">
        <v>1048</v>
      </c>
      <c r="V271" t="s">
        <v>1419</v>
      </c>
      <c r="W271">
        <v>51.22629601527431</v>
      </c>
      <c r="X271">
        <v>153.8</v>
      </c>
      <c r="Y271" t="s">
        <v>1771</v>
      </c>
      <c r="Z271">
        <v>0</v>
      </c>
      <c r="AA271">
        <v>756</v>
      </c>
      <c r="AB271">
        <v>30341</v>
      </c>
      <c r="AC271" t="s">
        <v>2132</v>
      </c>
      <c r="AD271">
        <v>27.94</v>
      </c>
      <c r="AE271" t="s">
        <v>2503</v>
      </c>
      <c r="AF271" t="s">
        <v>2872</v>
      </c>
      <c r="AG271">
        <v>656</v>
      </c>
      <c r="AH271">
        <v>112</v>
      </c>
      <c r="AI271">
        <v>304426</v>
      </c>
      <c r="AK271" t="b">
        <v>1</v>
      </c>
    </row>
    <row r="272" spans="1:38">
      <c r="A272" s="1" t="s">
        <v>306</v>
      </c>
      <c r="B272" t="s">
        <v>677</v>
      </c>
      <c r="C272">
        <f>HYPERLINK("https://finance.naver.com/item/coinfo.nhn?code=095610", "A095610")</f>
        <v>0</v>
      </c>
      <c r="D272">
        <f>HYPERLINK("http://comp.fnguide.com/SVO2/ASP/SVD_Consensus.asp?pGB=1&amp;gicode=A095610&amp;cID=&amp;MenuYn=Y&amp;ReportGB=&amp;NewMenuID=108&amp;stkGb=701", "테스")</f>
        <v>0</v>
      </c>
      <c r="E272">
        <v>2</v>
      </c>
      <c r="F272">
        <v>20900</v>
      </c>
      <c r="G272">
        <v>0.09</v>
      </c>
      <c r="H272">
        <v>7.95</v>
      </c>
      <c r="I272">
        <v>31205</v>
      </c>
      <c r="J272">
        <v>23083</v>
      </c>
      <c r="K272">
        <v>20367</v>
      </c>
      <c r="L272">
        <v>-49.3</v>
      </c>
      <c r="M272">
        <v>-10.44</v>
      </c>
      <c r="N272">
        <v>2.55</v>
      </c>
      <c r="O272">
        <v>19.11</v>
      </c>
      <c r="P272" t="b">
        <v>1</v>
      </c>
      <c r="Q272">
        <v>0</v>
      </c>
      <c r="R272">
        <v>3743</v>
      </c>
      <c r="S272">
        <v>3093</v>
      </c>
      <c r="T272">
        <v>-17.4</v>
      </c>
      <c r="U272" t="s">
        <v>1049</v>
      </c>
      <c r="V272" t="s">
        <v>1420</v>
      </c>
      <c r="W272">
        <v>84.40420341034557</v>
      </c>
      <c r="X272">
        <v>-45.6</v>
      </c>
      <c r="Y272" t="s">
        <v>1772</v>
      </c>
      <c r="Z272">
        <v>-5.977748432957874</v>
      </c>
      <c r="AA272">
        <v>4132</v>
      </c>
      <c r="AB272">
        <v>80141</v>
      </c>
      <c r="AC272" t="s">
        <v>2133</v>
      </c>
      <c r="AD272">
        <v>29.31</v>
      </c>
      <c r="AE272" t="s">
        <v>2504</v>
      </c>
      <c r="AF272" t="s">
        <v>2873</v>
      </c>
      <c r="AG272">
        <v>3752</v>
      </c>
      <c r="AH272">
        <v>622</v>
      </c>
      <c r="AI272">
        <v>1795000</v>
      </c>
      <c r="AJ272">
        <v>1.88</v>
      </c>
      <c r="AK272" t="b">
        <v>1</v>
      </c>
    </row>
    <row r="273" spans="1:37">
      <c r="A273" s="1" t="s">
        <v>307</v>
      </c>
      <c r="B273" t="s">
        <v>678</v>
      </c>
      <c r="C273">
        <f>HYPERLINK("https://finance.naver.com/item/coinfo.nhn?code=136540", "A136540")</f>
        <v>0</v>
      </c>
      <c r="D273">
        <f>HYPERLINK("http://comp.fnguide.com/SVO2/ASP/SVD_Consensus.asp?pGB=1&amp;gicode=A136540&amp;cID=&amp;MenuYn=Y&amp;ReportGB=&amp;NewMenuID=108&amp;stkGb=701", "윈스")</f>
        <v>0</v>
      </c>
      <c r="E273">
        <v>2</v>
      </c>
      <c r="F273">
        <v>14500</v>
      </c>
      <c r="G273">
        <v>0</v>
      </c>
      <c r="H273">
        <v>12.39</v>
      </c>
      <c r="I273">
        <v>17336</v>
      </c>
      <c r="J273">
        <v>14760</v>
      </c>
      <c r="K273">
        <v>13899</v>
      </c>
      <c r="L273">
        <v>-19.56</v>
      </c>
      <c r="M273">
        <v>-1.8</v>
      </c>
      <c r="N273">
        <v>4.15</v>
      </c>
      <c r="O273">
        <v>13.78</v>
      </c>
      <c r="P273" t="b">
        <v>1</v>
      </c>
      <c r="Q273">
        <v>0</v>
      </c>
      <c r="R273">
        <v>1340</v>
      </c>
      <c r="U273" t="s">
        <v>1050</v>
      </c>
      <c r="V273" t="s">
        <v>1421</v>
      </c>
      <c r="W273">
        <v>0</v>
      </c>
      <c r="X273">
        <v>334.5</v>
      </c>
      <c r="Y273" t="s">
        <v>1773</v>
      </c>
      <c r="Z273">
        <v>52.65526983771891</v>
      </c>
      <c r="AA273">
        <v>2010</v>
      </c>
      <c r="AB273">
        <v>40177</v>
      </c>
      <c r="AC273" t="s">
        <v>2134</v>
      </c>
      <c r="AD273">
        <v>44.84</v>
      </c>
      <c r="AE273" t="s">
        <v>2505</v>
      </c>
      <c r="AF273" t="s">
        <v>2874</v>
      </c>
      <c r="AG273">
        <v>964</v>
      </c>
      <c r="AH273">
        <v>210</v>
      </c>
      <c r="AI273">
        <v>1320063</v>
      </c>
      <c r="AJ273">
        <v>3.01</v>
      </c>
      <c r="AK273" t="b">
        <v>1</v>
      </c>
    </row>
    <row r="274" spans="1:37">
      <c r="A274" s="1" t="s">
        <v>308</v>
      </c>
      <c r="B274" t="s">
        <v>679</v>
      </c>
      <c r="C274">
        <f>HYPERLINK("https://finance.naver.com/item/coinfo.nhn?code=323280", "A323280")</f>
        <v>0</v>
      </c>
      <c r="D274">
        <f>HYPERLINK("http://comp.fnguide.com/SVO2/ASP/SVD_Consensus.asp?pGB=1&amp;gicode=A323280&amp;cID=&amp;MenuYn=Y&amp;ReportGB=&amp;NewMenuID=108&amp;stkGb=701", "태성")</f>
        <v>0</v>
      </c>
      <c r="E274">
        <v>2</v>
      </c>
      <c r="F274">
        <v>1850</v>
      </c>
      <c r="G274">
        <v>0</v>
      </c>
      <c r="I274">
        <v>3490</v>
      </c>
      <c r="J274">
        <v>2052</v>
      </c>
      <c r="K274">
        <v>1571</v>
      </c>
      <c r="L274">
        <v>-88.66</v>
      </c>
      <c r="M274">
        <v>-10.92</v>
      </c>
      <c r="N274">
        <v>15.08</v>
      </c>
      <c r="O274">
        <v>40.33</v>
      </c>
      <c r="P274" t="b">
        <v>0</v>
      </c>
      <c r="Q274">
        <v>0</v>
      </c>
      <c r="R274">
        <v>524</v>
      </c>
      <c r="U274" t="s">
        <v>1051</v>
      </c>
      <c r="V274" t="s">
        <v>1422</v>
      </c>
      <c r="W274">
        <v>0</v>
      </c>
      <c r="Y274" t="s">
        <v>1774</v>
      </c>
      <c r="Z274">
        <v>0</v>
      </c>
      <c r="AA274">
        <v>447</v>
      </c>
      <c r="AB274">
        <v>339596</v>
      </c>
      <c r="AC274" t="s">
        <v>2135</v>
      </c>
      <c r="AD274">
        <v>44.03</v>
      </c>
      <c r="AE274" t="s">
        <v>2506</v>
      </c>
      <c r="AF274" t="s">
        <v>2699</v>
      </c>
      <c r="AG274">
        <v>439</v>
      </c>
      <c r="AH274">
        <v>46</v>
      </c>
      <c r="AI274">
        <v>4</v>
      </c>
      <c r="AK274" t="b">
        <v>1</v>
      </c>
    </row>
    <row r="275" spans="1:37">
      <c r="A275" s="1" t="s">
        <v>309</v>
      </c>
      <c r="B275" t="s">
        <v>680</v>
      </c>
      <c r="C275">
        <f>HYPERLINK("https://finance.naver.com/item/coinfo.nhn?code=206640", "A206640")</f>
        <v>0</v>
      </c>
      <c r="D275">
        <f>HYPERLINK("http://comp.fnguide.com/SVO2/ASP/SVD_Consensus.asp?pGB=1&amp;gicode=A206640&amp;cID=&amp;MenuYn=Y&amp;ReportGB=&amp;NewMenuID=108&amp;stkGb=701", "바디텍메드")</f>
        <v>0</v>
      </c>
      <c r="E275">
        <v>2</v>
      </c>
      <c r="F275">
        <v>12700</v>
      </c>
      <c r="G275">
        <v>0</v>
      </c>
      <c r="H275">
        <v>8.890000000000001</v>
      </c>
      <c r="I275">
        <v>23325</v>
      </c>
      <c r="J275">
        <v>14214</v>
      </c>
      <c r="K275">
        <v>11167</v>
      </c>
      <c r="L275">
        <v>-83.66</v>
      </c>
      <c r="M275">
        <v>-11.92</v>
      </c>
      <c r="N275">
        <v>12.07</v>
      </c>
      <c r="O275">
        <v>34.85</v>
      </c>
      <c r="P275" t="b">
        <v>1</v>
      </c>
      <c r="Q275">
        <v>0</v>
      </c>
      <c r="R275">
        <v>1889</v>
      </c>
      <c r="U275" t="s">
        <v>1052</v>
      </c>
      <c r="V275" t="s">
        <v>1423</v>
      </c>
      <c r="W275">
        <v>0</v>
      </c>
      <c r="X275">
        <v>-25.3</v>
      </c>
      <c r="Y275" t="s">
        <v>1775</v>
      </c>
      <c r="Z275">
        <v>0</v>
      </c>
      <c r="AA275">
        <v>2983</v>
      </c>
      <c r="AB275">
        <v>216962</v>
      </c>
      <c r="AC275" t="s">
        <v>2136</v>
      </c>
      <c r="AD275">
        <v>22.59</v>
      </c>
      <c r="AE275" t="s">
        <v>2507</v>
      </c>
      <c r="AF275" t="s">
        <v>2875</v>
      </c>
      <c r="AG275">
        <v>1577</v>
      </c>
      <c r="AH275">
        <v>519</v>
      </c>
      <c r="AI275">
        <v>1022144</v>
      </c>
      <c r="AJ275">
        <v>1.19</v>
      </c>
      <c r="AK275" t="b">
        <v>1</v>
      </c>
    </row>
    <row r="276" spans="1:37">
      <c r="A276" s="1" t="s">
        <v>310</v>
      </c>
      <c r="B276" t="s">
        <v>681</v>
      </c>
      <c r="C276">
        <f>HYPERLINK("https://finance.naver.com/item/coinfo.nhn?code=244920", "A244920")</f>
        <v>0</v>
      </c>
      <c r="D276">
        <f>HYPERLINK("http://comp.fnguide.com/SVO2/ASP/SVD_Consensus.asp?pGB=1&amp;gicode=A244920&amp;cID=&amp;MenuYn=Y&amp;ReportGB=&amp;NewMenuID=108&amp;stkGb=701", "에이플러스에셋")</f>
        <v>0</v>
      </c>
      <c r="E276">
        <v>2</v>
      </c>
      <c r="F276">
        <v>5930</v>
      </c>
      <c r="G276">
        <v>0.31</v>
      </c>
      <c r="H276">
        <v>16.53</v>
      </c>
      <c r="I276">
        <v>8637</v>
      </c>
      <c r="J276">
        <v>6278</v>
      </c>
      <c r="K276">
        <v>5489</v>
      </c>
      <c r="L276">
        <v>-45.66</v>
      </c>
      <c r="M276">
        <v>-5.87</v>
      </c>
      <c r="N276">
        <v>7.43</v>
      </c>
      <c r="O276">
        <v>20</v>
      </c>
      <c r="P276" t="b">
        <v>0</v>
      </c>
      <c r="Q276">
        <v>1</v>
      </c>
      <c r="R276">
        <v>535</v>
      </c>
      <c r="S276">
        <v>2167</v>
      </c>
      <c r="T276">
        <v>305</v>
      </c>
      <c r="U276" t="s">
        <v>1053</v>
      </c>
      <c r="V276" t="s">
        <v>1424</v>
      </c>
      <c r="W276">
        <v>52.62746737615389</v>
      </c>
      <c r="X276">
        <v>-46.7</v>
      </c>
      <c r="Y276" t="s">
        <v>1776</v>
      </c>
      <c r="Z276">
        <v>-9.667935843443576</v>
      </c>
      <c r="AA276">
        <v>1341</v>
      </c>
      <c r="AB276">
        <v>20568</v>
      </c>
      <c r="AC276" t="s">
        <v>2137</v>
      </c>
      <c r="AD276">
        <v>34.69</v>
      </c>
      <c r="AE276" t="s">
        <v>2508</v>
      </c>
      <c r="AF276" t="s">
        <v>2876</v>
      </c>
      <c r="AG276">
        <v>2580</v>
      </c>
      <c r="AH276">
        <v>57</v>
      </c>
      <c r="AJ276">
        <v>1.69</v>
      </c>
      <c r="AK276" t="b">
        <v>1</v>
      </c>
    </row>
    <row r="277" spans="1:37">
      <c r="A277" s="1" t="s">
        <v>311</v>
      </c>
      <c r="B277" t="s">
        <v>682</v>
      </c>
      <c r="C277">
        <f>HYPERLINK("https://finance.naver.com/item/coinfo.nhn?code=092730", "A092730")</f>
        <v>0</v>
      </c>
      <c r="D277">
        <f>HYPERLINK("http://comp.fnguide.com/SVO2/ASP/SVD_Consensus.asp?pGB=1&amp;gicode=A092730&amp;cID=&amp;MenuYn=Y&amp;ReportGB=&amp;NewMenuID=108&amp;stkGb=701", "네오팜")</f>
        <v>0</v>
      </c>
      <c r="E277">
        <v>2</v>
      </c>
      <c r="F277">
        <v>20650</v>
      </c>
      <c r="G277">
        <v>0</v>
      </c>
      <c r="H277">
        <v>11.49</v>
      </c>
      <c r="I277">
        <v>27252</v>
      </c>
      <c r="J277">
        <v>21439</v>
      </c>
      <c r="K277">
        <v>19495</v>
      </c>
      <c r="L277">
        <v>-31.97</v>
      </c>
      <c r="M277">
        <v>-3.82</v>
      </c>
      <c r="N277">
        <v>5.59</v>
      </c>
      <c r="O277">
        <v>16.44</v>
      </c>
      <c r="P277" t="b">
        <v>1</v>
      </c>
      <c r="Q277">
        <v>0</v>
      </c>
      <c r="R277">
        <v>2158</v>
      </c>
      <c r="U277" t="s">
        <v>1054</v>
      </c>
      <c r="V277" t="s">
        <v>1425</v>
      </c>
      <c r="W277">
        <v>0</v>
      </c>
      <c r="X277">
        <v>-14.1</v>
      </c>
      <c r="Y277" t="s">
        <v>1777</v>
      </c>
      <c r="Z277">
        <v>3.66779320194881</v>
      </c>
      <c r="AA277">
        <v>1695</v>
      </c>
      <c r="AB277">
        <v>8906</v>
      </c>
      <c r="AC277" t="s">
        <v>2138</v>
      </c>
      <c r="AD277">
        <v>38.94</v>
      </c>
      <c r="AE277" t="s">
        <v>2509</v>
      </c>
      <c r="AF277" t="s">
        <v>2877</v>
      </c>
      <c r="AG277">
        <v>879</v>
      </c>
      <c r="AH277">
        <v>224</v>
      </c>
      <c r="AI277">
        <v>386733</v>
      </c>
      <c r="AJ277">
        <v>2.82</v>
      </c>
      <c r="AK277" t="b">
        <v>1</v>
      </c>
    </row>
    <row r="278" spans="1:37">
      <c r="A278" s="1" t="s">
        <v>312</v>
      </c>
      <c r="B278" t="s">
        <v>683</v>
      </c>
      <c r="C278">
        <f>HYPERLINK("https://finance.naver.com/item/coinfo.nhn?code=033290", "A033290")</f>
        <v>0</v>
      </c>
      <c r="D278">
        <f>HYPERLINK("http://comp.fnguide.com/SVO2/ASP/SVD_Consensus.asp?pGB=1&amp;gicode=A033290&amp;cID=&amp;MenuYn=Y&amp;ReportGB=&amp;NewMenuID=108&amp;stkGb=701", "코웰패션")</f>
        <v>0</v>
      </c>
      <c r="E278">
        <v>2</v>
      </c>
      <c r="F278">
        <v>6740</v>
      </c>
      <c r="G278">
        <v>0</v>
      </c>
      <c r="H278">
        <v>11.76</v>
      </c>
      <c r="I278">
        <v>10326</v>
      </c>
      <c r="J278">
        <v>7470</v>
      </c>
      <c r="K278">
        <v>6515</v>
      </c>
      <c r="L278">
        <v>-53.21</v>
      </c>
      <c r="M278">
        <v>-10.83</v>
      </c>
      <c r="N278">
        <v>3.34</v>
      </c>
      <c r="O278">
        <v>20.26</v>
      </c>
      <c r="P278" t="b">
        <v>1</v>
      </c>
      <c r="Q278">
        <v>0</v>
      </c>
      <c r="R278">
        <v>719</v>
      </c>
      <c r="U278" t="s">
        <v>1055</v>
      </c>
      <c r="V278" t="s">
        <v>1426</v>
      </c>
      <c r="W278">
        <v>0</v>
      </c>
      <c r="X278">
        <v>7.9</v>
      </c>
      <c r="Y278" t="s">
        <v>1778</v>
      </c>
      <c r="Z278">
        <v>9.912718045087088</v>
      </c>
      <c r="AA278">
        <v>5965</v>
      </c>
      <c r="AB278">
        <v>245771</v>
      </c>
      <c r="AC278" t="s">
        <v>2139</v>
      </c>
      <c r="AD278">
        <v>70.98</v>
      </c>
      <c r="AE278" t="s">
        <v>2510</v>
      </c>
      <c r="AF278" t="s">
        <v>2878</v>
      </c>
      <c r="AG278">
        <v>6740</v>
      </c>
      <c r="AH278">
        <v>924</v>
      </c>
      <c r="AI278">
        <v>2955031</v>
      </c>
      <c r="AJ278">
        <v>1.54</v>
      </c>
      <c r="AK278" t="b">
        <v>1</v>
      </c>
    </row>
    <row r="279" spans="1:37">
      <c r="A279" s="1" t="s">
        <v>313</v>
      </c>
      <c r="B279" t="s">
        <v>684</v>
      </c>
      <c r="C279">
        <f>HYPERLINK("https://finance.naver.com/item/coinfo.nhn?code=000660", "A000660")</f>
        <v>0</v>
      </c>
      <c r="D279">
        <f>HYPERLINK("http://comp.fnguide.com/SVO2/ASP/SVD_Consensus.asp?pGB=1&amp;gicode=A000660&amp;cID=&amp;MenuYn=Y&amp;ReportGB=&amp;NewMenuID=108&amp;stkGb=701", "SK하이닉스")</f>
        <v>0</v>
      </c>
      <c r="E279">
        <v>2</v>
      </c>
      <c r="F279">
        <v>97900</v>
      </c>
      <c r="G279">
        <v>0.15</v>
      </c>
      <c r="H279">
        <v>9.93</v>
      </c>
      <c r="I279">
        <v>110642</v>
      </c>
      <c r="J279">
        <v>99526</v>
      </c>
      <c r="K279">
        <v>95809</v>
      </c>
      <c r="L279">
        <v>-13.02</v>
      </c>
      <c r="M279">
        <v>-1.66</v>
      </c>
      <c r="N279">
        <v>2.14</v>
      </c>
      <c r="O279">
        <v>12.3</v>
      </c>
      <c r="P279" t="b">
        <v>1</v>
      </c>
      <c r="Q279">
        <v>0</v>
      </c>
      <c r="R279">
        <v>13190</v>
      </c>
      <c r="S279">
        <v>12735</v>
      </c>
      <c r="T279">
        <v>-3.4</v>
      </c>
      <c r="U279" t="s">
        <v>1056</v>
      </c>
      <c r="V279" t="s">
        <v>1427</v>
      </c>
      <c r="W279">
        <v>66.60255846310224</v>
      </c>
      <c r="X279">
        <v>99.8</v>
      </c>
      <c r="Y279" t="s">
        <v>1779</v>
      </c>
      <c r="Z279">
        <v>12.4918825056844</v>
      </c>
      <c r="AA279">
        <v>712714</v>
      </c>
      <c r="AB279">
        <v>3899079</v>
      </c>
      <c r="AC279" t="s">
        <v>2140</v>
      </c>
      <c r="AD279">
        <v>20.07</v>
      </c>
      <c r="AE279" t="s">
        <v>2511</v>
      </c>
      <c r="AF279" t="s">
        <v>2879</v>
      </c>
      <c r="AG279">
        <v>429978</v>
      </c>
      <c r="AH279">
        <v>124103</v>
      </c>
      <c r="AI279">
        <v>40351325</v>
      </c>
      <c r="AJ279">
        <v>1.18</v>
      </c>
      <c r="AK279" t="b">
        <v>1</v>
      </c>
    </row>
    <row r="280" spans="1:37">
      <c r="A280" s="1" t="s">
        <v>314</v>
      </c>
      <c r="B280" t="s">
        <v>685</v>
      </c>
      <c r="C280">
        <f>HYPERLINK("https://finance.naver.com/item/coinfo.nhn?code=119860", "A119860")</f>
        <v>0</v>
      </c>
      <c r="D280">
        <f>HYPERLINK("http://comp.fnguide.com/SVO2/ASP/SVD_Consensus.asp?pGB=1&amp;gicode=A119860&amp;cID=&amp;MenuYn=Y&amp;ReportGB=&amp;NewMenuID=108&amp;stkGb=701", "다나와")</f>
        <v>0</v>
      </c>
      <c r="E280">
        <v>2</v>
      </c>
      <c r="F280">
        <v>18400</v>
      </c>
      <c r="G280">
        <v>0.87</v>
      </c>
      <c r="H280">
        <v>11.85</v>
      </c>
      <c r="I280">
        <v>26867</v>
      </c>
      <c r="J280">
        <v>18816</v>
      </c>
      <c r="K280">
        <v>16124</v>
      </c>
      <c r="L280">
        <v>-46.01</v>
      </c>
      <c r="M280">
        <v>-2.26</v>
      </c>
      <c r="N280">
        <v>12.37</v>
      </c>
      <c r="O280">
        <v>22.13</v>
      </c>
      <c r="P280" t="b">
        <v>1</v>
      </c>
      <c r="Q280">
        <v>1</v>
      </c>
      <c r="R280">
        <v>2216</v>
      </c>
      <c r="S280">
        <v>2639</v>
      </c>
      <c r="T280">
        <v>19.1</v>
      </c>
      <c r="U280" t="s">
        <v>1057</v>
      </c>
      <c r="V280" t="s">
        <v>1428</v>
      </c>
      <c r="W280">
        <v>13.55207179394611</v>
      </c>
      <c r="X280">
        <v>62.9</v>
      </c>
      <c r="Y280" t="s">
        <v>1780</v>
      </c>
      <c r="Z280">
        <v>28.39888269457864</v>
      </c>
      <c r="AA280">
        <v>2406</v>
      </c>
      <c r="AB280">
        <v>24604</v>
      </c>
      <c r="AC280" t="s">
        <v>2141</v>
      </c>
      <c r="AD280">
        <v>51.35</v>
      </c>
      <c r="AE280" t="s">
        <v>2512</v>
      </c>
      <c r="AF280" t="s">
        <v>2880</v>
      </c>
      <c r="AG280">
        <v>1910</v>
      </c>
      <c r="AH280">
        <v>349</v>
      </c>
      <c r="AI280">
        <v>115000</v>
      </c>
      <c r="AK280" t="b">
        <v>1</v>
      </c>
    </row>
    <row r="281" spans="1:37">
      <c r="A281" s="1" t="s">
        <v>315</v>
      </c>
      <c r="B281" t="s">
        <v>686</v>
      </c>
      <c r="C281">
        <f>HYPERLINK("https://finance.naver.com/item/coinfo.nhn?code=330730", "A330730")</f>
        <v>0</v>
      </c>
      <c r="D281">
        <f>HYPERLINK("http://comp.fnguide.com/SVO2/ASP/SVD_Consensus.asp?pGB=1&amp;gicode=A330730&amp;cID=&amp;MenuYn=Y&amp;ReportGB=&amp;NewMenuID=108&amp;stkGb=701", "스톤브릿지벤처스")</f>
        <v>0</v>
      </c>
      <c r="E281">
        <v>2</v>
      </c>
      <c r="F281">
        <v>6190</v>
      </c>
      <c r="G281">
        <v>0</v>
      </c>
      <c r="I281">
        <v>13394</v>
      </c>
      <c r="J281">
        <v>7991</v>
      </c>
      <c r="K281">
        <v>6185</v>
      </c>
      <c r="L281">
        <v>-116.38</v>
      </c>
      <c r="M281">
        <v>-29.1</v>
      </c>
      <c r="N281">
        <v>0.09</v>
      </c>
      <c r="O281">
        <v>37.91</v>
      </c>
      <c r="P281" t="b">
        <v>0</v>
      </c>
      <c r="Q281">
        <v>0</v>
      </c>
      <c r="R281">
        <v>1513</v>
      </c>
      <c r="U281" t="s">
        <v>1058</v>
      </c>
      <c r="V281" t="s">
        <v>1429</v>
      </c>
      <c r="W281">
        <v>0</v>
      </c>
      <c r="Y281" t="s">
        <v>1536</v>
      </c>
      <c r="Z281">
        <v>-20.98669610735467</v>
      </c>
      <c r="AA281">
        <v>1114</v>
      </c>
      <c r="AB281">
        <v>241426</v>
      </c>
      <c r="AC281" t="s">
        <v>2142</v>
      </c>
      <c r="AD281">
        <v>67.7</v>
      </c>
      <c r="AE281" t="s">
        <v>2513</v>
      </c>
      <c r="AF281" t="s">
        <v>2699</v>
      </c>
      <c r="AG281">
        <v>424</v>
      </c>
      <c r="AH281">
        <v>275</v>
      </c>
      <c r="AK281" t="b">
        <v>1</v>
      </c>
    </row>
    <row r="282" spans="1:37">
      <c r="A282" s="1" t="s">
        <v>316</v>
      </c>
      <c r="B282" t="s">
        <v>687</v>
      </c>
      <c r="C282">
        <f>HYPERLINK("https://finance.naver.com/item/coinfo.nhn?code=052400", "A052400")</f>
        <v>0</v>
      </c>
      <c r="D282">
        <f>HYPERLINK("http://comp.fnguide.com/SVO2/ASP/SVD_Consensus.asp?pGB=1&amp;gicode=A052400&amp;cID=&amp;MenuYn=Y&amp;ReportGB=&amp;NewMenuID=108&amp;stkGb=701", "코나아이")</f>
        <v>0</v>
      </c>
      <c r="E282">
        <v>2</v>
      </c>
      <c r="F282">
        <v>17200</v>
      </c>
      <c r="G282">
        <v>0</v>
      </c>
      <c r="H282">
        <v>9.58</v>
      </c>
      <c r="I282">
        <v>29495</v>
      </c>
      <c r="J282">
        <v>18757</v>
      </c>
      <c r="K282">
        <v>15166</v>
      </c>
      <c r="L282">
        <v>-71.48</v>
      </c>
      <c r="M282">
        <v>-9.050000000000001</v>
      </c>
      <c r="N282">
        <v>11.83</v>
      </c>
      <c r="O282">
        <v>29.85</v>
      </c>
      <c r="P282" t="b">
        <v>1</v>
      </c>
      <c r="Q282">
        <v>0</v>
      </c>
      <c r="R282">
        <v>3378</v>
      </c>
      <c r="U282" t="s">
        <v>1059</v>
      </c>
      <c r="V282" t="s">
        <v>1430</v>
      </c>
      <c r="W282">
        <v>0</v>
      </c>
      <c r="X282">
        <v>18.6</v>
      </c>
      <c r="Y282" t="s">
        <v>1781</v>
      </c>
      <c r="Z282">
        <v>0</v>
      </c>
      <c r="AA282">
        <v>2676</v>
      </c>
      <c r="AB282">
        <v>42244</v>
      </c>
      <c r="AC282" t="s">
        <v>2143</v>
      </c>
      <c r="AD282">
        <v>29.72</v>
      </c>
      <c r="AE282" t="s">
        <v>2514</v>
      </c>
      <c r="AF282" t="s">
        <v>2881</v>
      </c>
      <c r="AG282">
        <v>1945</v>
      </c>
      <c r="AH282">
        <v>482</v>
      </c>
      <c r="AI282">
        <v>1965498</v>
      </c>
      <c r="AK282" t="b">
        <v>1</v>
      </c>
    </row>
    <row r="283" spans="1:37">
      <c r="A283" s="1" t="s">
        <v>317</v>
      </c>
      <c r="B283" t="s">
        <v>688</v>
      </c>
      <c r="C283">
        <f>HYPERLINK("https://finance.naver.com/item/coinfo.nhn?code=123570", "A123570")</f>
        <v>0</v>
      </c>
      <c r="D283">
        <f>HYPERLINK("http://comp.fnguide.com/SVO2/ASP/SVD_Consensus.asp?pGB=1&amp;gicode=A123570&amp;cID=&amp;MenuYn=Y&amp;ReportGB=&amp;NewMenuID=108&amp;stkGb=701", "이엠넷")</f>
        <v>0</v>
      </c>
      <c r="E283">
        <v>2</v>
      </c>
      <c r="F283">
        <v>6140</v>
      </c>
      <c r="G283">
        <v>0</v>
      </c>
      <c r="H283">
        <v>5.88</v>
      </c>
      <c r="I283">
        <v>9331</v>
      </c>
      <c r="J283">
        <v>6437</v>
      </c>
      <c r="K283">
        <v>5469</v>
      </c>
      <c r="L283">
        <v>-51.96</v>
      </c>
      <c r="M283">
        <v>-4.84</v>
      </c>
      <c r="N283">
        <v>10.92</v>
      </c>
      <c r="O283">
        <v>23.1</v>
      </c>
      <c r="P283" t="b">
        <v>1</v>
      </c>
      <c r="Q283">
        <v>0</v>
      </c>
      <c r="R283">
        <v>1157</v>
      </c>
      <c r="U283" t="s">
        <v>1060</v>
      </c>
      <c r="V283" t="s">
        <v>1431</v>
      </c>
      <c r="W283">
        <v>0</v>
      </c>
      <c r="X283">
        <v>-34</v>
      </c>
      <c r="Y283" t="s">
        <v>1782</v>
      </c>
      <c r="Z283">
        <v>34.59490407159586</v>
      </c>
      <c r="AA283">
        <v>1368</v>
      </c>
      <c r="AB283">
        <v>34171</v>
      </c>
      <c r="AC283" t="s">
        <v>2144</v>
      </c>
      <c r="AD283">
        <v>41.37</v>
      </c>
      <c r="AE283" t="s">
        <v>2515</v>
      </c>
      <c r="AF283" t="s">
        <v>2882</v>
      </c>
      <c r="AG283">
        <v>352</v>
      </c>
      <c r="AH283">
        <v>99</v>
      </c>
      <c r="AI283">
        <v>422559</v>
      </c>
      <c r="AJ283">
        <v>2.94</v>
      </c>
      <c r="AK283" t="b">
        <v>1</v>
      </c>
    </row>
    <row r="284" spans="1:37">
      <c r="A284" s="1" t="s">
        <v>318</v>
      </c>
      <c r="B284" t="s">
        <v>689</v>
      </c>
      <c r="C284">
        <f>HYPERLINK("https://finance.naver.com/item/coinfo.nhn?code=382800", "A382800")</f>
        <v>0</v>
      </c>
      <c r="D284">
        <f>HYPERLINK("http://comp.fnguide.com/SVO2/ASP/SVD_Consensus.asp?pGB=1&amp;gicode=A382800&amp;cID=&amp;MenuYn=Y&amp;ReportGB=&amp;NewMenuID=108&amp;stkGb=701", "지앤비에스엔지니어링")</f>
        <v>0</v>
      </c>
      <c r="E284">
        <v>2</v>
      </c>
      <c r="F284">
        <v>12500</v>
      </c>
      <c r="G284">
        <v>0</v>
      </c>
      <c r="H284">
        <v>11.6</v>
      </c>
      <c r="I284">
        <v>18798</v>
      </c>
      <c r="J284">
        <v>12829</v>
      </c>
      <c r="K284">
        <v>10832</v>
      </c>
      <c r="L284">
        <v>-50.39</v>
      </c>
      <c r="M284">
        <v>-2.63</v>
      </c>
      <c r="N284">
        <v>13.34</v>
      </c>
      <c r="O284">
        <v>23.85</v>
      </c>
      <c r="P284" t="b">
        <v>1</v>
      </c>
      <c r="Q284">
        <v>0</v>
      </c>
      <c r="R284">
        <v>1729</v>
      </c>
      <c r="U284" t="s">
        <v>1061</v>
      </c>
      <c r="V284" t="s">
        <v>1432</v>
      </c>
      <c r="W284">
        <v>0</v>
      </c>
      <c r="X284">
        <v>-32.8</v>
      </c>
      <c r="Y284" t="s">
        <v>1783</v>
      </c>
      <c r="Z284">
        <v>0</v>
      </c>
      <c r="AA284">
        <v>899</v>
      </c>
      <c r="AB284">
        <v>25221</v>
      </c>
      <c r="AC284" t="s">
        <v>2145</v>
      </c>
      <c r="AD284">
        <v>31.08</v>
      </c>
      <c r="AE284" t="s">
        <v>2516</v>
      </c>
      <c r="AF284" t="s">
        <v>2883</v>
      </c>
      <c r="AG284">
        <v>521</v>
      </c>
      <c r="AH284">
        <v>106</v>
      </c>
      <c r="AI284">
        <v>134652</v>
      </c>
      <c r="AK284" t="b">
        <v>1</v>
      </c>
    </row>
    <row r="285" spans="1:37">
      <c r="A285" s="1" t="s">
        <v>319</v>
      </c>
      <c r="B285" t="s">
        <v>690</v>
      </c>
      <c r="C285">
        <f>HYPERLINK("https://finance.naver.com/item/coinfo.nhn?code=357230", "A357230")</f>
        <v>0</v>
      </c>
      <c r="D285">
        <f>HYPERLINK("http://comp.fnguide.com/SVO2/ASP/SVD_Consensus.asp?pGB=1&amp;gicode=A357230&amp;cID=&amp;MenuYn=Y&amp;ReportGB=&amp;NewMenuID=108&amp;stkGb=701", "에이치피오")</f>
        <v>0</v>
      </c>
      <c r="E285">
        <v>2</v>
      </c>
      <c r="F285">
        <v>10900</v>
      </c>
      <c r="G285">
        <v>0</v>
      </c>
      <c r="H285">
        <v>15.61</v>
      </c>
      <c r="I285">
        <v>17296</v>
      </c>
      <c r="J285">
        <v>11750</v>
      </c>
      <c r="K285">
        <v>9895</v>
      </c>
      <c r="L285">
        <v>-58.68</v>
      </c>
      <c r="M285">
        <v>-7.79</v>
      </c>
      <c r="N285">
        <v>9.220000000000001</v>
      </c>
      <c r="O285">
        <v>24.17</v>
      </c>
      <c r="P285" t="b">
        <v>1</v>
      </c>
      <c r="Q285">
        <v>0</v>
      </c>
      <c r="R285">
        <v>871</v>
      </c>
      <c r="U285" t="s">
        <v>1062</v>
      </c>
      <c r="V285" t="s">
        <v>1433</v>
      </c>
      <c r="W285">
        <v>0</v>
      </c>
      <c r="X285">
        <v>-45.6</v>
      </c>
      <c r="Y285" t="s">
        <v>1784</v>
      </c>
      <c r="Z285">
        <v>17.45295627702714</v>
      </c>
      <c r="AA285">
        <v>2173</v>
      </c>
      <c r="AB285">
        <v>30499</v>
      </c>
      <c r="AC285" t="s">
        <v>2146</v>
      </c>
      <c r="AD285">
        <v>70.19</v>
      </c>
      <c r="AE285" t="s">
        <v>2517</v>
      </c>
      <c r="AF285" t="s">
        <v>2884</v>
      </c>
      <c r="AG285">
        <v>1594</v>
      </c>
      <c r="AH285">
        <v>228</v>
      </c>
      <c r="AI285">
        <v>525349</v>
      </c>
      <c r="AJ285">
        <v>2.21</v>
      </c>
      <c r="AK285" t="b">
        <v>1</v>
      </c>
    </row>
    <row r="286" spans="1:37">
      <c r="A286" s="1" t="s">
        <v>320</v>
      </c>
      <c r="B286" t="s">
        <v>691</v>
      </c>
      <c r="C286">
        <f>HYPERLINK("https://finance.naver.com/item/coinfo.nhn?code=100030", "A100030")</f>
        <v>0</v>
      </c>
      <c r="D286">
        <f>HYPERLINK("http://comp.fnguide.com/SVO2/ASP/SVD_Consensus.asp?pGB=1&amp;gicode=A100030&amp;cID=&amp;MenuYn=Y&amp;ReportGB=&amp;NewMenuID=108&amp;stkGb=701", "모바일리더")</f>
        <v>0</v>
      </c>
      <c r="E286">
        <v>2</v>
      </c>
      <c r="F286">
        <v>20750</v>
      </c>
      <c r="G286">
        <v>0</v>
      </c>
      <c r="H286">
        <v>6.89</v>
      </c>
      <c r="I286">
        <v>27659</v>
      </c>
      <c r="J286">
        <v>21654</v>
      </c>
      <c r="K286">
        <v>19645</v>
      </c>
      <c r="L286">
        <v>-33.29</v>
      </c>
      <c r="M286">
        <v>-4.35</v>
      </c>
      <c r="N286">
        <v>5.32</v>
      </c>
      <c r="O286">
        <v>16.63</v>
      </c>
      <c r="P286" t="b">
        <v>1</v>
      </c>
      <c r="Q286">
        <v>0</v>
      </c>
      <c r="R286">
        <v>2890</v>
      </c>
      <c r="U286" t="s">
        <v>1063</v>
      </c>
      <c r="V286" t="s">
        <v>1434</v>
      </c>
      <c r="W286">
        <v>0</v>
      </c>
      <c r="Y286" t="s">
        <v>1785</v>
      </c>
      <c r="Z286">
        <v>0</v>
      </c>
      <c r="AA286">
        <v>681</v>
      </c>
      <c r="AB286">
        <v>13121</v>
      </c>
      <c r="AC286" t="s">
        <v>2147</v>
      </c>
      <c r="AD286">
        <v>34.66</v>
      </c>
      <c r="AE286" t="s">
        <v>2518</v>
      </c>
      <c r="AF286" t="s">
        <v>2885</v>
      </c>
      <c r="AG286">
        <v>211</v>
      </c>
      <c r="AH286">
        <v>45</v>
      </c>
      <c r="AI286">
        <v>562132</v>
      </c>
      <c r="AK286" t="b">
        <v>1</v>
      </c>
    </row>
    <row r="287" spans="1:37">
      <c r="A287" s="1" t="s">
        <v>321</v>
      </c>
      <c r="B287" t="s">
        <v>692</v>
      </c>
      <c r="C287">
        <f>HYPERLINK("https://finance.naver.com/item/coinfo.nhn?code=263690", "A263690")</f>
        <v>0</v>
      </c>
      <c r="D287">
        <f>HYPERLINK("http://comp.fnguide.com/SVO2/ASP/SVD_Consensus.asp?pGB=1&amp;gicode=A263690&amp;cID=&amp;MenuYn=Y&amp;ReportGB=&amp;NewMenuID=108&amp;stkGb=701", "디알젬")</f>
        <v>0</v>
      </c>
      <c r="E287">
        <v>2</v>
      </c>
      <c r="F287">
        <v>9420</v>
      </c>
      <c r="G287">
        <v>0</v>
      </c>
      <c r="H287">
        <v>10.83</v>
      </c>
      <c r="I287">
        <v>16364</v>
      </c>
      <c r="J287">
        <v>10422</v>
      </c>
      <c r="K287">
        <v>8434</v>
      </c>
      <c r="L287">
        <v>-73.72</v>
      </c>
      <c r="M287">
        <v>-10.63</v>
      </c>
      <c r="N287">
        <v>10.47</v>
      </c>
      <c r="O287">
        <v>29.7</v>
      </c>
      <c r="P287" t="b">
        <v>1</v>
      </c>
      <c r="Q287">
        <v>0</v>
      </c>
      <c r="R287">
        <v>1108</v>
      </c>
      <c r="U287" t="s">
        <v>1064</v>
      </c>
      <c r="V287" t="s">
        <v>1435</v>
      </c>
      <c r="W287">
        <v>0</v>
      </c>
      <c r="X287">
        <v>44.2</v>
      </c>
      <c r="Y287" t="s">
        <v>1786</v>
      </c>
      <c r="Z287">
        <v>31.10713562523319</v>
      </c>
      <c r="AA287">
        <v>1067</v>
      </c>
      <c r="AB287">
        <v>2829</v>
      </c>
      <c r="AC287" t="s">
        <v>2148</v>
      </c>
      <c r="AD287">
        <v>41.04</v>
      </c>
      <c r="AE287" t="s">
        <v>2519</v>
      </c>
      <c r="AF287" t="s">
        <v>2886</v>
      </c>
      <c r="AG287">
        <v>858</v>
      </c>
      <c r="AH287">
        <v>124</v>
      </c>
      <c r="AI287">
        <v>309029</v>
      </c>
      <c r="AJ287">
        <v>1.17</v>
      </c>
      <c r="AK287" t="b">
        <v>1</v>
      </c>
    </row>
    <row r="288" spans="1:37">
      <c r="A288" s="1" t="s">
        <v>322</v>
      </c>
      <c r="B288" t="s">
        <v>693</v>
      </c>
      <c r="C288">
        <f>HYPERLINK("https://finance.naver.com/item/coinfo.nhn?code=241520", "A241520")</f>
        <v>0</v>
      </c>
      <c r="D288">
        <f>HYPERLINK("http://comp.fnguide.com/SVO2/ASP/SVD_Consensus.asp?pGB=1&amp;gicode=A241520&amp;cID=&amp;MenuYn=Y&amp;ReportGB=&amp;NewMenuID=108&amp;stkGb=701", "DSC인베스트먼트")</f>
        <v>0</v>
      </c>
      <c r="E288">
        <v>2</v>
      </c>
      <c r="F288">
        <v>4745</v>
      </c>
      <c r="G288">
        <v>0</v>
      </c>
      <c r="H288">
        <v>10.37</v>
      </c>
      <c r="I288">
        <v>9104</v>
      </c>
      <c r="J288">
        <v>5623</v>
      </c>
      <c r="K288">
        <v>4459</v>
      </c>
      <c r="L288">
        <v>-91.86</v>
      </c>
      <c r="M288">
        <v>-18.51</v>
      </c>
      <c r="N288">
        <v>6.03</v>
      </c>
      <c r="O288">
        <v>33.12</v>
      </c>
      <c r="P288" t="b">
        <v>0</v>
      </c>
      <c r="Q288">
        <v>0</v>
      </c>
      <c r="R288">
        <v>575</v>
      </c>
      <c r="U288" t="s">
        <v>1065</v>
      </c>
      <c r="V288" t="s">
        <v>1436</v>
      </c>
      <c r="W288">
        <v>0</v>
      </c>
      <c r="Y288" t="s">
        <v>1536</v>
      </c>
      <c r="Z288">
        <v>58.66708107963348</v>
      </c>
      <c r="AA288">
        <v>1320</v>
      </c>
      <c r="AB288">
        <v>387663</v>
      </c>
      <c r="AC288" t="s">
        <v>2149</v>
      </c>
      <c r="AD288">
        <v>24.67</v>
      </c>
      <c r="AE288" t="s">
        <v>2520</v>
      </c>
      <c r="AF288" t="s">
        <v>2887</v>
      </c>
      <c r="AG288">
        <v>309</v>
      </c>
      <c r="AH288">
        <v>166</v>
      </c>
      <c r="AI288">
        <v>262172</v>
      </c>
      <c r="AK288" t="b">
        <v>1</v>
      </c>
    </row>
    <row r="289" spans="1:38">
      <c r="A289" s="1" t="s">
        <v>323</v>
      </c>
      <c r="B289" t="s">
        <v>694</v>
      </c>
      <c r="C289">
        <f>HYPERLINK("https://finance.naver.com/item/coinfo.nhn?code=038290", "A038290")</f>
        <v>0</v>
      </c>
      <c r="D289">
        <f>HYPERLINK("http://comp.fnguide.com/SVO2/ASP/SVD_Consensus.asp?pGB=1&amp;gicode=A038290&amp;cID=&amp;MenuYn=Y&amp;ReportGB=&amp;NewMenuID=108&amp;stkGb=701", "마크로젠")</f>
        <v>0</v>
      </c>
      <c r="E289">
        <v>2</v>
      </c>
      <c r="F289">
        <v>26150</v>
      </c>
      <c r="G289">
        <v>0</v>
      </c>
      <c r="H289">
        <v>287.65</v>
      </c>
      <c r="I289">
        <v>37891</v>
      </c>
      <c r="J289">
        <v>27987</v>
      </c>
      <c r="K289">
        <v>24675</v>
      </c>
      <c r="L289">
        <v>-44.9</v>
      </c>
      <c r="M289">
        <v>-7.03</v>
      </c>
      <c r="N289">
        <v>5.64</v>
      </c>
      <c r="O289">
        <v>19.19</v>
      </c>
      <c r="P289" t="b">
        <v>0</v>
      </c>
      <c r="Q289">
        <v>1</v>
      </c>
      <c r="R289">
        <v>103</v>
      </c>
      <c r="S289">
        <v>1199</v>
      </c>
      <c r="T289">
        <v>1064.1</v>
      </c>
      <c r="U289" t="s">
        <v>1066</v>
      </c>
      <c r="V289" t="s">
        <v>1437</v>
      </c>
      <c r="W289">
        <v>0</v>
      </c>
      <c r="Y289" t="s">
        <v>1787</v>
      </c>
      <c r="Z289">
        <v>0</v>
      </c>
      <c r="AA289">
        <v>2835</v>
      </c>
      <c r="AB289">
        <v>8399</v>
      </c>
      <c r="AC289" t="s">
        <v>2150</v>
      </c>
      <c r="AD289">
        <v>11.33</v>
      </c>
      <c r="AE289" t="s">
        <v>2521</v>
      </c>
      <c r="AF289" t="s">
        <v>2888</v>
      </c>
      <c r="AG289">
        <v>1292</v>
      </c>
      <c r="AH289">
        <v>118</v>
      </c>
      <c r="AI289">
        <v>734246</v>
      </c>
      <c r="AJ289">
        <v>1.02</v>
      </c>
      <c r="AK289" t="b">
        <v>1</v>
      </c>
    </row>
    <row r="290" spans="1:38">
      <c r="A290" s="1" t="s">
        <v>324</v>
      </c>
      <c r="B290" t="s">
        <v>695</v>
      </c>
      <c r="C290">
        <f>HYPERLINK("https://finance.naver.com/item/coinfo.nhn?code=205470", "A205470")</f>
        <v>0</v>
      </c>
      <c r="D290">
        <f>HYPERLINK("http://comp.fnguide.com/SVO2/ASP/SVD_Consensus.asp?pGB=1&amp;gicode=A205470&amp;cID=&amp;MenuYn=Y&amp;ReportGB=&amp;NewMenuID=108&amp;stkGb=701", "휴마시스")</f>
        <v>0</v>
      </c>
      <c r="E290">
        <v>2</v>
      </c>
      <c r="F290">
        <v>19000</v>
      </c>
      <c r="G290">
        <v>0</v>
      </c>
      <c r="H290">
        <v>3.78</v>
      </c>
      <c r="I290">
        <v>51547</v>
      </c>
      <c r="J290">
        <v>26716</v>
      </c>
      <c r="K290">
        <v>18411</v>
      </c>
      <c r="L290">
        <v>-171.3</v>
      </c>
      <c r="M290">
        <v>-40.61</v>
      </c>
      <c r="N290">
        <v>3.1</v>
      </c>
      <c r="O290">
        <v>82.15000000000001</v>
      </c>
      <c r="P290" t="b">
        <v>1</v>
      </c>
      <c r="Q290">
        <v>0</v>
      </c>
      <c r="R290">
        <v>4418</v>
      </c>
      <c r="U290" t="s">
        <v>1067</v>
      </c>
      <c r="V290" t="s">
        <v>1438</v>
      </c>
      <c r="W290">
        <v>0</v>
      </c>
      <c r="X290">
        <v>1488</v>
      </c>
      <c r="Y290" t="s">
        <v>1788</v>
      </c>
      <c r="Z290">
        <v>0</v>
      </c>
      <c r="AA290">
        <v>6503</v>
      </c>
      <c r="AB290">
        <v>3672549</v>
      </c>
      <c r="AC290" t="s">
        <v>2151</v>
      </c>
      <c r="AD290">
        <v>8.48</v>
      </c>
      <c r="AE290" t="s">
        <v>2522</v>
      </c>
      <c r="AF290" t="s">
        <v>2889</v>
      </c>
      <c r="AG290">
        <v>3218</v>
      </c>
      <c r="AH290">
        <v>1936</v>
      </c>
      <c r="AI290">
        <v>2192323</v>
      </c>
      <c r="AJ290">
        <v>1.2</v>
      </c>
      <c r="AK290" t="b">
        <v>1</v>
      </c>
    </row>
    <row r="291" spans="1:38">
      <c r="A291" s="1" t="s">
        <v>325</v>
      </c>
      <c r="B291" t="s">
        <v>696</v>
      </c>
      <c r="C291">
        <f>HYPERLINK("https://finance.naver.com/item/coinfo.nhn?code=265520", "A265520")</f>
        <v>0</v>
      </c>
      <c r="D291">
        <f>HYPERLINK("http://comp.fnguide.com/SVO2/ASP/SVD_Consensus.asp?pGB=1&amp;gicode=A265520&amp;cID=&amp;MenuYn=Y&amp;ReportGB=&amp;NewMenuID=108&amp;stkGb=701", "AP시스템")</f>
        <v>0</v>
      </c>
      <c r="E291">
        <v>2</v>
      </c>
      <c r="F291">
        <v>18100</v>
      </c>
      <c r="G291">
        <v>0.09</v>
      </c>
      <c r="H291">
        <v>6.74</v>
      </c>
      <c r="I291">
        <v>32076</v>
      </c>
      <c r="J291">
        <v>21447</v>
      </c>
      <c r="K291">
        <v>17892</v>
      </c>
      <c r="L291">
        <v>-77.20999999999999</v>
      </c>
      <c r="M291">
        <v>-18.49</v>
      </c>
      <c r="N291">
        <v>1.15</v>
      </c>
      <c r="O291">
        <v>25.36</v>
      </c>
      <c r="P291" t="b">
        <v>1</v>
      </c>
      <c r="Q291">
        <v>0</v>
      </c>
      <c r="R291">
        <v>3741</v>
      </c>
      <c r="S291">
        <v>3475</v>
      </c>
      <c r="T291">
        <v>-7.1</v>
      </c>
      <c r="U291" t="s">
        <v>1068</v>
      </c>
      <c r="V291" t="s">
        <v>1439</v>
      </c>
      <c r="W291">
        <v>77.82434000425479</v>
      </c>
      <c r="X291">
        <v>-7.5</v>
      </c>
      <c r="Y291" t="s">
        <v>1789</v>
      </c>
      <c r="Z291">
        <v>22.20310294398442</v>
      </c>
      <c r="AA291">
        <v>2766</v>
      </c>
      <c r="AB291">
        <v>55722</v>
      </c>
      <c r="AC291" t="s">
        <v>2152</v>
      </c>
      <c r="AD291">
        <v>25.07</v>
      </c>
      <c r="AE291" t="s">
        <v>2523</v>
      </c>
      <c r="AF291" t="s">
        <v>2890</v>
      </c>
      <c r="AG291">
        <v>5287</v>
      </c>
      <c r="AH291">
        <v>643</v>
      </c>
      <c r="AI291">
        <v>215287</v>
      </c>
      <c r="AJ291">
        <v>0.95</v>
      </c>
      <c r="AK291" t="b">
        <v>1</v>
      </c>
    </row>
    <row r="292" spans="1:38">
      <c r="A292" s="1" t="s">
        <v>326</v>
      </c>
      <c r="B292" t="s">
        <v>697</v>
      </c>
      <c r="C292">
        <f>HYPERLINK("https://finance.naver.com/item/coinfo.nhn?code=126700", "A126700")</f>
        <v>0</v>
      </c>
      <c r="D292">
        <f>HYPERLINK("http://comp.fnguide.com/SVO2/ASP/SVD_Consensus.asp?pGB=1&amp;gicode=A126700&amp;cID=&amp;MenuYn=Y&amp;ReportGB=&amp;NewMenuID=108&amp;stkGb=701", "하이비젼시스템")</f>
        <v>0</v>
      </c>
      <c r="E292">
        <v>2</v>
      </c>
      <c r="F292">
        <v>16950</v>
      </c>
      <c r="G292">
        <v>0</v>
      </c>
      <c r="H292">
        <v>8.220000000000001</v>
      </c>
      <c r="I292">
        <v>22944</v>
      </c>
      <c r="J292">
        <v>17479</v>
      </c>
      <c r="K292">
        <v>15651</v>
      </c>
      <c r="L292">
        <v>-35.36</v>
      </c>
      <c r="M292">
        <v>-3.12</v>
      </c>
      <c r="N292">
        <v>7.66</v>
      </c>
      <c r="O292">
        <v>17.75</v>
      </c>
      <c r="P292" t="b">
        <v>1</v>
      </c>
      <c r="Q292">
        <v>0</v>
      </c>
      <c r="R292">
        <v>2896</v>
      </c>
      <c r="U292" t="s">
        <v>1069</v>
      </c>
      <c r="V292" t="s">
        <v>1440</v>
      </c>
      <c r="W292">
        <v>0</v>
      </c>
      <c r="Y292" t="s">
        <v>1790</v>
      </c>
      <c r="Z292">
        <v>0</v>
      </c>
      <c r="AA292">
        <v>2533</v>
      </c>
      <c r="AB292">
        <v>115729</v>
      </c>
      <c r="AC292" t="s">
        <v>2153</v>
      </c>
      <c r="AD292">
        <v>15.69</v>
      </c>
      <c r="AE292" t="s">
        <v>2524</v>
      </c>
      <c r="AF292" t="s">
        <v>2891</v>
      </c>
      <c r="AG292">
        <v>2729</v>
      </c>
      <c r="AH292">
        <v>435</v>
      </c>
      <c r="AI292">
        <v>1105331</v>
      </c>
      <c r="AJ292">
        <v>0.63</v>
      </c>
      <c r="AK292" t="b">
        <v>1</v>
      </c>
    </row>
    <row r="293" spans="1:38">
      <c r="A293" s="1" t="s">
        <v>327</v>
      </c>
      <c r="B293" t="s">
        <v>698</v>
      </c>
      <c r="C293">
        <f>HYPERLINK("https://finance.naver.com/item/coinfo.nhn?code=000990", "A000990")</f>
        <v>0</v>
      </c>
      <c r="D293">
        <f>HYPERLINK("http://comp.fnguide.com/SVO2/ASP/SVD_Consensus.asp?pGB=1&amp;gicode=A000990&amp;cID=&amp;MenuYn=Y&amp;ReportGB=&amp;NewMenuID=108&amp;stkGb=701", "DB하이텍")</f>
        <v>0</v>
      </c>
      <c r="E293">
        <v>2</v>
      </c>
      <c r="F293">
        <v>45000</v>
      </c>
      <c r="G293">
        <v>0.13</v>
      </c>
      <c r="H293">
        <v>10.21</v>
      </c>
      <c r="I293">
        <v>69208</v>
      </c>
      <c r="J293">
        <v>45223</v>
      </c>
      <c r="K293">
        <v>37202</v>
      </c>
      <c r="L293">
        <v>-53.8</v>
      </c>
      <c r="M293">
        <v>-0.5</v>
      </c>
      <c r="N293">
        <v>17.33</v>
      </c>
      <c r="O293">
        <v>27.27</v>
      </c>
      <c r="P293" t="b">
        <v>1</v>
      </c>
      <c r="Q293">
        <v>3</v>
      </c>
      <c r="R293">
        <v>7119</v>
      </c>
      <c r="S293">
        <v>13664</v>
      </c>
      <c r="T293">
        <v>91.90000000000001</v>
      </c>
      <c r="U293" t="s">
        <v>1070</v>
      </c>
      <c r="V293" t="s">
        <v>1441</v>
      </c>
      <c r="W293">
        <v>79.81225050088436</v>
      </c>
      <c r="X293">
        <v>231.9</v>
      </c>
      <c r="Y293" t="s">
        <v>1791</v>
      </c>
      <c r="Z293">
        <v>57.02929265368402</v>
      </c>
      <c r="AA293">
        <v>19979</v>
      </c>
      <c r="AB293">
        <v>859578</v>
      </c>
      <c r="AC293" t="s">
        <v>2154</v>
      </c>
      <c r="AD293">
        <v>17.84</v>
      </c>
      <c r="AE293" t="s">
        <v>2525</v>
      </c>
      <c r="AF293" t="s">
        <v>2892</v>
      </c>
      <c r="AG293">
        <v>12147</v>
      </c>
      <c r="AH293">
        <v>3991</v>
      </c>
      <c r="AI293">
        <v>1039890</v>
      </c>
      <c r="AJ293">
        <v>0.62</v>
      </c>
      <c r="AK293" t="b">
        <v>1</v>
      </c>
    </row>
    <row r="294" spans="1:38">
      <c r="A294" s="1" t="s">
        <v>328</v>
      </c>
      <c r="B294" t="s">
        <v>699</v>
      </c>
      <c r="C294">
        <f>HYPERLINK("https://finance.naver.com/item/coinfo.nhn?code=083450", "A083450")</f>
        <v>0</v>
      </c>
      <c r="D294">
        <f>HYPERLINK("http://comp.fnguide.com/SVO2/ASP/SVD_Consensus.asp?pGB=1&amp;gicode=A083450&amp;cID=&amp;MenuYn=Y&amp;ReportGB=&amp;NewMenuID=108&amp;stkGb=701", "GST")</f>
        <v>0</v>
      </c>
      <c r="E294">
        <v>2</v>
      </c>
      <c r="F294">
        <v>22800</v>
      </c>
      <c r="G294">
        <v>0.28</v>
      </c>
      <c r="H294">
        <v>9.289999999999999</v>
      </c>
      <c r="I294">
        <v>37940</v>
      </c>
      <c r="J294">
        <v>26201</v>
      </c>
      <c r="K294">
        <v>22275</v>
      </c>
      <c r="L294">
        <v>-66.40000000000001</v>
      </c>
      <c r="M294">
        <v>-14.92</v>
      </c>
      <c r="N294">
        <v>2.3</v>
      </c>
      <c r="O294">
        <v>23.04</v>
      </c>
      <c r="P294" t="b">
        <v>1</v>
      </c>
      <c r="Q294">
        <v>2</v>
      </c>
      <c r="R294">
        <v>4051</v>
      </c>
      <c r="S294">
        <v>4577</v>
      </c>
      <c r="T294">
        <v>13</v>
      </c>
      <c r="U294" t="s">
        <v>1071</v>
      </c>
      <c r="V294" t="s">
        <v>1442</v>
      </c>
      <c r="W294">
        <v>33.63358499839597</v>
      </c>
      <c r="X294">
        <v>-5</v>
      </c>
      <c r="Y294" t="s">
        <v>1792</v>
      </c>
      <c r="Z294">
        <v>18.55900569097804</v>
      </c>
      <c r="AA294">
        <v>2124</v>
      </c>
      <c r="AB294">
        <v>67762</v>
      </c>
      <c r="AC294" t="s">
        <v>2155</v>
      </c>
      <c r="AD294">
        <v>23.16</v>
      </c>
      <c r="AE294" t="s">
        <v>2526</v>
      </c>
      <c r="AF294" t="s">
        <v>2893</v>
      </c>
      <c r="AG294">
        <v>3045</v>
      </c>
      <c r="AH294">
        <v>464</v>
      </c>
      <c r="AI294">
        <v>503500</v>
      </c>
      <c r="AJ294">
        <v>0.8</v>
      </c>
      <c r="AK294" t="b">
        <v>1</v>
      </c>
    </row>
    <row r="295" spans="1:38">
      <c r="A295" s="1" t="s">
        <v>329</v>
      </c>
      <c r="B295" t="s">
        <v>700</v>
      </c>
      <c r="C295">
        <f>HYPERLINK("https://finance.naver.com/item/coinfo.nhn?code=014940", "A014940")</f>
        <v>0</v>
      </c>
      <c r="D295">
        <f>HYPERLINK("http://comp.fnguide.com/SVO2/ASP/SVD_Consensus.asp?pGB=1&amp;gicode=A014940&amp;cID=&amp;MenuYn=Y&amp;ReportGB=&amp;NewMenuID=108&amp;stkGb=701", "오리엔탈정공")</f>
        <v>0</v>
      </c>
      <c r="E295">
        <v>2</v>
      </c>
      <c r="F295">
        <v>2870</v>
      </c>
      <c r="G295">
        <v>0</v>
      </c>
      <c r="H295">
        <v>36.74</v>
      </c>
      <c r="I295">
        <v>4496</v>
      </c>
      <c r="J295">
        <v>2935</v>
      </c>
      <c r="K295">
        <v>2412</v>
      </c>
      <c r="L295">
        <v>-56.67</v>
      </c>
      <c r="M295">
        <v>-2.25</v>
      </c>
      <c r="N295">
        <v>15.95</v>
      </c>
      <c r="O295">
        <v>27.37</v>
      </c>
      <c r="P295" t="b">
        <v>1</v>
      </c>
      <c r="Q295">
        <v>0</v>
      </c>
      <c r="R295">
        <v>100</v>
      </c>
      <c r="U295" t="s">
        <v>1072</v>
      </c>
      <c r="V295" t="s">
        <v>1443</v>
      </c>
      <c r="W295">
        <v>0</v>
      </c>
      <c r="X295">
        <v>-42.9</v>
      </c>
      <c r="Y295" t="s">
        <v>1793</v>
      </c>
      <c r="Z295">
        <v>0</v>
      </c>
      <c r="AA295">
        <v>1308</v>
      </c>
      <c r="AB295">
        <v>44266</v>
      </c>
      <c r="AC295" t="s">
        <v>2156</v>
      </c>
      <c r="AD295">
        <v>45.88</v>
      </c>
      <c r="AE295" t="s">
        <v>2527</v>
      </c>
      <c r="AF295" t="s">
        <v>2894</v>
      </c>
      <c r="AG295">
        <v>1159</v>
      </c>
      <c r="AH295">
        <v>67</v>
      </c>
      <c r="AI295">
        <v>26372</v>
      </c>
      <c r="AK295" t="b">
        <v>1</v>
      </c>
    </row>
    <row r="296" spans="1:38">
      <c r="A296" s="1" t="s">
        <v>330</v>
      </c>
      <c r="B296" t="s">
        <v>701</v>
      </c>
      <c r="C296">
        <f>HYPERLINK("https://finance.naver.com/item/coinfo.nhn?code=259960", "A259960")</f>
        <v>0</v>
      </c>
      <c r="D296">
        <f>HYPERLINK("http://comp.fnguide.com/SVO2/ASP/SVD_Consensus.asp?pGB=1&amp;gicode=A259960&amp;cID=&amp;MenuYn=Y&amp;ReportGB=&amp;NewMenuID=108&amp;stkGb=701", "크래프톤")</f>
        <v>0</v>
      </c>
      <c r="E296">
        <v>2</v>
      </c>
      <c r="F296">
        <v>233500</v>
      </c>
      <c r="G296">
        <v>1.63</v>
      </c>
      <c r="H296">
        <v>40.19</v>
      </c>
      <c r="I296">
        <v>450505</v>
      </c>
      <c r="J296">
        <v>257157</v>
      </c>
      <c r="K296">
        <v>192493</v>
      </c>
      <c r="L296">
        <v>-92.94</v>
      </c>
      <c r="M296">
        <v>-10.13</v>
      </c>
      <c r="N296">
        <v>17.56</v>
      </c>
      <c r="O296">
        <v>46.09</v>
      </c>
      <c r="P296" t="b">
        <v>0</v>
      </c>
      <c r="Q296">
        <v>1</v>
      </c>
      <c r="R296">
        <v>11446</v>
      </c>
      <c r="S296">
        <v>13949</v>
      </c>
      <c r="T296">
        <v>21.9</v>
      </c>
      <c r="U296" t="s">
        <v>1073</v>
      </c>
      <c r="V296" t="s">
        <v>1444</v>
      </c>
      <c r="W296">
        <v>24.69864097912109</v>
      </c>
      <c r="X296">
        <v>10.3</v>
      </c>
      <c r="Y296" t="s">
        <v>1794</v>
      </c>
      <c r="Z296">
        <v>0</v>
      </c>
      <c r="AA296">
        <v>114583</v>
      </c>
      <c r="AB296">
        <v>576222</v>
      </c>
      <c r="AC296" t="s">
        <v>2157</v>
      </c>
      <c r="AD296">
        <v>35.46</v>
      </c>
      <c r="AE296" t="s">
        <v>2528</v>
      </c>
      <c r="AF296" t="s">
        <v>2895</v>
      </c>
      <c r="AG296">
        <v>18863</v>
      </c>
      <c r="AH296">
        <v>6396</v>
      </c>
      <c r="AI296">
        <v>2167418</v>
      </c>
      <c r="AK296" t="b">
        <v>1</v>
      </c>
    </row>
    <row r="297" spans="1:38">
      <c r="A297" s="1" t="s">
        <v>331</v>
      </c>
      <c r="B297" t="s">
        <v>702</v>
      </c>
      <c r="C297">
        <f>HYPERLINK("https://finance.naver.com/item/coinfo.nhn?code=036670", "A036670")</f>
        <v>0</v>
      </c>
      <c r="D297">
        <f>HYPERLINK("http://comp.fnguide.com/SVO2/ASP/SVD_Consensus.asp?pGB=1&amp;gicode=A036670&amp;cID=&amp;MenuYn=Y&amp;ReportGB=&amp;NewMenuID=108&amp;stkGb=701", "KCI")</f>
        <v>0</v>
      </c>
      <c r="E297">
        <v>2</v>
      </c>
      <c r="F297">
        <v>9030</v>
      </c>
      <c r="G297">
        <v>0</v>
      </c>
      <c r="H297">
        <v>10.19</v>
      </c>
      <c r="I297">
        <v>11165</v>
      </c>
      <c r="J297">
        <v>9250</v>
      </c>
      <c r="K297">
        <v>8610</v>
      </c>
      <c r="L297">
        <v>-23.64</v>
      </c>
      <c r="M297">
        <v>-2.44</v>
      </c>
      <c r="N297">
        <v>4.65</v>
      </c>
      <c r="O297">
        <v>14.62</v>
      </c>
      <c r="P297" t="b">
        <v>1</v>
      </c>
      <c r="Q297">
        <v>0</v>
      </c>
      <c r="R297">
        <v>901</v>
      </c>
      <c r="U297" t="s">
        <v>1074</v>
      </c>
      <c r="V297" t="s">
        <v>1445</v>
      </c>
      <c r="W297">
        <v>0</v>
      </c>
      <c r="X297">
        <v>206.7</v>
      </c>
      <c r="Y297" t="s">
        <v>1795</v>
      </c>
      <c r="Z297">
        <v>50.95535287558259</v>
      </c>
      <c r="AA297">
        <v>1018</v>
      </c>
      <c r="AB297">
        <v>9417</v>
      </c>
      <c r="AC297" t="s">
        <v>2158</v>
      </c>
      <c r="AD297">
        <v>50.02</v>
      </c>
      <c r="AE297" t="s">
        <v>2529</v>
      </c>
      <c r="AF297" t="s">
        <v>2896</v>
      </c>
      <c r="AG297">
        <v>815</v>
      </c>
      <c r="AH297">
        <v>124</v>
      </c>
      <c r="AI297">
        <v>509800</v>
      </c>
      <c r="AJ297">
        <v>2.18</v>
      </c>
      <c r="AK297" t="b">
        <v>1</v>
      </c>
    </row>
    <row r="298" spans="1:38">
      <c r="A298" s="1" t="s">
        <v>332</v>
      </c>
      <c r="B298" t="s">
        <v>703</v>
      </c>
      <c r="C298">
        <f>HYPERLINK("https://finance.naver.com/item/coinfo.nhn?code=089600", "A089600")</f>
        <v>0</v>
      </c>
      <c r="D298">
        <f>HYPERLINK("http://comp.fnguide.com/SVO2/ASP/SVD_Consensus.asp?pGB=1&amp;gicode=A089600&amp;cID=&amp;MenuYn=Y&amp;ReportGB=&amp;NewMenuID=108&amp;stkGb=701", "나스미디어")</f>
        <v>0</v>
      </c>
      <c r="E298">
        <v>1</v>
      </c>
      <c r="F298">
        <v>24800</v>
      </c>
      <c r="G298">
        <v>1.19</v>
      </c>
      <c r="H298">
        <v>13.26</v>
      </c>
      <c r="I298">
        <v>26828</v>
      </c>
      <c r="J298">
        <v>22060</v>
      </c>
      <c r="K298">
        <v>20466</v>
      </c>
      <c r="L298">
        <v>-8.18</v>
      </c>
      <c r="M298">
        <v>11.05</v>
      </c>
      <c r="N298">
        <v>17.48</v>
      </c>
      <c r="O298">
        <v>14.86</v>
      </c>
      <c r="P298" t="b">
        <v>1</v>
      </c>
      <c r="Q298">
        <v>3</v>
      </c>
      <c r="R298">
        <v>2481</v>
      </c>
      <c r="S298">
        <v>2688</v>
      </c>
      <c r="T298">
        <v>8.300000000000001</v>
      </c>
      <c r="U298" t="s">
        <v>1075</v>
      </c>
      <c r="V298" t="s">
        <v>1446</v>
      </c>
      <c r="W298">
        <v>11.14054269742126</v>
      </c>
      <c r="X298">
        <v>-1.8</v>
      </c>
      <c r="Y298" t="s">
        <v>1796</v>
      </c>
      <c r="Z298">
        <v>0.8796481250032739</v>
      </c>
      <c r="AA298">
        <v>2614</v>
      </c>
      <c r="AB298">
        <v>21414</v>
      </c>
      <c r="AC298" t="s">
        <v>2159</v>
      </c>
      <c r="AD298">
        <v>59.56</v>
      </c>
      <c r="AE298" t="s">
        <v>2530</v>
      </c>
      <c r="AF298" t="s">
        <v>2897</v>
      </c>
      <c r="AG298">
        <v>1242</v>
      </c>
      <c r="AH298">
        <v>329</v>
      </c>
      <c r="AI298">
        <v>254383</v>
      </c>
      <c r="AJ298">
        <v>2.21</v>
      </c>
      <c r="AK298" t="b">
        <v>1</v>
      </c>
    </row>
    <row r="299" spans="1:38">
      <c r="A299" s="1" t="s">
        <v>333</v>
      </c>
      <c r="B299" t="s">
        <v>704</v>
      </c>
      <c r="C299">
        <f>HYPERLINK("https://finance.naver.com/item/coinfo.nhn?code=005950", "A005950")</f>
        <v>0</v>
      </c>
      <c r="D299">
        <f>HYPERLINK("http://comp.fnguide.com/SVO2/ASP/SVD_Consensus.asp?pGB=1&amp;gicode=A005950&amp;cID=&amp;MenuYn=Y&amp;ReportGB=&amp;NewMenuID=108&amp;stkGb=701", "이수화학")</f>
        <v>0</v>
      </c>
      <c r="E299">
        <v>1</v>
      </c>
      <c r="F299">
        <v>14850</v>
      </c>
      <c r="G299">
        <v>0</v>
      </c>
      <c r="H299">
        <v>4.33</v>
      </c>
      <c r="I299">
        <v>18273</v>
      </c>
      <c r="J299">
        <v>13969</v>
      </c>
      <c r="K299">
        <v>12530</v>
      </c>
      <c r="L299">
        <v>-23.05</v>
      </c>
      <c r="M299">
        <v>5.93</v>
      </c>
      <c r="N299">
        <v>15.63</v>
      </c>
      <c r="O299">
        <v>17.61</v>
      </c>
      <c r="P299" t="b">
        <v>1</v>
      </c>
      <c r="Q299">
        <v>0</v>
      </c>
      <c r="R299">
        <v>3363</v>
      </c>
      <c r="S299">
        <v>3104</v>
      </c>
      <c r="T299">
        <v>-7.7</v>
      </c>
      <c r="U299" t="s">
        <v>1076</v>
      </c>
      <c r="V299" t="s">
        <v>1447</v>
      </c>
      <c r="W299">
        <v>0</v>
      </c>
      <c r="X299">
        <v>-27.3</v>
      </c>
      <c r="Y299" t="s">
        <v>1797</v>
      </c>
      <c r="Z299">
        <v>0</v>
      </c>
      <c r="AA299">
        <v>4152</v>
      </c>
      <c r="AB299">
        <v>246550</v>
      </c>
      <c r="AC299" t="s">
        <v>2160</v>
      </c>
      <c r="AD299">
        <v>28.16</v>
      </c>
      <c r="AE299" t="s">
        <v>2531</v>
      </c>
      <c r="AF299" t="s">
        <v>2898</v>
      </c>
      <c r="AG299">
        <v>17033</v>
      </c>
      <c r="AH299">
        <v>821</v>
      </c>
      <c r="AI299">
        <v>753588</v>
      </c>
      <c r="AJ299">
        <v>3.44</v>
      </c>
      <c r="AK299" t="b">
        <v>1</v>
      </c>
    </row>
    <row r="300" spans="1:38">
      <c r="A300" s="1" t="s">
        <v>334</v>
      </c>
      <c r="B300" t="s">
        <v>705</v>
      </c>
      <c r="C300">
        <f>HYPERLINK("https://finance.naver.com/item/coinfo.nhn?code=130580", "A130580")</f>
        <v>0</v>
      </c>
      <c r="D300">
        <f>HYPERLINK("http://comp.fnguide.com/SVO2/ASP/SVD_Consensus.asp?pGB=1&amp;gicode=A130580&amp;cID=&amp;MenuYn=Y&amp;ReportGB=&amp;NewMenuID=108&amp;stkGb=701", "나이스디앤비")</f>
        <v>0</v>
      </c>
      <c r="E300">
        <v>1</v>
      </c>
      <c r="F300">
        <v>7870</v>
      </c>
      <c r="G300">
        <v>2.28</v>
      </c>
      <c r="H300">
        <v>11.14</v>
      </c>
      <c r="I300">
        <v>9128</v>
      </c>
      <c r="J300">
        <v>6698</v>
      </c>
      <c r="K300">
        <v>5886</v>
      </c>
      <c r="L300">
        <v>-15.99</v>
      </c>
      <c r="M300">
        <v>14.89</v>
      </c>
      <c r="N300">
        <v>25.21</v>
      </c>
      <c r="O300">
        <v>19.51</v>
      </c>
      <c r="P300" t="b">
        <v>1</v>
      </c>
      <c r="Q300">
        <v>0</v>
      </c>
      <c r="R300">
        <v>863</v>
      </c>
      <c r="S300">
        <v>792</v>
      </c>
      <c r="T300">
        <v>-8.199999999999999</v>
      </c>
      <c r="U300" t="s">
        <v>1077</v>
      </c>
      <c r="V300" t="s">
        <v>1448</v>
      </c>
      <c r="W300">
        <v>4.888377706327485</v>
      </c>
      <c r="X300">
        <v>-36.2</v>
      </c>
      <c r="Y300" t="s">
        <v>1798</v>
      </c>
      <c r="Z300">
        <v>5.742976992463356</v>
      </c>
      <c r="AA300">
        <v>1212</v>
      </c>
      <c r="AB300">
        <v>4239</v>
      </c>
      <c r="AC300" t="s">
        <v>2161</v>
      </c>
      <c r="AD300">
        <v>34.97</v>
      </c>
      <c r="AE300" t="s">
        <v>2532</v>
      </c>
      <c r="AF300" t="s">
        <v>2899</v>
      </c>
      <c r="AG300">
        <v>887</v>
      </c>
      <c r="AH300">
        <v>169</v>
      </c>
      <c r="AJ300">
        <v>2.39</v>
      </c>
      <c r="AK300" t="b">
        <v>1</v>
      </c>
    </row>
    <row r="301" spans="1:38">
      <c r="A301" s="1" t="s">
        <v>335</v>
      </c>
      <c r="B301" t="s">
        <v>706</v>
      </c>
      <c r="C301">
        <f>HYPERLINK("https://finance.naver.com/item/coinfo.nhn?code=023770", "A023770")</f>
        <v>0</v>
      </c>
      <c r="D301">
        <f>HYPERLINK("http://comp.fnguide.com/SVO2/ASP/SVD_Consensus.asp?pGB=1&amp;gicode=A023770&amp;cID=&amp;MenuYn=Y&amp;ReportGB=&amp;NewMenuID=108&amp;stkGb=701", "플레이위드")</f>
        <v>0</v>
      </c>
      <c r="E301">
        <v>1</v>
      </c>
      <c r="F301">
        <v>8450</v>
      </c>
      <c r="G301">
        <v>0</v>
      </c>
      <c r="H301">
        <v>60.39</v>
      </c>
      <c r="I301">
        <v>11534</v>
      </c>
      <c r="J301">
        <v>7077</v>
      </c>
      <c r="K301">
        <v>5586</v>
      </c>
      <c r="L301">
        <v>-36.5</v>
      </c>
      <c r="M301">
        <v>16.25</v>
      </c>
      <c r="N301">
        <v>33.89</v>
      </c>
      <c r="O301">
        <v>33.96</v>
      </c>
      <c r="P301" t="b">
        <v>0</v>
      </c>
      <c r="Q301">
        <v>0</v>
      </c>
      <c r="R301">
        <v>212</v>
      </c>
      <c r="U301" t="s">
        <v>1078</v>
      </c>
      <c r="V301" t="s">
        <v>1449</v>
      </c>
      <c r="W301">
        <v>0</v>
      </c>
      <c r="Y301" t="s">
        <v>1799</v>
      </c>
      <c r="Z301">
        <v>0</v>
      </c>
      <c r="AA301">
        <v>741</v>
      </c>
      <c r="AB301">
        <v>44731</v>
      </c>
      <c r="AC301" t="s">
        <v>2162</v>
      </c>
      <c r="AD301">
        <v>23.68</v>
      </c>
      <c r="AE301" t="s">
        <v>2533</v>
      </c>
      <c r="AF301" t="s">
        <v>2900</v>
      </c>
      <c r="AG301">
        <v>133</v>
      </c>
      <c r="AH301">
        <v>5</v>
      </c>
      <c r="AI301">
        <v>300000</v>
      </c>
      <c r="AL301" t="b">
        <v>0</v>
      </c>
    </row>
    <row r="302" spans="1:38">
      <c r="A302" s="1" t="s">
        <v>336</v>
      </c>
      <c r="B302" t="s">
        <v>707</v>
      </c>
      <c r="C302">
        <f>HYPERLINK("https://finance.naver.com/item/coinfo.nhn?code=214180", "A214180")</f>
        <v>0</v>
      </c>
      <c r="D302">
        <f>HYPERLINK("http://comp.fnguide.com/SVO2/ASP/SVD_Consensus.asp?pGB=1&amp;gicode=A214180&amp;cID=&amp;MenuYn=Y&amp;ReportGB=&amp;NewMenuID=108&amp;stkGb=701", "헥토이노베이션")</f>
        <v>0</v>
      </c>
      <c r="E302">
        <v>1</v>
      </c>
      <c r="F302">
        <v>15550</v>
      </c>
      <c r="G302">
        <v>0.96</v>
      </c>
      <c r="H302">
        <v>12.56</v>
      </c>
      <c r="I302">
        <v>16415</v>
      </c>
      <c r="J302">
        <v>13113</v>
      </c>
      <c r="K302">
        <v>12009</v>
      </c>
      <c r="L302">
        <v>-5.56</v>
      </c>
      <c r="M302">
        <v>15.67</v>
      </c>
      <c r="N302">
        <v>22.77</v>
      </c>
      <c r="O302">
        <v>15.86</v>
      </c>
      <c r="P302" t="b">
        <v>1</v>
      </c>
      <c r="Q302">
        <v>3</v>
      </c>
      <c r="R302">
        <v>1600</v>
      </c>
      <c r="S302">
        <v>1923</v>
      </c>
      <c r="T302">
        <v>20.2</v>
      </c>
      <c r="U302" t="s">
        <v>1079</v>
      </c>
      <c r="V302" t="s">
        <v>1450</v>
      </c>
      <c r="W302">
        <v>13.10403304668872</v>
      </c>
      <c r="X302">
        <v>18.4</v>
      </c>
      <c r="Y302" t="s">
        <v>1800</v>
      </c>
      <c r="Z302">
        <v>11.99727682509804</v>
      </c>
      <c r="AA302">
        <v>2061</v>
      </c>
      <c r="AB302">
        <v>31267</v>
      </c>
      <c r="AC302" t="s">
        <v>2163</v>
      </c>
      <c r="AD302">
        <v>30.42</v>
      </c>
      <c r="AE302" t="s">
        <v>2534</v>
      </c>
      <c r="AF302" t="s">
        <v>2901</v>
      </c>
      <c r="AG302">
        <v>2210</v>
      </c>
      <c r="AH302">
        <v>375</v>
      </c>
      <c r="AI302">
        <v>160181</v>
      </c>
      <c r="AJ302">
        <v>1.94</v>
      </c>
      <c r="AK302" t="b">
        <v>1</v>
      </c>
    </row>
    <row r="303" spans="1:38">
      <c r="A303" s="1" t="s">
        <v>337</v>
      </c>
      <c r="B303" t="s">
        <v>708</v>
      </c>
      <c r="C303">
        <f>HYPERLINK("https://finance.naver.com/item/coinfo.nhn?code=095660", "A095660")</f>
        <v>0</v>
      </c>
      <c r="D303">
        <f>HYPERLINK("http://comp.fnguide.com/SVO2/ASP/SVD_Consensus.asp?pGB=1&amp;gicode=A095660&amp;cID=&amp;MenuYn=Y&amp;ReportGB=&amp;NewMenuID=108&amp;stkGb=701", "네오위즈")</f>
        <v>0</v>
      </c>
      <c r="E303">
        <v>1</v>
      </c>
      <c r="F303">
        <v>27550</v>
      </c>
      <c r="G303">
        <v>0.67</v>
      </c>
      <c r="H303">
        <v>14.01</v>
      </c>
      <c r="I303">
        <v>29876</v>
      </c>
      <c r="J303">
        <v>25550</v>
      </c>
      <c r="K303">
        <v>24103</v>
      </c>
      <c r="L303">
        <v>-8.44</v>
      </c>
      <c r="M303">
        <v>7.26</v>
      </c>
      <c r="N303">
        <v>12.51</v>
      </c>
      <c r="O303">
        <v>13.65</v>
      </c>
      <c r="P303" t="b">
        <v>1</v>
      </c>
      <c r="Q303">
        <v>0</v>
      </c>
      <c r="R303">
        <v>2577</v>
      </c>
      <c r="S303">
        <v>1953</v>
      </c>
      <c r="T303">
        <v>-24.2</v>
      </c>
      <c r="U303" t="s">
        <v>1080</v>
      </c>
      <c r="V303" t="s">
        <v>1451</v>
      </c>
      <c r="W303">
        <v>20.94116284330048</v>
      </c>
      <c r="X303">
        <v>-41.9</v>
      </c>
      <c r="Y303" t="s">
        <v>1801</v>
      </c>
      <c r="Z303">
        <v>0</v>
      </c>
      <c r="AA303">
        <v>6070</v>
      </c>
      <c r="AB303">
        <v>308864</v>
      </c>
      <c r="AC303" t="s">
        <v>2164</v>
      </c>
      <c r="AD303">
        <v>37.16</v>
      </c>
      <c r="AE303" t="s">
        <v>2535</v>
      </c>
      <c r="AF303" t="s">
        <v>2902</v>
      </c>
      <c r="AG303">
        <v>2612</v>
      </c>
      <c r="AH303">
        <v>213</v>
      </c>
      <c r="AI303">
        <v>1150628</v>
      </c>
      <c r="AK303" t="b">
        <v>1</v>
      </c>
    </row>
    <row r="304" spans="1:38">
      <c r="A304" s="1" t="s">
        <v>338</v>
      </c>
      <c r="B304" t="s">
        <v>709</v>
      </c>
      <c r="C304">
        <f>HYPERLINK("https://finance.naver.com/item/coinfo.nhn?code=293490", "A293490")</f>
        <v>0</v>
      </c>
      <c r="D304">
        <f>HYPERLINK("http://comp.fnguide.com/SVO2/ASP/SVD_Consensus.asp?pGB=1&amp;gicode=A293490&amp;cID=&amp;MenuYn=Y&amp;ReportGB=&amp;NewMenuID=108&amp;stkGb=701", "카카오게임즈")</f>
        <v>0</v>
      </c>
      <c r="E304">
        <v>1</v>
      </c>
      <c r="F304">
        <v>50700</v>
      </c>
      <c r="G304">
        <v>0.1</v>
      </c>
      <c r="H304">
        <v>12.89</v>
      </c>
      <c r="I304">
        <v>57734</v>
      </c>
      <c r="J304">
        <v>40851</v>
      </c>
      <c r="K304">
        <v>35204</v>
      </c>
      <c r="L304">
        <v>-13.87</v>
      </c>
      <c r="M304">
        <v>19.43</v>
      </c>
      <c r="N304">
        <v>30.56</v>
      </c>
      <c r="O304">
        <v>21.51</v>
      </c>
      <c r="P304" t="b">
        <v>1</v>
      </c>
      <c r="Q304">
        <v>0</v>
      </c>
      <c r="R304">
        <v>7062</v>
      </c>
      <c r="S304">
        <v>2425</v>
      </c>
      <c r="T304">
        <v>-65.7</v>
      </c>
      <c r="U304" t="s">
        <v>1081</v>
      </c>
      <c r="V304" t="s">
        <v>1452</v>
      </c>
      <c r="W304">
        <v>130.8018180847825</v>
      </c>
      <c r="X304">
        <v>-38</v>
      </c>
      <c r="Y304" t="s">
        <v>1802</v>
      </c>
      <c r="Z304">
        <v>14.91746688180171</v>
      </c>
      <c r="AA304">
        <v>39900</v>
      </c>
      <c r="AB304">
        <v>512012</v>
      </c>
      <c r="AC304" t="s">
        <v>2165</v>
      </c>
      <c r="AD304">
        <v>55.3</v>
      </c>
      <c r="AE304" t="s">
        <v>2536</v>
      </c>
      <c r="AF304" t="s">
        <v>2903</v>
      </c>
      <c r="AG304">
        <v>10125</v>
      </c>
      <c r="AH304">
        <v>1119</v>
      </c>
      <c r="AI304">
        <v>809459</v>
      </c>
      <c r="AK304" t="b">
        <v>1</v>
      </c>
    </row>
    <row r="305" spans="1:38">
      <c r="A305" s="1" t="s">
        <v>339</v>
      </c>
      <c r="B305" t="s">
        <v>710</v>
      </c>
      <c r="C305">
        <f>HYPERLINK("https://finance.naver.com/item/coinfo.nhn?code=094280", "A094280")</f>
        <v>0</v>
      </c>
      <c r="D305">
        <f>HYPERLINK("http://comp.fnguide.com/SVO2/ASP/SVD_Consensus.asp?pGB=1&amp;gicode=A094280&amp;cID=&amp;MenuYn=Y&amp;ReportGB=&amp;NewMenuID=108&amp;stkGb=701", "효성ITX")</f>
        <v>0</v>
      </c>
      <c r="E305">
        <v>1</v>
      </c>
      <c r="F305">
        <v>15100</v>
      </c>
      <c r="G305">
        <v>0</v>
      </c>
      <c r="H305">
        <v>17.28</v>
      </c>
      <c r="I305">
        <v>19975</v>
      </c>
      <c r="J305">
        <v>14148</v>
      </c>
      <c r="K305">
        <v>12199</v>
      </c>
      <c r="L305">
        <v>-32.29</v>
      </c>
      <c r="M305">
        <v>6.31</v>
      </c>
      <c r="N305">
        <v>19.21</v>
      </c>
      <c r="O305">
        <v>21.45</v>
      </c>
      <c r="P305" t="b">
        <v>0</v>
      </c>
      <c r="Q305">
        <v>0</v>
      </c>
      <c r="R305">
        <v>1158</v>
      </c>
      <c r="U305" t="s">
        <v>1082</v>
      </c>
      <c r="V305" t="s">
        <v>1453</v>
      </c>
      <c r="W305">
        <v>0</v>
      </c>
      <c r="X305">
        <v>50.6</v>
      </c>
      <c r="Y305" t="s">
        <v>1803</v>
      </c>
      <c r="Z305">
        <v>17.86820027923701</v>
      </c>
      <c r="AA305">
        <v>1745</v>
      </c>
      <c r="AB305">
        <v>6094</v>
      </c>
      <c r="AC305" t="s">
        <v>2166</v>
      </c>
      <c r="AD305">
        <v>68.3</v>
      </c>
      <c r="AE305" t="s">
        <v>2537</v>
      </c>
      <c r="AF305" t="s">
        <v>2904</v>
      </c>
      <c r="AG305">
        <v>4759</v>
      </c>
      <c r="AH305">
        <v>203</v>
      </c>
      <c r="AI305">
        <v>519835</v>
      </c>
      <c r="AJ305">
        <v>3.75</v>
      </c>
      <c r="AK305" t="b">
        <v>1</v>
      </c>
    </row>
    <row r="306" spans="1:38">
      <c r="A306" s="1" t="s">
        <v>340</v>
      </c>
      <c r="B306" t="s">
        <v>711</v>
      </c>
      <c r="C306">
        <f>HYPERLINK("https://finance.naver.com/item/coinfo.nhn?code=009450", "A009450")</f>
        <v>0</v>
      </c>
      <c r="D306">
        <f>HYPERLINK("http://comp.fnguide.com/SVO2/ASP/SVD_Consensus.asp?pGB=1&amp;gicode=A009450&amp;cID=&amp;MenuYn=Y&amp;ReportGB=&amp;NewMenuID=108&amp;stkGb=701", "경동나비엔")</f>
        <v>0</v>
      </c>
      <c r="E306">
        <v>1</v>
      </c>
      <c r="F306">
        <v>39900</v>
      </c>
      <c r="G306">
        <v>0</v>
      </c>
      <c r="H306">
        <v>9.43</v>
      </c>
      <c r="I306">
        <v>49536</v>
      </c>
      <c r="J306">
        <v>39451</v>
      </c>
      <c r="K306">
        <v>36079</v>
      </c>
      <c r="L306">
        <v>-24.15</v>
      </c>
      <c r="M306">
        <v>1.12</v>
      </c>
      <c r="N306">
        <v>9.58</v>
      </c>
      <c r="O306">
        <v>15.97</v>
      </c>
      <c r="P306" t="b">
        <v>1</v>
      </c>
      <c r="Q306">
        <v>0</v>
      </c>
      <c r="R306">
        <v>5825</v>
      </c>
      <c r="U306" t="s">
        <v>1083</v>
      </c>
      <c r="V306" t="s">
        <v>1454</v>
      </c>
      <c r="W306">
        <v>0</v>
      </c>
      <c r="X306">
        <v>-26.9</v>
      </c>
      <c r="Y306" t="s">
        <v>1804</v>
      </c>
      <c r="Z306">
        <v>15.46430404035779</v>
      </c>
      <c r="AA306">
        <v>5813</v>
      </c>
      <c r="AB306">
        <v>19624</v>
      </c>
      <c r="AC306" t="s">
        <v>2167</v>
      </c>
      <c r="AD306">
        <v>57.61</v>
      </c>
      <c r="AE306" t="s">
        <v>2538</v>
      </c>
      <c r="AF306" t="s">
        <v>2905</v>
      </c>
      <c r="AG306">
        <v>11029</v>
      </c>
      <c r="AH306">
        <v>643</v>
      </c>
      <c r="AI306">
        <v>115660</v>
      </c>
      <c r="AJ306">
        <v>0.82</v>
      </c>
      <c r="AK306" t="b">
        <v>1</v>
      </c>
    </row>
    <row r="307" spans="1:38">
      <c r="A307" s="1" t="s">
        <v>341</v>
      </c>
      <c r="B307" t="s">
        <v>712</v>
      </c>
      <c r="C307">
        <f>HYPERLINK("https://finance.naver.com/item/coinfo.nhn?code=243070", "A243070")</f>
        <v>0</v>
      </c>
      <c r="D307">
        <f>HYPERLINK("http://comp.fnguide.com/SVO2/ASP/SVD_Consensus.asp?pGB=1&amp;gicode=A243070&amp;cID=&amp;MenuYn=Y&amp;ReportGB=&amp;NewMenuID=108&amp;stkGb=701", "휴온스")</f>
        <v>0</v>
      </c>
      <c r="E307">
        <v>1</v>
      </c>
      <c r="F307">
        <v>37700</v>
      </c>
      <c r="G307">
        <v>7.84</v>
      </c>
      <c r="H307">
        <v>18.51</v>
      </c>
      <c r="I307">
        <v>40726</v>
      </c>
      <c r="J307">
        <v>30714</v>
      </c>
      <c r="K307">
        <v>27365</v>
      </c>
      <c r="L307">
        <v>-8.029999999999999</v>
      </c>
      <c r="M307">
        <v>18.53</v>
      </c>
      <c r="N307">
        <v>27.41</v>
      </c>
      <c r="O307">
        <v>18.2</v>
      </c>
      <c r="P307" t="b">
        <v>1</v>
      </c>
      <c r="Q307">
        <v>1</v>
      </c>
      <c r="R307">
        <v>2577</v>
      </c>
      <c r="S307">
        <v>3435</v>
      </c>
      <c r="T307">
        <v>33.3</v>
      </c>
      <c r="U307" t="s">
        <v>1084</v>
      </c>
      <c r="V307" t="s">
        <v>1455</v>
      </c>
      <c r="W307">
        <v>2.362156012610717</v>
      </c>
      <c r="X307">
        <v>-2</v>
      </c>
      <c r="Y307" t="s">
        <v>1805</v>
      </c>
      <c r="Z307">
        <v>-2.982043249763178</v>
      </c>
      <c r="AA307">
        <v>4500</v>
      </c>
      <c r="AB307">
        <v>9536</v>
      </c>
      <c r="AC307" t="s">
        <v>2168</v>
      </c>
      <c r="AD307">
        <v>44.98</v>
      </c>
      <c r="AE307" t="s">
        <v>2539</v>
      </c>
      <c r="AF307" t="s">
        <v>2906</v>
      </c>
      <c r="AG307">
        <v>4369</v>
      </c>
      <c r="AH307">
        <v>453</v>
      </c>
      <c r="AI307">
        <v>100889</v>
      </c>
      <c r="AJ307">
        <v>1.14</v>
      </c>
      <c r="AK307" t="b">
        <v>1</v>
      </c>
    </row>
    <row r="308" spans="1:38">
      <c r="A308" s="1" t="s">
        <v>342</v>
      </c>
      <c r="B308" t="s">
        <v>713</v>
      </c>
      <c r="C308">
        <f>HYPERLINK("https://finance.naver.com/item/coinfo.nhn?code=234340", "A234340")</f>
        <v>0</v>
      </c>
      <c r="D308">
        <f>HYPERLINK("http://comp.fnguide.com/SVO2/ASP/SVD_Consensus.asp?pGB=1&amp;gicode=A234340&amp;cID=&amp;MenuYn=Y&amp;ReportGB=&amp;NewMenuID=108&amp;stkGb=701", "헥토파이낸셜")</f>
        <v>0</v>
      </c>
      <c r="E308">
        <v>1</v>
      </c>
      <c r="F308">
        <v>21050</v>
      </c>
      <c r="G308">
        <v>1.02</v>
      </c>
      <c r="H308">
        <v>14.34</v>
      </c>
      <c r="I308">
        <v>21998</v>
      </c>
      <c r="J308">
        <v>18393</v>
      </c>
      <c r="K308">
        <v>17187</v>
      </c>
      <c r="L308">
        <v>-4.51</v>
      </c>
      <c r="M308">
        <v>12.62</v>
      </c>
      <c r="N308">
        <v>18.35</v>
      </c>
      <c r="O308">
        <v>14.33</v>
      </c>
      <c r="P308" t="b">
        <v>1</v>
      </c>
      <c r="Q308">
        <v>0</v>
      </c>
      <c r="R308">
        <v>2221</v>
      </c>
      <c r="S308">
        <v>2174</v>
      </c>
      <c r="T308">
        <v>-2.1</v>
      </c>
      <c r="U308" t="s">
        <v>1085</v>
      </c>
      <c r="V308" t="s">
        <v>1456</v>
      </c>
      <c r="W308">
        <v>14.04132158545022</v>
      </c>
      <c r="X308">
        <v>-30</v>
      </c>
      <c r="Y308" t="s">
        <v>1806</v>
      </c>
      <c r="Z308">
        <v>5.924953815597145</v>
      </c>
      <c r="AA308">
        <v>1990</v>
      </c>
      <c r="AB308">
        <v>70059</v>
      </c>
      <c r="AC308" t="s">
        <v>2169</v>
      </c>
      <c r="AD308">
        <v>39.81</v>
      </c>
      <c r="AE308" t="s">
        <v>2540</v>
      </c>
      <c r="AF308" t="s">
        <v>2907</v>
      </c>
      <c r="AG308">
        <v>1104</v>
      </c>
      <c r="AH308">
        <v>153</v>
      </c>
      <c r="AI308">
        <v>749114</v>
      </c>
      <c r="AJ308">
        <v>1.48</v>
      </c>
      <c r="AK308" t="b">
        <v>1</v>
      </c>
    </row>
    <row r="309" spans="1:38">
      <c r="A309" s="1" t="s">
        <v>343</v>
      </c>
      <c r="B309" t="s">
        <v>714</v>
      </c>
      <c r="C309">
        <f>HYPERLINK("https://finance.naver.com/item/coinfo.nhn?code=010050", "A010050")</f>
        <v>0</v>
      </c>
      <c r="D309">
        <f>HYPERLINK("http://comp.fnguide.com/SVO2/ASP/SVD_Consensus.asp?pGB=1&amp;gicode=A010050&amp;cID=&amp;MenuYn=Y&amp;ReportGB=&amp;NewMenuID=108&amp;stkGb=701", "우리종금")</f>
        <v>0</v>
      </c>
      <c r="E309">
        <v>1</v>
      </c>
      <c r="F309">
        <v>914</v>
      </c>
      <c r="G309">
        <v>0</v>
      </c>
      <c r="H309">
        <v>9.869999999999999</v>
      </c>
      <c r="I309">
        <v>981</v>
      </c>
      <c r="J309">
        <v>819</v>
      </c>
      <c r="K309">
        <v>765</v>
      </c>
      <c r="L309">
        <v>-7.35</v>
      </c>
      <c r="M309">
        <v>10.36</v>
      </c>
      <c r="N309">
        <v>16.28</v>
      </c>
      <c r="O309">
        <v>14.37</v>
      </c>
      <c r="P309" t="b">
        <v>0</v>
      </c>
      <c r="Q309">
        <v>0</v>
      </c>
      <c r="R309">
        <v>91</v>
      </c>
      <c r="U309" t="s">
        <v>1086</v>
      </c>
      <c r="V309" t="s">
        <v>1457</v>
      </c>
      <c r="W309">
        <v>0</v>
      </c>
      <c r="Y309" t="s">
        <v>1536</v>
      </c>
      <c r="Z309">
        <v>29.59684579379225</v>
      </c>
      <c r="AA309">
        <v>7990</v>
      </c>
      <c r="AB309">
        <v>1536870</v>
      </c>
      <c r="AC309" t="s">
        <v>2170</v>
      </c>
      <c r="AD309">
        <v>58.76</v>
      </c>
      <c r="AE309" t="s">
        <v>2541</v>
      </c>
      <c r="AF309" t="s">
        <v>2908</v>
      </c>
      <c r="AG309">
        <v>3033</v>
      </c>
      <c r="AH309">
        <v>1040</v>
      </c>
      <c r="AI309">
        <v>69076</v>
      </c>
      <c r="AJ309">
        <v>2.22</v>
      </c>
      <c r="AK309" t="b">
        <v>1</v>
      </c>
    </row>
    <row r="310" spans="1:38">
      <c r="A310" s="1" t="s">
        <v>344</v>
      </c>
      <c r="B310" t="s">
        <v>715</v>
      </c>
      <c r="C310">
        <f>HYPERLINK("https://finance.naver.com/item/coinfo.nhn?code=137080", "A137080")</f>
        <v>0</v>
      </c>
      <c r="D310">
        <f>HYPERLINK("http://comp.fnguide.com/SVO2/ASP/SVD_Consensus.asp?pGB=1&amp;gicode=A137080&amp;cID=&amp;MenuYn=Y&amp;ReportGB=&amp;NewMenuID=108&amp;stkGb=701", "나래나노텍")</f>
        <v>0</v>
      </c>
      <c r="E310">
        <v>1</v>
      </c>
      <c r="F310">
        <v>9410</v>
      </c>
      <c r="G310">
        <v>0</v>
      </c>
      <c r="I310">
        <v>9998</v>
      </c>
      <c r="J310">
        <v>7617</v>
      </c>
      <c r="K310">
        <v>6821</v>
      </c>
      <c r="L310">
        <v>-6.25</v>
      </c>
      <c r="M310">
        <v>19.05</v>
      </c>
      <c r="N310">
        <v>27.51</v>
      </c>
      <c r="O310">
        <v>17.75</v>
      </c>
      <c r="P310" t="b">
        <v>0</v>
      </c>
      <c r="Q310">
        <v>0</v>
      </c>
      <c r="R310">
        <v>2028</v>
      </c>
      <c r="U310" t="s">
        <v>1087</v>
      </c>
      <c r="V310" t="s">
        <v>1458</v>
      </c>
      <c r="W310">
        <v>0</v>
      </c>
      <c r="Y310" t="s">
        <v>1807</v>
      </c>
      <c r="Z310">
        <v>0</v>
      </c>
      <c r="AA310">
        <v>1041</v>
      </c>
      <c r="AB310">
        <v>162098</v>
      </c>
      <c r="AC310" t="s">
        <v>2171</v>
      </c>
      <c r="AD310">
        <v>43.5</v>
      </c>
      <c r="AE310" t="s">
        <v>2542</v>
      </c>
      <c r="AF310" t="s">
        <v>2699</v>
      </c>
      <c r="AG310">
        <v>1352</v>
      </c>
      <c r="AH310">
        <v>231</v>
      </c>
      <c r="AK310" t="b">
        <v>1</v>
      </c>
    </row>
    <row r="311" spans="1:38">
      <c r="A311" s="1" t="s">
        <v>345</v>
      </c>
      <c r="B311" t="s">
        <v>716</v>
      </c>
      <c r="C311">
        <f>HYPERLINK("https://finance.naver.com/item/coinfo.nhn?code=034120", "A034120")</f>
        <v>0</v>
      </c>
      <c r="D311">
        <f>HYPERLINK("http://comp.fnguide.com/SVO2/ASP/SVD_Consensus.asp?pGB=1&amp;gicode=A034120&amp;cID=&amp;MenuYn=Y&amp;ReportGB=&amp;NewMenuID=108&amp;stkGb=701", "SBS")</f>
        <v>0</v>
      </c>
      <c r="E311">
        <v>1</v>
      </c>
      <c r="F311">
        <v>42150</v>
      </c>
      <c r="G311">
        <v>0.06</v>
      </c>
      <c r="H311">
        <v>6.62</v>
      </c>
      <c r="I311">
        <v>45025</v>
      </c>
      <c r="J311">
        <v>40703</v>
      </c>
      <c r="K311">
        <v>39257</v>
      </c>
      <c r="L311">
        <v>-6.82</v>
      </c>
      <c r="M311">
        <v>3.43</v>
      </c>
      <c r="N311">
        <v>6.86</v>
      </c>
      <c r="O311">
        <v>12.18</v>
      </c>
      <c r="P311" t="b">
        <v>1</v>
      </c>
      <c r="Q311">
        <v>2</v>
      </c>
      <c r="R311">
        <v>7456</v>
      </c>
      <c r="S311">
        <v>8975</v>
      </c>
      <c r="T311">
        <v>20.4</v>
      </c>
      <c r="U311" t="s">
        <v>1088</v>
      </c>
      <c r="V311" t="s">
        <v>1459</v>
      </c>
      <c r="W311">
        <v>102.6498346958998</v>
      </c>
      <c r="X311">
        <v>67.7</v>
      </c>
      <c r="Y311" t="s">
        <v>1808</v>
      </c>
      <c r="Z311">
        <v>0</v>
      </c>
      <c r="AA311">
        <v>7693</v>
      </c>
      <c r="AB311">
        <v>28013</v>
      </c>
      <c r="AC311" t="s">
        <v>2172</v>
      </c>
      <c r="AD311">
        <v>36.92</v>
      </c>
      <c r="AE311" t="s">
        <v>2543</v>
      </c>
      <c r="AF311" t="s">
        <v>2909</v>
      </c>
      <c r="AG311">
        <v>10790</v>
      </c>
      <c r="AH311">
        <v>1844</v>
      </c>
      <c r="AI311">
        <v>562514</v>
      </c>
      <c r="AJ311">
        <v>2.03</v>
      </c>
      <c r="AK311" t="b">
        <v>1</v>
      </c>
    </row>
    <row r="312" spans="1:38">
      <c r="A312" s="1" t="s">
        <v>346</v>
      </c>
      <c r="B312" t="s">
        <v>717</v>
      </c>
      <c r="C312">
        <f>HYPERLINK("https://finance.naver.com/item/coinfo.nhn?code=122450", "A122450")</f>
        <v>0</v>
      </c>
      <c r="D312">
        <f>HYPERLINK("http://comp.fnguide.com/SVO2/ASP/SVD_Consensus.asp?pGB=1&amp;gicode=A122450&amp;cID=&amp;MenuYn=Y&amp;ReportGB=&amp;NewMenuID=108&amp;stkGb=701", "KX")</f>
        <v>0</v>
      </c>
      <c r="E312">
        <v>1</v>
      </c>
      <c r="F312">
        <v>7500</v>
      </c>
      <c r="G312">
        <v>0.24</v>
      </c>
      <c r="H312">
        <v>9.380000000000001</v>
      </c>
      <c r="I312">
        <v>7557</v>
      </c>
      <c r="J312">
        <v>6502</v>
      </c>
      <c r="K312">
        <v>6149</v>
      </c>
      <c r="L312">
        <v>-0.77</v>
      </c>
      <c r="M312">
        <v>13.3</v>
      </c>
      <c r="N312">
        <v>18.01</v>
      </c>
      <c r="O312">
        <v>13.48</v>
      </c>
      <c r="P312" t="b">
        <v>1</v>
      </c>
      <c r="Q312">
        <v>3</v>
      </c>
      <c r="R312">
        <v>865</v>
      </c>
      <c r="S312">
        <v>911</v>
      </c>
      <c r="T312">
        <v>5.3</v>
      </c>
      <c r="U312" t="s">
        <v>1089</v>
      </c>
      <c r="V312" t="s">
        <v>1460</v>
      </c>
      <c r="W312">
        <v>39.85823983933128</v>
      </c>
      <c r="X312">
        <v>-17.4</v>
      </c>
      <c r="Y312" t="s">
        <v>1809</v>
      </c>
      <c r="Z312">
        <v>1.019468136871748</v>
      </c>
      <c r="AA312">
        <v>3400</v>
      </c>
      <c r="AB312">
        <v>41061</v>
      </c>
      <c r="AC312" t="s">
        <v>2173</v>
      </c>
      <c r="AD312">
        <v>53.71</v>
      </c>
      <c r="AE312" t="s">
        <v>2544</v>
      </c>
      <c r="AF312" t="s">
        <v>2910</v>
      </c>
      <c r="AG312">
        <v>2889</v>
      </c>
      <c r="AH312">
        <v>741</v>
      </c>
      <c r="AI312">
        <v>3455696</v>
      </c>
      <c r="AL312" t="b">
        <v>0</v>
      </c>
    </row>
    <row r="313" spans="1:38">
      <c r="A313" s="1" t="s">
        <v>347</v>
      </c>
      <c r="B313" t="s">
        <v>718</v>
      </c>
      <c r="C313">
        <f>HYPERLINK("https://finance.naver.com/item/coinfo.nhn?code=200130", "A200130")</f>
        <v>0</v>
      </c>
      <c r="D313">
        <f>HYPERLINK("http://comp.fnguide.com/SVO2/ASP/SVD_Consensus.asp?pGB=1&amp;gicode=A200130&amp;cID=&amp;MenuYn=Y&amp;ReportGB=&amp;NewMenuID=108&amp;stkGb=701", "콜마비앤에이치")</f>
        <v>0</v>
      </c>
      <c r="E313">
        <v>1</v>
      </c>
      <c r="F313">
        <v>27150</v>
      </c>
      <c r="G313">
        <v>1.47</v>
      </c>
      <c r="H313">
        <v>13.13</v>
      </c>
      <c r="I313">
        <v>29997</v>
      </c>
      <c r="J313">
        <v>20695</v>
      </c>
      <c r="K313">
        <v>17584</v>
      </c>
      <c r="L313">
        <v>-10.48</v>
      </c>
      <c r="M313">
        <v>23.78</v>
      </c>
      <c r="N313">
        <v>35.23</v>
      </c>
      <c r="O313">
        <v>23.1</v>
      </c>
      <c r="P313" t="b">
        <v>1</v>
      </c>
      <c r="Q313">
        <v>1</v>
      </c>
      <c r="R313">
        <v>2365</v>
      </c>
      <c r="S313">
        <v>2384</v>
      </c>
      <c r="T313">
        <v>0.8</v>
      </c>
      <c r="U313" t="s">
        <v>1090</v>
      </c>
      <c r="V313" t="s">
        <v>1461</v>
      </c>
      <c r="W313">
        <v>8.923164659362604</v>
      </c>
      <c r="X313">
        <v>-40.1</v>
      </c>
      <c r="Y313" t="s">
        <v>1810</v>
      </c>
      <c r="Z313">
        <v>-1.783834324195943</v>
      </c>
      <c r="AA313">
        <v>8021</v>
      </c>
      <c r="AB313">
        <v>46680</v>
      </c>
      <c r="AC313" t="s">
        <v>2174</v>
      </c>
      <c r="AD313">
        <v>52.78</v>
      </c>
      <c r="AE313" t="s">
        <v>2545</v>
      </c>
      <c r="AF313" t="s">
        <v>2911</v>
      </c>
      <c r="AG313">
        <v>5931</v>
      </c>
      <c r="AH313">
        <v>916</v>
      </c>
      <c r="AI313">
        <v>2166</v>
      </c>
      <c r="AJ313">
        <v>1.24</v>
      </c>
      <c r="AK313" t="b">
        <v>1</v>
      </c>
    </row>
    <row r="314" spans="1:38">
      <c r="A314" s="1" t="s">
        <v>348</v>
      </c>
      <c r="B314" t="s">
        <v>719</v>
      </c>
      <c r="C314">
        <f>HYPERLINK("https://finance.naver.com/item/coinfo.nhn?code=086280", "A086280")</f>
        <v>0</v>
      </c>
      <c r="D314">
        <f>HYPERLINK("http://comp.fnguide.com/SVO2/ASP/SVD_Consensus.asp?pGB=1&amp;gicode=A086280&amp;cID=&amp;MenuYn=Y&amp;ReportGB=&amp;NewMenuID=108&amp;stkGb=701", "현대글로비스")</f>
        <v>0</v>
      </c>
      <c r="E314">
        <v>1</v>
      </c>
      <c r="F314">
        <v>182000</v>
      </c>
      <c r="G314">
        <v>0.24</v>
      </c>
      <c r="H314">
        <v>8.050000000000001</v>
      </c>
      <c r="I314">
        <v>203694</v>
      </c>
      <c r="J314">
        <v>176820</v>
      </c>
      <c r="K314">
        <v>167833</v>
      </c>
      <c r="L314">
        <v>-11.92</v>
      </c>
      <c r="M314">
        <v>2.85</v>
      </c>
      <c r="N314">
        <v>7.78</v>
      </c>
      <c r="O314">
        <v>13.23</v>
      </c>
      <c r="P314" t="b">
        <v>0</v>
      </c>
      <c r="Q314">
        <v>3</v>
      </c>
      <c r="R314">
        <v>20877</v>
      </c>
      <c r="S314">
        <v>32140</v>
      </c>
      <c r="T314">
        <v>53.9</v>
      </c>
      <c r="U314" t="s">
        <v>1091</v>
      </c>
      <c r="V314" t="s">
        <v>1462</v>
      </c>
      <c r="W314">
        <v>33.85174706183829</v>
      </c>
      <c r="X314">
        <v>125.4</v>
      </c>
      <c r="Y314" t="s">
        <v>1811</v>
      </c>
      <c r="Z314">
        <v>21.02941647712901</v>
      </c>
      <c r="AA314">
        <v>68250</v>
      </c>
      <c r="AB314">
        <v>186111</v>
      </c>
      <c r="AC314" t="s">
        <v>2175</v>
      </c>
      <c r="AD314">
        <v>50.34</v>
      </c>
      <c r="AE314" t="s">
        <v>2546</v>
      </c>
      <c r="AF314" t="s">
        <v>2912</v>
      </c>
      <c r="AG314">
        <v>217796</v>
      </c>
      <c r="AH314">
        <v>11262</v>
      </c>
      <c r="AJ314">
        <v>2.26</v>
      </c>
      <c r="AK314" t="b">
        <v>1</v>
      </c>
    </row>
    <row r="315" spans="1:38">
      <c r="A315" s="1" t="s">
        <v>349</v>
      </c>
      <c r="B315" t="s">
        <v>720</v>
      </c>
      <c r="C315">
        <f>HYPERLINK("https://finance.naver.com/item/coinfo.nhn?code=097520", "A097520")</f>
        <v>0</v>
      </c>
      <c r="D315">
        <f>HYPERLINK("http://comp.fnguide.com/SVO2/ASP/SVD_Consensus.asp?pGB=1&amp;gicode=A097520&amp;cID=&amp;MenuYn=Y&amp;ReportGB=&amp;NewMenuID=108&amp;stkGb=701", "엠씨넥스")</f>
        <v>0</v>
      </c>
      <c r="E315">
        <v>1</v>
      </c>
      <c r="F315">
        <v>33250</v>
      </c>
      <c r="G315">
        <v>-1.91</v>
      </c>
      <c r="H315">
        <v>26.06</v>
      </c>
      <c r="I315">
        <v>34298</v>
      </c>
      <c r="J315">
        <v>24711</v>
      </c>
      <c r="K315">
        <v>21505</v>
      </c>
      <c r="L315">
        <v>-3.15</v>
      </c>
      <c r="M315">
        <v>25.68</v>
      </c>
      <c r="N315">
        <v>35.32</v>
      </c>
      <c r="O315">
        <v>20.48</v>
      </c>
      <c r="P315" t="b">
        <v>0</v>
      </c>
      <c r="Q315">
        <v>2</v>
      </c>
      <c r="R315">
        <v>2206</v>
      </c>
      <c r="S315">
        <v>3044</v>
      </c>
      <c r="T315">
        <v>38</v>
      </c>
      <c r="U315" t="s">
        <v>1092</v>
      </c>
      <c r="V315" t="s">
        <v>1463</v>
      </c>
      <c r="W315">
        <v>-13.66144361257278</v>
      </c>
      <c r="X315">
        <v>-37.5</v>
      </c>
      <c r="Y315" t="s">
        <v>1812</v>
      </c>
      <c r="Z315">
        <v>0</v>
      </c>
      <c r="AA315">
        <v>5977</v>
      </c>
      <c r="AB315">
        <v>49062</v>
      </c>
      <c r="AC315" t="s">
        <v>2176</v>
      </c>
      <c r="AD315">
        <v>28.19</v>
      </c>
      <c r="AE315" t="s">
        <v>2547</v>
      </c>
      <c r="AF315" t="s">
        <v>2913</v>
      </c>
      <c r="AG315">
        <v>10093</v>
      </c>
      <c r="AH315">
        <v>239</v>
      </c>
      <c r="AI315">
        <v>213349</v>
      </c>
      <c r="AJ315">
        <v>0.87</v>
      </c>
      <c r="AK315" t="b">
        <v>1</v>
      </c>
    </row>
    <row r="316" spans="1:38">
      <c r="A316" s="1" t="s">
        <v>350</v>
      </c>
      <c r="B316" t="s">
        <v>721</v>
      </c>
      <c r="C316">
        <f>HYPERLINK("https://finance.naver.com/item/coinfo.nhn?code=151860", "A151860")</f>
        <v>0</v>
      </c>
      <c r="D316">
        <f>HYPERLINK("http://comp.fnguide.com/SVO2/ASP/SVD_Consensus.asp?pGB=1&amp;gicode=A151860&amp;cID=&amp;MenuYn=Y&amp;ReportGB=&amp;NewMenuID=108&amp;stkGb=701", "KG ETS")</f>
        <v>0</v>
      </c>
      <c r="E316">
        <v>1</v>
      </c>
      <c r="F316">
        <v>15300</v>
      </c>
      <c r="G316">
        <v>0</v>
      </c>
      <c r="H316">
        <v>11.01</v>
      </c>
      <c r="I316">
        <v>17587</v>
      </c>
      <c r="J316">
        <v>12798</v>
      </c>
      <c r="K316">
        <v>11196</v>
      </c>
      <c r="L316">
        <v>-14.95</v>
      </c>
      <c r="M316">
        <v>16.36</v>
      </c>
      <c r="N316">
        <v>26.83</v>
      </c>
      <c r="O316">
        <v>19.95</v>
      </c>
      <c r="P316" t="b">
        <v>1</v>
      </c>
      <c r="Q316">
        <v>0</v>
      </c>
      <c r="R316">
        <v>1331</v>
      </c>
      <c r="U316" t="s">
        <v>1093</v>
      </c>
      <c r="V316" t="s">
        <v>1464</v>
      </c>
      <c r="W316">
        <v>0</v>
      </c>
      <c r="X316">
        <v>-52.4</v>
      </c>
      <c r="Y316" t="s">
        <v>1813</v>
      </c>
      <c r="Z316">
        <v>14.26208657490353</v>
      </c>
      <c r="AA316">
        <v>5508</v>
      </c>
      <c r="AB316">
        <v>729973</v>
      </c>
      <c r="AC316" t="s">
        <v>2177</v>
      </c>
      <c r="AD316">
        <v>46.5</v>
      </c>
      <c r="AE316" t="s">
        <v>2548</v>
      </c>
      <c r="AF316" t="s">
        <v>2914</v>
      </c>
      <c r="AG316">
        <v>35369</v>
      </c>
      <c r="AH316">
        <v>3256</v>
      </c>
      <c r="AJ316">
        <v>0.82</v>
      </c>
      <c r="AK316" t="b">
        <v>1</v>
      </c>
    </row>
    <row r="317" spans="1:38">
      <c r="A317" s="1" t="s">
        <v>351</v>
      </c>
      <c r="B317" t="s">
        <v>722</v>
      </c>
      <c r="C317">
        <f>HYPERLINK("https://finance.naver.com/item/coinfo.nhn?code=119650", "A119650")</f>
        <v>0</v>
      </c>
      <c r="D317">
        <f>HYPERLINK("http://comp.fnguide.com/SVO2/ASP/SVD_Consensus.asp?pGB=1&amp;gicode=A119650&amp;cID=&amp;MenuYn=Y&amp;ReportGB=&amp;NewMenuID=108&amp;stkGb=701", "KC코트렐")</f>
        <v>0</v>
      </c>
      <c r="E317">
        <v>1</v>
      </c>
      <c r="F317">
        <v>4375</v>
      </c>
      <c r="G317">
        <v>0</v>
      </c>
      <c r="H317">
        <v>8.42</v>
      </c>
      <c r="I317">
        <v>5401</v>
      </c>
      <c r="J317">
        <v>3968</v>
      </c>
      <c r="K317">
        <v>3488</v>
      </c>
      <c r="L317">
        <v>-23.44</v>
      </c>
      <c r="M317">
        <v>9.31</v>
      </c>
      <c r="N317">
        <v>20.27</v>
      </c>
      <c r="O317">
        <v>19.46</v>
      </c>
      <c r="P317" t="b">
        <v>1</v>
      </c>
      <c r="Q317">
        <v>0</v>
      </c>
      <c r="R317">
        <v>733</v>
      </c>
      <c r="U317" t="s">
        <v>1094</v>
      </c>
      <c r="V317" t="s">
        <v>1465</v>
      </c>
      <c r="W317">
        <v>0</v>
      </c>
      <c r="X317">
        <v>-80.7</v>
      </c>
      <c r="Y317" t="s">
        <v>1814</v>
      </c>
      <c r="Z317">
        <v>0</v>
      </c>
      <c r="AA317">
        <v>770</v>
      </c>
      <c r="AB317">
        <v>45833</v>
      </c>
      <c r="AC317" t="s">
        <v>2178</v>
      </c>
      <c r="AD317">
        <v>34.7</v>
      </c>
      <c r="AE317" t="s">
        <v>2549</v>
      </c>
      <c r="AF317" t="s">
        <v>2915</v>
      </c>
      <c r="AG317">
        <v>3550</v>
      </c>
      <c r="AH317">
        <v>46</v>
      </c>
      <c r="AL317" t="b">
        <v>0</v>
      </c>
    </row>
    <row r="318" spans="1:38">
      <c r="A318" s="1" t="s">
        <v>352</v>
      </c>
      <c r="B318" t="s">
        <v>723</v>
      </c>
      <c r="C318">
        <f>HYPERLINK("https://finance.naver.com/item/coinfo.nhn?code=016380", "A016380")</f>
        <v>0</v>
      </c>
      <c r="D318">
        <f>HYPERLINK("http://comp.fnguide.com/SVO2/ASP/SVD_Consensus.asp?pGB=1&amp;gicode=A016380&amp;cID=&amp;MenuYn=Y&amp;ReportGB=&amp;NewMenuID=108&amp;stkGb=701", "KG스틸")</f>
        <v>0</v>
      </c>
      <c r="E318">
        <v>1</v>
      </c>
      <c r="F318">
        <v>12250</v>
      </c>
      <c r="G318">
        <v>0</v>
      </c>
      <c r="H318">
        <v>5.55</v>
      </c>
      <c r="I318">
        <v>13036</v>
      </c>
      <c r="J318">
        <v>12195</v>
      </c>
      <c r="K318">
        <v>11914</v>
      </c>
      <c r="L318">
        <v>-6.41</v>
      </c>
      <c r="M318">
        <v>0.45</v>
      </c>
      <c r="N318">
        <v>2.75</v>
      </c>
      <c r="O318">
        <v>11.39</v>
      </c>
      <c r="P318" t="b">
        <v>0</v>
      </c>
      <c r="Q318">
        <v>0</v>
      </c>
      <c r="R318">
        <v>1908</v>
      </c>
      <c r="U318" t="s">
        <v>1095</v>
      </c>
      <c r="V318" t="s">
        <v>1466</v>
      </c>
      <c r="W318">
        <v>0</v>
      </c>
      <c r="X318">
        <v>144</v>
      </c>
      <c r="Y318" t="s">
        <v>1815</v>
      </c>
      <c r="Z318">
        <v>0</v>
      </c>
      <c r="AA318">
        <v>12251</v>
      </c>
      <c r="AB318">
        <v>467832</v>
      </c>
      <c r="AC318" t="s">
        <v>2179</v>
      </c>
      <c r="AD318">
        <v>71.98999999999999</v>
      </c>
      <c r="AE318" t="s">
        <v>2550</v>
      </c>
      <c r="AF318" t="s">
        <v>2916</v>
      </c>
      <c r="AG318">
        <v>33548</v>
      </c>
      <c r="AH318">
        <v>2969</v>
      </c>
      <c r="AI318">
        <v>6585</v>
      </c>
      <c r="AJ318">
        <v>0.9399999999999999</v>
      </c>
      <c r="AK318" t="b">
        <v>1</v>
      </c>
    </row>
    <row r="319" spans="1:38">
      <c r="A319" s="1" t="s">
        <v>353</v>
      </c>
      <c r="B319" t="s">
        <v>724</v>
      </c>
      <c r="C319">
        <f>HYPERLINK("https://finance.naver.com/item/coinfo.nhn?code=032680", "A032680")</f>
        <v>0</v>
      </c>
      <c r="D319">
        <f>HYPERLINK("http://comp.fnguide.com/SVO2/ASP/SVD_Consensus.asp?pGB=1&amp;gicode=A032680&amp;cID=&amp;MenuYn=Y&amp;ReportGB=&amp;NewMenuID=108&amp;stkGb=701", "소프트센")</f>
        <v>0</v>
      </c>
      <c r="E319">
        <v>1</v>
      </c>
      <c r="F319">
        <v>1915</v>
      </c>
      <c r="G319">
        <v>0</v>
      </c>
      <c r="H319">
        <v>6.01</v>
      </c>
      <c r="I319">
        <v>2363</v>
      </c>
      <c r="J319">
        <v>1872</v>
      </c>
      <c r="K319">
        <v>1708</v>
      </c>
      <c r="L319">
        <v>-23.38</v>
      </c>
      <c r="M319">
        <v>2.23</v>
      </c>
      <c r="N319">
        <v>10.79</v>
      </c>
      <c r="O319">
        <v>16.16</v>
      </c>
      <c r="P319" t="b">
        <v>1</v>
      </c>
      <c r="Q319">
        <v>0</v>
      </c>
      <c r="R319">
        <v>407</v>
      </c>
      <c r="U319" t="s">
        <v>1096</v>
      </c>
      <c r="V319" t="s">
        <v>1467</v>
      </c>
      <c r="W319">
        <v>0</v>
      </c>
      <c r="Y319" t="s">
        <v>1534</v>
      </c>
      <c r="Z319">
        <v>0</v>
      </c>
      <c r="AA319">
        <v>732</v>
      </c>
      <c r="AB319">
        <v>452295</v>
      </c>
      <c r="AC319" t="s">
        <v>2180</v>
      </c>
      <c r="AD319">
        <v>16.83</v>
      </c>
      <c r="AE319" t="s">
        <v>2551</v>
      </c>
      <c r="AF319" t="s">
        <v>2917</v>
      </c>
      <c r="AG319">
        <v>925</v>
      </c>
      <c r="AH319">
        <v>206</v>
      </c>
      <c r="AK319" t="b">
        <v>1</v>
      </c>
    </row>
    <row r="320" spans="1:38">
      <c r="A320" s="1" t="s">
        <v>354</v>
      </c>
      <c r="B320" t="s">
        <v>725</v>
      </c>
      <c r="C320">
        <f>HYPERLINK("https://finance.naver.com/item/coinfo.nhn?code=347770", "A347770")</f>
        <v>0</v>
      </c>
      <c r="D320">
        <f>HYPERLINK("http://comp.fnguide.com/SVO2/ASP/SVD_Consensus.asp?pGB=1&amp;gicode=A347770&amp;cID=&amp;MenuYn=Y&amp;ReportGB=&amp;NewMenuID=108&amp;stkGb=701", "핌스")</f>
        <v>0</v>
      </c>
      <c r="E320">
        <v>1</v>
      </c>
      <c r="F320">
        <v>14700</v>
      </c>
      <c r="G320">
        <v>-34.31</v>
      </c>
      <c r="H320">
        <v>29.49</v>
      </c>
      <c r="I320">
        <v>16862</v>
      </c>
      <c r="J320">
        <v>11819</v>
      </c>
      <c r="K320">
        <v>10133</v>
      </c>
      <c r="L320">
        <v>-14.71</v>
      </c>
      <c r="M320">
        <v>19.6</v>
      </c>
      <c r="N320">
        <v>31.07</v>
      </c>
      <c r="O320">
        <v>22.08</v>
      </c>
      <c r="P320" t="b">
        <v>0</v>
      </c>
      <c r="Q320">
        <v>2</v>
      </c>
      <c r="R320">
        <v>977</v>
      </c>
      <c r="S320">
        <v>1016</v>
      </c>
      <c r="T320">
        <v>4</v>
      </c>
      <c r="U320" t="s">
        <v>1097</v>
      </c>
      <c r="V320" t="s">
        <v>1468</v>
      </c>
      <c r="W320">
        <v>-0.8595945222009793</v>
      </c>
      <c r="Y320" t="s">
        <v>1816</v>
      </c>
      <c r="Z320">
        <v>0</v>
      </c>
      <c r="AA320">
        <v>1114</v>
      </c>
      <c r="AB320">
        <v>23427</v>
      </c>
      <c r="AC320" t="s">
        <v>2181</v>
      </c>
      <c r="AD320">
        <v>38.68</v>
      </c>
      <c r="AE320" t="s">
        <v>2552</v>
      </c>
      <c r="AF320" t="s">
        <v>2918</v>
      </c>
      <c r="AG320">
        <v>671</v>
      </c>
      <c r="AH320">
        <v>73</v>
      </c>
      <c r="AI320">
        <v>200000</v>
      </c>
      <c r="AK320" t="b">
        <v>1</v>
      </c>
    </row>
    <row r="321" spans="1:38">
      <c r="A321" s="1" t="s">
        <v>355</v>
      </c>
      <c r="B321" t="s">
        <v>726</v>
      </c>
      <c r="C321">
        <f>HYPERLINK("https://finance.naver.com/item/coinfo.nhn?code=036930", "A036930")</f>
        <v>0</v>
      </c>
      <c r="D321">
        <f>HYPERLINK("http://comp.fnguide.com/SVO2/ASP/SVD_Consensus.asp?pGB=1&amp;gicode=A036930&amp;cID=&amp;MenuYn=Y&amp;ReportGB=&amp;NewMenuID=108&amp;stkGb=701", "주성엔지니어링")</f>
        <v>0</v>
      </c>
      <c r="E321">
        <v>1</v>
      </c>
      <c r="F321">
        <v>16950</v>
      </c>
      <c r="G321">
        <v>0.13</v>
      </c>
      <c r="H321">
        <v>6.96</v>
      </c>
      <c r="I321">
        <v>20261</v>
      </c>
      <c r="J321">
        <v>13371</v>
      </c>
      <c r="K321">
        <v>11067</v>
      </c>
      <c r="L321">
        <v>-19.53</v>
      </c>
      <c r="M321">
        <v>21.11</v>
      </c>
      <c r="N321">
        <v>34.71</v>
      </c>
      <c r="O321">
        <v>26.42</v>
      </c>
      <c r="P321" t="b">
        <v>1</v>
      </c>
      <c r="Q321">
        <v>0</v>
      </c>
      <c r="R321">
        <v>3016</v>
      </c>
      <c r="S321">
        <v>2082</v>
      </c>
      <c r="T321">
        <v>-31</v>
      </c>
      <c r="U321" t="s">
        <v>1098</v>
      </c>
      <c r="V321" t="s">
        <v>1469</v>
      </c>
      <c r="W321">
        <v>54.79488470367318</v>
      </c>
      <c r="X321">
        <v>54.5</v>
      </c>
      <c r="Y321" t="s">
        <v>1817</v>
      </c>
      <c r="Z321">
        <v>0</v>
      </c>
      <c r="AA321">
        <v>8178</v>
      </c>
      <c r="AB321">
        <v>1222770</v>
      </c>
      <c r="AC321" t="s">
        <v>2182</v>
      </c>
      <c r="AD321">
        <v>28.97</v>
      </c>
      <c r="AE321" t="s">
        <v>2553</v>
      </c>
      <c r="AF321" t="s">
        <v>2919</v>
      </c>
      <c r="AG321">
        <v>3773</v>
      </c>
      <c r="AH321">
        <v>1026</v>
      </c>
      <c r="AI321">
        <v>300000</v>
      </c>
      <c r="AJ321">
        <v>0.74</v>
      </c>
      <c r="AK321" t="b">
        <v>1</v>
      </c>
    </row>
    <row r="322" spans="1:38">
      <c r="A322" s="1" t="s">
        <v>356</v>
      </c>
      <c r="B322" t="s">
        <v>727</v>
      </c>
      <c r="C322">
        <f>HYPERLINK("https://finance.naver.com/item/coinfo.nhn?code=128660", "A128660")</f>
        <v>0</v>
      </c>
      <c r="D322">
        <f>HYPERLINK("http://comp.fnguide.com/SVO2/ASP/SVD_Consensus.asp?pGB=1&amp;gicode=A128660&amp;cID=&amp;MenuYn=Y&amp;ReportGB=&amp;NewMenuID=108&amp;stkGb=701", "피제이메탈")</f>
        <v>0</v>
      </c>
      <c r="E322">
        <v>1</v>
      </c>
      <c r="F322">
        <v>4205</v>
      </c>
      <c r="G322">
        <v>0</v>
      </c>
      <c r="H322">
        <v>7.19</v>
      </c>
      <c r="I322">
        <v>5358</v>
      </c>
      <c r="J322">
        <v>3714</v>
      </c>
      <c r="K322">
        <v>3164</v>
      </c>
      <c r="L322">
        <v>-27.42</v>
      </c>
      <c r="M322">
        <v>11.68</v>
      </c>
      <c r="N322">
        <v>24.76</v>
      </c>
      <c r="O322">
        <v>22.79</v>
      </c>
      <c r="P322" t="b">
        <v>1</v>
      </c>
      <c r="Q322">
        <v>0</v>
      </c>
      <c r="R322">
        <v>740</v>
      </c>
      <c r="U322" t="s">
        <v>1099</v>
      </c>
      <c r="V322" t="s">
        <v>1470</v>
      </c>
      <c r="W322">
        <v>0</v>
      </c>
      <c r="X322">
        <v>122.2</v>
      </c>
      <c r="Y322" t="s">
        <v>1818</v>
      </c>
      <c r="Z322">
        <v>50.07402489142538</v>
      </c>
      <c r="AA322">
        <v>1043</v>
      </c>
      <c r="AB322">
        <v>854959</v>
      </c>
      <c r="AC322" t="s">
        <v>2183</v>
      </c>
      <c r="AD322">
        <v>64.22</v>
      </c>
      <c r="AE322" t="s">
        <v>2554</v>
      </c>
      <c r="AF322" t="s">
        <v>2920</v>
      </c>
      <c r="AG322">
        <v>2462</v>
      </c>
      <c r="AH322">
        <v>252</v>
      </c>
      <c r="AJ322">
        <v>2.82</v>
      </c>
      <c r="AK322" t="b">
        <v>1</v>
      </c>
    </row>
    <row r="323" spans="1:38">
      <c r="A323" s="1" t="s">
        <v>357</v>
      </c>
      <c r="B323" t="s">
        <v>728</v>
      </c>
      <c r="C323">
        <f>HYPERLINK("https://finance.naver.com/item/coinfo.nhn?code=108320", "A108320")</f>
        <v>0</v>
      </c>
      <c r="D323">
        <f>HYPERLINK("http://comp.fnguide.com/SVO2/ASP/SVD_Consensus.asp?pGB=1&amp;gicode=A108320&amp;cID=&amp;MenuYn=Y&amp;ReportGB=&amp;NewMenuID=108&amp;stkGb=701", "LX세미콘")</f>
        <v>0</v>
      </c>
      <c r="E323">
        <v>1</v>
      </c>
      <c r="F323">
        <v>99500</v>
      </c>
      <c r="G323">
        <v>0.08</v>
      </c>
      <c r="H323">
        <v>9.18</v>
      </c>
      <c r="I323">
        <v>139327</v>
      </c>
      <c r="J323">
        <v>89862</v>
      </c>
      <c r="K323">
        <v>73318</v>
      </c>
      <c r="L323">
        <v>-40.03</v>
      </c>
      <c r="M323">
        <v>9.69</v>
      </c>
      <c r="N323">
        <v>26.31</v>
      </c>
      <c r="O323">
        <v>28.46</v>
      </c>
      <c r="P323" t="b">
        <v>1</v>
      </c>
      <c r="Q323">
        <v>3</v>
      </c>
      <c r="R323">
        <v>18225</v>
      </c>
      <c r="S323">
        <v>23198</v>
      </c>
      <c r="T323">
        <v>27.3</v>
      </c>
      <c r="U323" t="s">
        <v>1100</v>
      </c>
      <c r="V323" t="s">
        <v>1471</v>
      </c>
      <c r="W323">
        <v>113.8982734186814</v>
      </c>
      <c r="X323">
        <v>91.40000000000001</v>
      </c>
      <c r="Y323" t="s">
        <v>1819</v>
      </c>
      <c r="Z323">
        <v>64.51096594463614</v>
      </c>
      <c r="AA323">
        <v>16183</v>
      </c>
      <c r="AB323">
        <v>274608</v>
      </c>
      <c r="AC323" t="s">
        <v>2184</v>
      </c>
      <c r="AD323">
        <v>33.11</v>
      </c>
      <c r="AE323" t="s">
        <v>2555</v>
      </c>
      <c r="AF323" t="s">
        <v>2921</v>
      </c>
      <c r="AG323">
        <v>18988</v>
      </c>
      <c r="AH323">
        <v>3696</v>
      </c>
      <c r="AJ323">
        <v>3.23</v>
      </c>
      <c r="AK323" t="b">
        <v>1</v>
      </c>
    </row>
    <row r="324" spans="1:38">
      <c r="A324" s="1" t="s">
        <v>358</v>
      </c>
      <c r="B324" t="s">
        <v>729</v>
      </c>
      <c r="C324">
        <f>HYPERLINK("https://finance.naver.com/item/coinfo.nhn?code=246690", "A246690")</f>
        <v>0</v>
      </c>
      <c r="D324">
        <f>HYPERLINK("http://comp.fnguide.com/SVO2/ASP/SVD_Consensus.asp?pGB=1&amp;gicode=A246690&amp;cID=&amp;MenuYn=Y&amp;ReportGB=&amp;NewMenuID=108&amp;stkGb=701", "TS인베스트먼트")</f>
        <v>0</v>
      </c>
      <c r="E324">
        <v>1</v>
      </c>
      <c r="F324">
        <v>2475</v>
      </c>
      <c r="G324">
        <v>0</v>
      </c>
      <c r="H324">
        <v>10.53</v>
      </c>
      <c r="I324">
        <v>2964</v>
      </c>
      <c r="J324">
        <v>2209</v>
      </c>
      <c r="K324">
        <v>1956</v>
      </c>
      <c r="L324">
        <v>-19.76</v>
      </c>
      <c r="M324">
        <v>10.77</v>
      </c>
      <c r="N324">
        <v>20.97</v>
      </c>
      <c r="O324">
        <v>18.76</v>
      </c>
      <c r="P324" t="b">
        <v>0</v>
      </c>
      <c r="Q324">
        <v>0</v>
      </c>
      <c r="R324">
        <v>254</v>
      </c>
      <c r="U324" t="s">
        <v>1101</v>
      </c>
      <c r="V324" t="s">
        <v>1472</v>
      </c>
      <c r="W324">
        <v>0</v>
      </c>
      <c r="Y324" t="s">
        <v>1536</v>
      </c>
      <c r="Z324">
        <v>60.0643715912686</v>
      </c>
      <c r="AA324">
        <v>971</v>
      </c>
      <c r="AB324">
        <v>1040226</v>
      </c>
      <c r="AC324" t="s">
        <v>2185</v>
      </c>
      <c r="AD324">
        <v>34.07</v>
      </c>
      <c r="AE324" t="s">
        <v>2556</v>
      </c>
      <c r="AF324" t="s">
        <v>2922</v>
      </c>
      <c r="AG324">
        <v>224</v>
      </c>
      <c r="AH324">
        <v>138</v>
      </c>
      <c r="AI324">
        <v>4208</v>
      </c>
      <c r="AJ324">
        <v>0.37</v>
      </c>
      <c r="AK324" t="b">
        <v>1</v>
      </c>
    </row>
    <row r="325" spans="1:38">
      <c r="A325" s="1" t="s">
        <v>359</v>
      </c>
      <c r="B325" t="s">
        <v>730</v>
      </c>
      <c r="C325">
        <f>HYPERLINK("https://finance.naver.com/item/coinfo.nhn?code=122310", "A122310")</f>
        <v>0</v>
      </c>
      <c r="D325">
        <f>HYPERLINK("http://comp.fnguide.com/SVO2/ASP/SVD_Consensus.asp?pGB=1&amp;gicode=A122310&amp;cID=&amp;MenuYn=Y&amp;ReportGB=&amp;NewMenuID=108&amp;stkGb=701", "제노레이")</f>
        <v>0</v>
      </c>
      <c r="E325">
        <v>1</v>
      </c>
      <c r="F325">
        <v>8930</v>
      </c>
      <c r="G325">
        <v>0</v>
      </c>
      <c r="H325">
        <v>10.06</v>
      </c>
      <c r="I325">
        <v>10811</v>
      </c>
      <c r="J325">
        <v>7943</v>
      </c>
      <c r="K325">
        <v>6984</v>
      </c>
      <c r="L325">
        <v>-21.07</v>
      </c>
      <c r="M325">
        <v>11.05</v>
      </c>
      <c r="N325">
        <v>21.8</v>
      </c>
      <c r="O325">
        <v>19.45</v>
      </c>
      <c r="P325" t="b">
        <v>1</v>
      </c>
      <c r="Q325">
        <v>0</v>
      </c>
      <c r="R325">
        <v>984</v>
      </c>
      <c r="U325" t="s">
        <v>1102</v>
      </c>
      <c r="V325" t="s">
        <v>1473</v>
      </c>
      <c r="W325">
        <v>0</v>
      </c>
      <c r="X325">
        <v>16.3</v>
      </c>
      <c r="Y325" t="s">
        <v>1820</v>
      </c>
      <c r="Z325">
        <v>19.24075325910884</v>
      </c>
      <c r="AA325">
        <v>1300</v>
      </c>
      <c r="AB325">
        <v>20138</v>
      </c>
      <c r="AC325" t="s">
        <v>2186</v>
      </c>
      <c r="AD325">
        <v>28.66</v>
      </c>
      <c r="AE325" t="s">
        <v>2557</v>
      </c>
      <c r="AF325" t="s">
        <v>2923</v>
      </c>
      <c r="AG325">
        <v>743</v>
      </c>
      <c r="AH325">
        <v>150</v>
      </c>
      <c r="AI325">
        <v>445451</v>
      </c>
      <c r="AJ325">
        <v>1.72</v>
      </c>
      <c r="AK325" t="b">
        <v>1</v>
      </c>
    </row>
    <row r="326" spans="1:38">
      <c r="A326" s="1" t="s">
        <v>360</v>
      </c>
      <c r="B326" t="s">
        <v>731</v>
      </c>
      <c r="C326">
        <f>HYPERLINK("https://finance.naver.com/item/coinfo.nhn?code=131090", "A131090")</f>
        <v>0</v>
      </c>
      <c r="D326">
        <f>HYPERLINK("http://comp.fnguide.com/SVO2/ASP/SVD_Consensus.asp?pGB=1&amp;gicode=A131090&amp;cID=&amp;MenuYn=Y&amp;ReportGB=&amp;NewMenuID=108&amp;stkGb=701", "시큐브")</f>
        <v>0</v>
      </c>
      <c r="E326">
        <v>1</v>
      </c>
      <c r="F326">
        <v>1120</v>
      </c>
      <c r="G326">
        <v>0</v>
      </c>
      <c r="H326">
        <v>12.58</v>
      </c>
      <c r="I326">
        <v>1137</v>
      </c>
      <c r="J326">
        <v>1020</v>
      </c>
      <c r="K326">
        <v>981</v>
      </c>
      <c r="L326">
        <v>-1.48</v>
      </c>
      <c r="M326">
        <v>8.94</v>
      </c>
      <c r="N326">
        <v>12.42</v>
      </c>
      <c r="O326">
        <v>12.36</v>
      </c>
      <c r="P326" t="b">
        <v>1</v>
      </c>
      <c r="Q326">
        <v>0</v>
      </c>
      <c r="R326">
        <v>110</v>
      </c>
      <c r="U326" t="s">
        <v>1103</v>
      </c>
      <c r="V326" t="s">
        <v>1474</v>
      </c>
      <c r="W326">
        <v>0</v>
      </c>
      <c r="X326">
        <v>-91.90000000000001</v>
      </c>
      <c r="Y326" t="s">
        <v>1821</v>
      </c>
      <c r="Z326">
        <v>-33.85995892708008</v>
      </c>
      <c r="AA326">
        <v>493</v>
      </c>
      <c r="AB326">
        <v>32654</v>
      </c>
      <c r="AC326" t="s">
        <v>2187</v>
      </c>
      <c r="AD326">
        <v>28.21</v>
      </c>
      <c r="AE326" t="s">
        <v>2558</v>
      </c>
      <c r="AF326" t="s">
        <v>2924</v>
      </c>
      <c r="AG326">
        <v>132</v>
      </c>
      <c r="AH326">
        <v>55</v>
      </c>
      <c r="AI326">
        <v>2984424</v>
      </c>
      <c r="AJ326">
        <v>1.71</v>
      </c>
      <c r="AK326" t="b">
        <v>1</v>
      </c>
    </row>
    <row r="327" spans="1:38">
      <c r="A327" s="1" t="s">
        <v>361</v>
      </c>
      <c r="B327" t="s">
        <v>732</v>
      </c>
      <c r="C327">
        <f>HYPERLINK("https://finance.naver.com/item/coinfo.nhn?code=134380", "A134380")</f>
        <v>0</v>
      </c>
      <c r="D327">
        <f>HYPERLINK("http://comp.fnguide.com/SVO2/ASP/SVD_Consensus.asp?pGB=1&amp;gicode=A134380&amp;cID=&amp;MenuYn=Y&amp;ReportGB=&amp;NewMenuID=108&amp;stkGb=701", "미원화학")</f>
        <v>0</v>
      </c>
      <c r="E327">
        <v>1</v>
      </c>
      <c r="F327">
        <v>66400</v>
      </c>
      <c r="G327">
        <v>0</v>
      </c>
      <c r="H327">
        <v>15.73</v>
      </c>
      <c r="I327">
        <v>67156</v>
      </c>
      <c r="J327">
        <v>62537</v>
      </c>
      <c r="K327">
        <v>60992</v>
      </c>
      <c r="L327">
        <v>-1.14</v>
      </c>
      <c r="M327">
        <v>5.82</v>
      </c>
      <c r="N327">
        <v>8.15</v>
      </c>
      <c r="O327">
        <v>11.49</v>
      </c>
      <c r="P327" t="b">
        <v>0</v>
      </c>
      <c r="Q327">
        <v>0</v>
      </c>
      <c r="R327">
        <v>5161</v>
      </c>
      <c r="U327" t="s">
        <v>1104</v>
      </c>
      <c r="V327" t="s">
        <v>1475</v>
      </c>
      <c r="W327">
        <v>0</v>
      </c>
      <c r="X327">
        <v>35</v>
      </c>
      <c r="Y327" t="s">
        <v>1822</v>
      </c>
      <c r="Z327">
        <v>2.374892483595326</v>
      </c>
      <c r="AA327">
        <v>1460</v>
      </c>
      <c r="AB327">
        <v>66</v>
      </c>
      <c r="AC327" t="s">
        <v>2188</v>
      </c>
      <c r="AD327">
        <v>56.46</v>
      </c>
      <c r="AE327" t="s">
        <v>2559</v>
      </c>
      <c r="AF327" t="s">
        <v>2925</v>
      </c>
      <c r="AG327">
        <v>1975</v>
      </c>
      <c r="AH327">
        <v>128</v>
      </c>
      <c r="AI327">
        <v>156358</v>
      </c>
      <c r="AJ327">
        <v>3.08</v>
      </c>
      <c r="AK327" t="b">
        <v>1</v>
      </c>
    </row>
    <row r="328" spans="1:38">
      <c r="A328" s="1" t="s">
        <v>362</v>
      </c>
      <c r="B328" t="s">
        <v>733</v>
      </c>
      <c r="C328">
        <f>HYPERLINK("https://finance.naver.com/item/coinfo.nhn?code=361570", "A361570")</f>
        <v>0</v>
      </c>
      <c r="D328">
        <f>HYPERLINK("http://comp.fnguide.com/SVO2/ASP/SVD_Consensus.asp?pGB=1&amp;gicode=A361570&amp;cID=&amp;MenuYn=Y&amp;ReportGB=&amp;NewMenuID=108&amp;stkGb=701", "알비더블유")</f>
        <v>0</v>
      </c>
      <c r="E328">
        <v>1</v>
      </c>
      <c r="F328">
        <v>21250</v>
      </c>
      <c r="G328">
        <v>0</v>
      </c>
      <c r="H328">
        <v>27.13</v>
      </c>
      <c r="I328">
        <v>22919</v>
      </c>
      <c r="J328">
        <v>13442</v>
      </c>
      <c r="K328">
        <v>10272</v>
      </c>
      <c r="L328">
        <v>-7.86</v>
      </c>
      <c r="M328">
        <v>36.74</v>
      </c>
      <c r="N328">
        <v>51.66</v>
      </c>
      <c r="O328">
        <v>40.75</v>
      </c>
      <c r="P328" t="b">
        <v>1</v>
      </c>
      <c r="Q328">
        <v>0</v>
      </c>
      <c r="R328">
        <v>1002</v>
      </c>
      <c r="U328" t="s">
        <v>1105</v>
      </c>
      <c r="V328" t="s">
        <v>1476</v>
      </c>
      <c r="W328">
        <v>0</v>
      </c>
      <c r="X328">
        <v>-55.9</v>
      </c>
      <c r="Y328" t="s">
        <v>1823</v>
      </c>
      <c r="Z328">
        <v>0</v>
      </c>
      <c r="AA328">
        <v>1685</v>
      </c>
      <c r="AB328">
        <v>319246</v>
      </c>
      <c r="AC328" t="s">
        <v>2189</v>
      </c>
      <c r="AD328">
        <v>37.93</v>
      </c>
      <c r="AE328" t="s">
        <v>2560</v>
      </c>
      <c r="AF328" t="s">
        <v>2926</v>
      </c>
      <c r="AG328">
        <v>596</v>
      </c>
      <c r="AH328">
        <v>96</v>
      </c>
      <c r="AI328">
        <v>153096</v>
      </c>
      <c r="AK328" t="b">
        <v>1</v>
      </c>
    </row>
    <row r="329" spans="1:38">
      <c r="A329" s="1" t="s">
        <v>363</v>
      </c>
      <c r="B329" t="s">
        <v>734</v>
      </c>
      <c r="C329">
        <f>HYPERLINK("https://finance.naver.com/item/coinfo.nhn?code=068930", "A068930")</f>
        <v>0</v>
      </c>
      <c r="D329">
        <f>HYPERLINK("http://comp.fnguide.com/SVO2/ASP/SVD_Consensus.asp?pGB=1&amp;gicode=A068930&amp;cID=&amp;MenuYn=Y&amp;ReportGB=&amp;NewMenuID=108&amp;stkGb=701", "디지털대성")</f>
        <v>0</v>
      </c>
      <c r="E329">
        <v>1</v>
      </c>
      <c r="F329">
        <v>7150</v>
      </c>
      <c r="G329">
        <v>6.25</v>
      </c>
      <c r="H329">
        <v>15.57</v>
      </c>
      <c r="I329">
        <v>7546</v>
      </c>
      <c r="J329">
        <v>6360</v>
      </c>
      <c r="K329">
        <v>5964</v>
      </c>
      <c r="L329">
        <v>-5.54</v>
      </c>
      <c r="M329">
        <v>11.05</v>
      </c>
      <c r="N329">
        <v>16.59</v>
      </c>
      <c r="O329">
        <v>14.08</v>
      </c>
      <c r="P329" t="b">
        <v>1</v>
      </c>
      <c r="Q329">
        <v>2</v>
      </c>
      <c r="R329">
        <v>589</v>
      </c>
      <c r="S329">
        <v>712</v>
      </c>
      <c r="T329">
        <v>20.9</v>
      </c>
      <c r="U329" t="s">
        <v>1106</v>
      </c>
      <c r="V329" t="s">
        <v>1477</v>
      </c>
      <c r="W329">
        <v>2.491315322082532</v>
      </c>
      <c r="X329">
        <v>-4.2</v>
      </c>
      <c r="Y329" t="s">
        <v>1824</v>
      </c>
      <c r="Z329">
        <v>11.68175470126755</v>
      </c>
      <c r="AA329">
        <v>2131</v>
      </c>
      <c r="AB329">
        <v>37229</v>
      </c>
      <c r="AC329" t="s">
        <v>2190</v>
      </c>
      <c r="AD329">
        <v>50.05</v>
      </c>
      <c r="AE329" t="s">
        <v>2561</v>
      </c>
      <c r="AF329" t="s">
        <v>2927</v>
      </c>
      <c r="AG329">
        <v>1969</v>
      </c>
      <c r="AH329">
        <v>252</v>
      </c>
      <c r="AI329">
        <v>2709349</v>
      </c>
      <c r="AJ329">
        <v>3.27</v>
      </c>
      <c r="AK329" t="b">
        <v>1</v>
      </c>
    </row>
    <row r="330" spans="1:38">
      <c r="A330" s="1" t="s">
        <v>364</v>
      </c>
      <c r="B330" t="s">
        <v>735</v>
      </c>
      <c r="C330">
        <f>HYPERLINK("https://finance.naver.com/item/coinfo.nhn?code=123750", "A123750")</f>
        <v>0</v>
      </c>
      <c r="D330">
        <f>HYPERLINK("http://comp.fnguide.com/SVO2/ASP/SVD_Consensus.asp?pGB=1&amp;gicode=A123750&amp;cID=&amp;MenuYn=Y&amp;ReportGB=&amp;NewMenuID=108&amp;stkGb=701", "알톤스포츠")</f>
        <v>0</v>
      </c>
      <c r="E330">
        <v>1</v>
      </c>
      <c r="F330">
        <v>3500</v>
      </c>
      <c r="G330">
        <v>0</v>
      </c>
      <c r="H330">
        <v>11.06</v>
      </c>
      <c r="I330">
        <v>4260</v>
      </c>
      <c r="J330">
        <v>3112</v>
      </c>
      <c r="K330">
        <v>2728</v>
      </c>
      <c r="L330">
        <v>-21.72</v>
      </c>
      <c r="M330">
        <v>11.09</v>
      </c>
      <c r="N330">
        <v>22.07</v>
      </c>
      <c r="O330">
        <v>19.75</v>
      </c>
      <c r="P330" t="b">
        <v>1</v>
      </c>
      <c r="Q330">
        <v>0</v>
      </c>
      <c r="R330">
        <v>380</v>
      </c>
      <c r="U330" t="s">
        <v>1107</v>
      </c>
      <c r="V330" t="s">
        <v>1478</v>
      </c>
      <c r="W330">
        <v>0</v>
      </c>
      <c r="X330">
        <v>-58.5</v>
      </c>
      <c r="Y330" t="s">
        <v>1825</v>
      </c>
      <c r="Z330">
        <v>0</v>
      </c>
      <c r="AA330">
        <v>446</v>
      </c>
      <c r="AB330">
        <v>105530</v>
      </c>
      <c r="AC330" t="s">
        <v>2191</v>
      </c>
      <c r="AD330">
        <v>46.6</v>
      </c>
      <c r="AE330" t="s">
        <v>2562</v>
      </c>
      <c r="AF330" t="s">
        <v>2928</v>
      </c>
      <c r="AG330">
        <v>500</v>
      </c>
      <c r="AH330">
        <v>49</v>
      </c>
      <c r="AI330">
        <v>15000</v>
      </c>
      <c r="AK330" t="b">
        <v>1</v>
      </c>
    </row>
    <row r="331" spans="1:38">
      <c r="A331" s="1" t="s">
        <v>365</v>
      </c>
      <c r="B331" t="s">
        <v>736</v>
      </c>
      <c r="C331">
        <f>HYPERLINK("https://finance.naver.com/item/coinfo.nhn?code=000060", "A000060")</f>
        <v>0</v>
      </c>
      <c r="D331">
        <f>HYPERLINK("http://comp.fnguide.com/SVO2/ASP/SVD_Consensus.asp?pGB=1&amp;gicode=A000060&amp;cID=&amp;MenuYn=Y&amp;ReportGB=&amp;NewMenuID=108&amp;stkGb=701", "메리츠화재")</f>
        <v>0</v>
      </c>
      <c r="E331">
        <v>1</v>
      </c>
      <c r="F331">
        <v>34500</v>
      </c>
      <c r="G331">
        <v>0</v>
      </c>
      <c r="H331">
        <v>6.13</v>
      </c>
      <c r="I331">
        <v>47214</v>
      </c>
      <c r="J331">
        <v>33824</v>
      </c>
      <c r="K331">
        <v>29346</v>
      </c>
      <c r="L331">
        <v>-36.85</v>
      </c>
      <c r="M331">
        <v>1.96</v>
      </c>
      <c r="N331">
        <v>14.94</v>
      </c>
      <c r="O331">
        <v>20.79</v>
      </c>
      <c r="P331" t="b">
        <v>0</v>
      </c>
      <c r="Q331">
        <v>0</v>
      </c>
      <c r="R331">
        <v>5471</v>
      </c>
      <c r="U331" t="s">
        <v>1108</v>
      </c>
      <c r="V331" t="s">
        <v>1479</v>
      </c>
      <c r="W331">
        <v>0</v>
      </c>
      <c r="X331">
        <v>43.3</v>
      </c>
      <c r="Y331" t="s">
        <v>1826</v>
      </c>
      <c r="Z331">
        <v>21.60454762428987</v>
      </c>
      <c r="AA331">
        <v>40297</v>
      </c>
      <c r="AB331">
        <v>176417</v>
      </c>
      <c r="AC331" t="s">
        <v>2192</v>
      </c>
      <c r="AD331">
        <v>58.15</v>
      </c>
      <c r="AE331" t="s">
        <v>2563</v>
      </c>
      <c r="AF331" t="s">
        <v>2929</v>
      </c>
      <c r="AG331">
        <v>100584</v>
      </c>
      <c r="AH331">
        <v>9076</v>
      </c>
      <c r="AI331">
        <v>12273952</v>
      </c>
      <c r="AJ331">
        <v>1.85</v>
      </c>
      <c r="AL331" t="b">
        <v>0</v>
      </c>
    </row>
    <row r="332" spans="1:38">
      <c r="A332" s="1" t="s">
        <v>366</v>
      </c>
      <c r="B332" t="s">
        <v>737</v>
      </c>
      <c r="C332">
        <f>HYPERLINK("https://finance.naver.com/item/coinfo.nhn?code=232140", "A232140")</f>
        <v>0</v>
      </c>
      <c r="D332">
        <f>HYPERLINK("http://comp.fnguide.com/SVO2/ASP/SVD_Consensus.asp?pGB=1&amp;gicode=A232140&amp;cID=&amp;MenuYn=Y&amp;ReportGB=&amp;NewMenuID=108&amp;stkGb=701", "와이아이케이")</f>
        <v>0</v>
      </c>
      <c r="E332">
        <v>1</v>
      </c>
      <c r="F332">
        <v>4340</v>
      </c>
      <c r="G332">
        <v>0</v>
      </c>
      <c r="H332">
        <v>11.31</v>
      </c>
      <c r="I332">
        <v>4584</v>
      </c>
      <c r="J332">
        <v>3973</v>
      </c>
      <c r="K332">
        <v>3768</v>
      </c>
      <c r="L332">
        <v>-5.62</v>
      </c>
      <c r="M332">
        <v>8.460000000000001</v>
      </c>
      <c r="N332">
        <v>13.17</v>
      </c>
      <c r="O332">
        <v>13.28</v>
      </c>
      <c r="P332" t="b">
        <v>1</v>
      </c>
      <c r="Q332">
        <v>0</v>
      </c>
      <c r="R332">
        <v>548</v>
      </c>
      <c r="U332" t="s">
        <v>1109</v>
      </c>
      <c r="V332" t="s">
        <v>1480</v>
      </c>
      <c r="W332">
        <v>0</v>
      </c>
      <c r="X332">
        <v>56.7</v>
      </c>
      <c r="Y332" t="s">
        <v>1827</v>
      </c>
      <c r="Z332">
        <v>0</v>
      </c>
      <c r="AA332">
        <v>3561</v>
      </c>
      <c r="AB332">
        <v>59815</v>
      </c>
      <c r="AC332" t="s">
        <v>2193</v>
      </c>
      <c r="AD332">
        <v>51.96</v>
      </c>
      <c r="AE332" t="s">
        <v>2564</v>
      </c>
      <c r="AF332" t="s">
        <v>2930</v>
      </c>
      <c r="AG332">
        <v>3113</v>
      </c>
      <c r="AH332">
        <v>546</v>
      </c>
      <c r="AI332">
        <v>1276147</v>
      </c>
      <c r="AK332" t="b">
        <v>1</v>
      </c>
    </row>
    <row r="333" spans="1:38">
      <c r="A333" s="1" t="s">
        <v>367</v>
      </c>
      <c r="B333" t="s">
        <v>738</v>
      </c>
      <c r="C333">
        <f>HYPERLINK("https://finance.naver.com/item/coinfo.nhn?code=310200", "A310200")</f>
        <v>0</v>
      </c>
      <c r="D333">
        <f>HYPERLINK("http://comp.fnguide.com/SVO2/ASP/SVD_Consensus.asp?pGB=1&amp;gicode=A310200&amp;cID=&amp;MenuYn=Y&amp;ReportGB=&amp;NewMenuID=108&amp;stkGb=701", "애니플러스")</f>
        <v>0</v>
      </c>
      <c r="E333">
        <v>1</v>
      </c>
      <c r="F333">
        <v>3160</v>
      </c>
      <c r="G333">
        <v>0</v>
      </c>
      <c r="H333">
        <v>7.42</v>
      </c>
      <c r="I333">
        <v>4456</v>
      </c>
      <c r="J333">
        <v>2770</v>
      </c>
      <c r="K333">
        <v>2206</v>
      </c>
      <c r="L333">
        <v>-41.01</v>
      </c>
      <c r="M333">
        <v>12.33</v>
      </c>
      <c r="N333">
        <v>30.18</v>
      </c>
      <c r="O333">
        <v>32.34</v>
      </c>
      <c r="P333" t="b">
        <v>1</v>
      </c>
      <c r="Q333">
        <v>0</v>
      </c>
      <c r="R333">
        <v>701</v>
      </c>
      <c r="S333">
        <v>147</v>
      </c>
      <c r="T333">
        <v>-79</v>
      </c>
      <c r="U333" t="s">
        <v>1110</v>
      </c>
      <c r="V333" t="s">
        <v>1481</v>
      </c>
      <c r="W333">
        <v>0</v>
      </c>
      <c r="Y333" t="s">
        <v>1534</v>
      </c>
      <c r="Z333">
        <v>0</v>
      </c>
      <c r="AA333">
        <v>1073</v>
      </c>
      <c r="AB333">
        <v>178856</v>
      </c>
      <c r="AC333" t="s">
        <v>2194</v>
      </c>
      <c r="AD333">
        <v>43.84</v>
      </c>
      <c r="AE333" t="s">
        <v>2565</v>
      </c>
      <c r="AF333" t="s">
        <v>2931</v>
      </c>
      <c r="AG333">
        <v>490</v>
      </c>
      <c r="AH333">
        <v>130</v>
      </c>
      <c r="AI333">
        <v>1036173</v>
      </c>
      <c r="AK333" t="b">
        <v>1</v>
      </c>
    </row>
    <row r="334" spans="1:38">
      <c r="A334" s="1" t="s">
        <v>368</v>
      </c>
      <c r="B334" t="s">
        <v>739</v>
      </c>
      <c r="C334">
        <f>HYPERLINK("https://finance.naver.com/item/coinfo.nhn?code=241790", "A241790")</f>
        <v>0</v>
      </c>
      <c r="D334">
        <f>HYPERLINK("http://comp.fnguide.com/SVO2/ASP/SVD_Consensus.asp?pGB=1&amp;gicode=A241790&amp;cID=&amp;MenuYn=Y&amp;ReportGB=&amp;NewMenuID=108&amp;stkGb=701", "오션브릿지")</f>
        <v>0</v>
      </c>
      <c r="E334">
        <v>1</v>
      </c>
      <c r="F334">
        <v>12700</v>
      </c>
      <c r="G334">
        <v>0</v>
      </c>
      <c r="H334">
        <v>12.46</v>
      </c>
      <c r="I334">
        <v>15469</v>
      </c>
      <c r="J334">
        <v>11709</v>
      </c>
      <c r="K334">
        <v>10452</v>
      </c>
      <c r="L334">
        <v>-21.8</v>
      </c>
      <c r="M334">
        <v>7.8</v>
      </c>
      <c r="N334">
        <v>17.7</v>
      </c>
      <c r="O334">
        <v>18.04</v>
      </c>
      <c r="P334" t="b">
        <v>1</v>
      </c>
      <c r="Q334">
        <v>0</v>
      </c>
      <c r="R334">
        <v>1332</v>
      </c>
      <c r="U334" t="s">
        <v>1111</v>
      </c>
      <c r="V334" t="s">
        <v>1482</v>
      </c>
      <c r="W334">
        <v>0</v>
      </c>
      <c r="X334">
        <v>-45.3</v>
      </c>
      <c r="Y334" t="s">
        <v>1828</v>
      </c>
      <c r="Z334">
        <v>-5.620262665230102</v>
      </c>
      <c r="AA334">
        <v>1270</v>
      </c>
      <c r="AB334">
        <v>19762</v>
      </c>
      <c r="AC334" t="s">
        <v>2195</v>
      </c>
      <c r="AD334">
        <v>33.4</v>
      </c>
      <c r="AE334" t="s">
        <v>2566</v>
      </c>
      <c r="AF334" t="s">
        <v>2932</v>
      </c>
      <c r="AG334">
        <v>939</v>
      </c>
      <c r="AH334">
        <v>160</v>
      </c>
      <c r="AI334">
        <v>303197</v>
      </c>
      <c r="AJ334">
        <v>1.81</v>
      </c>
      <c r="AK334" t="b">
        <v>1</v>
      </c>
    </row>
    <row r="335" spans="1:38">
      <c r="A335" s="1" t="s">
        <v>369</v>
      </c>
      <c r="B335" t="s">
        <v>740</v>
      </c>
      <c r="C335">
        <f>HYPERLINK("https://finance.naver.com/item/coinfo.nhn?code=060850", "A060850")</f>
        <v>0</v>
      </c>
      <c r="D335">
        <f>HYPERLINK("http://comp.fnguide.com/SVO2/ASP/SVD_Consensus.asp?pGB=1&amp;gicode=A060850&amp;cID=&amp;MenuYn=Y&amp;ReportGB=&amp;NewMenuID=108&amp;stkGb=701", "영림원소프트랩")</f>
        <v>0</v>
      </c>
      <c r="E335">
        <v>1</v>
      </c>
      <c r="F335">
        <v>8970</v>
      </c>
      <c r="G335">
        <v>0</v>
      </c>
      <c r="H335">
        <v>18.45</v>
      </c>
      <c r="I335">
        <v>11360</v>
      </c>
      <c r="J335">
        <v>7681</v>
      </c>
      <c r="K335">
        <v>6451</v>
      </c>
      <c r="L335">
        <v>-26.65</v>
      </c>
      <c r="M335">
        <v>14.37</v>
      </c>
      <c r="N335">
        <v>28.09</v>
      </c>
      <c r="O335">
        <v>24.52</v>
      </c>
      <c r="P335" t="b">
        <v>1</v>
      </c>
      <c r="Q335">
        <v>0</v>
      </c>
      <c r="R335">
        <v>607</v>
      </c>
      <c r="U335" t="s">
        <v>1112</v>
      </c>
      <c r="V335" t="s">
        <v>1483</v>
      </c>
      <c r="W335">
        <v>0</v>
      </c>
      <c r="Y335" t="s">
        <v>1829</v>
      </c>
      <c r="Z335">
        <v>0</v>
      </c>
      <c r="AA335">
        <v>729</v>
      </c>
      <c r="AB335">
        <v>15092</v>
      </c>
      <c r="AC335" t="s">
        <v>2196</v>
      </c>
      <c r="AD335">
        <v>20.39</v>
      </c>
      <c r="AE335" t="s">
        <v>2567</v>
      </c>
      <c r="AF335" t="s">
        <v>2933</v>
      </c>
      <c r="AG335">
        <v>477</v>
      </c>
      <c r="AH335">
        <v>43</v>
      </c>
      <c r="AI335">
        <v>100000</v>
      </c>
      <c r="AJ335">
        <v>0.98</v>
      </c>
      <c r="AK335" t="b">
        <v>1</v>
      </c>
    </row>
    <row r="336" spans="1:38">
      <c r="A336" s="1" t="s">
        <v>370</v>
      </c>
      <c r="B336" t="s">
        <v>741</v>
      </c>
      <c r="C336">
        <f>HYPERLINK("https://finance.naver.com/item/coinfo.nhn?code=065150", "A065150")</f>
        <v>0</v>
      </c>
      <c r="D336">
        <f>HYPERLINK("http://comp.fnguide.com/SVO2/ASP/SVD_Consensus.asp?pGB=1&amp;gicode=A065150&amp;cID=&amp;MenuYn=Y&amp;ReportGB=&amp;NewMenuID=108&amp;stkGb=701", "엠피대산")</f>
        <v>0</v>
      </c>
      <c r="E336">
        <v>1</v>
      </c>
      <c r="F336">
        <v>568</v>
      </c>
      <c r="G336">
        <v>0</v>
      </c>
      <c r="H336">
        <v>7.49</v>
      </c>
      <c r="I336">
        <v>642</v>
      </c>
      <c r="J336">
        <v>467</v>
      </c>
      <c r="K336">
        <v>408</v>
      </c>
      <c r="L336">
        <v>-12.97</v>
      </c>
      <c r="M336">
        <v>17.86</v>
      </c>
      <c r="N336">
        <v>28.17</v>
      </c>
      <c r="O336">
        <v>19.99</v>
      </c>
      <c r="P336" t="b">
        <v>1</v>
      </c>
      <c r="Q336">
        <v>0</v>
      </c>
      <c r="R336">
        <v>104</v>
      </c>
      <c r="U336" t="s">
        <v>1113</v>
      </c>
      <c r="V336" t="s">
        <v>1484</v>
      </c>
      <c r="W336">
        <v>0</v>
      </c>
      <c r="Y336" t="s">
        <v>1534</v>
      </c>
      <c r="Z336">
        <v>0</v>
      </c>
      <c r="AA336">
        <v>712</v>
      </c>
      <c r="AB336">
        <v>45832</v>
      </c>
      <c r="AC336" t="s">
        <v>2197</v>
      </c>
      <c r="AD336">
        <v>31.93</v>
      </c>
      <c r="AE336" t="s">
        <v>2568</v>
      </c>
      <c r="AF336" t="s">
        <v>2934</v>
      </c>
      <c r="AG336">
        <v>1043</v>
      </c>
      <c r="AH336">
        <v>-9</v>
      </c>
      <c r="AI336">
        <v>362400</v>
      </c>
      <c r="AK336" t="b">
        <v>1</v>
      </c>
    </row>
    <row r="337" spans="1:38">
      <c r="A337" s="1" t="s">
        <v>371</v>
      </c>
      <c r="B337" t="s">
        <v>742</v>
      </c>
      <c r="C337">
        <f>HYPERLINK("https://finance.naver.com/item/coinfo.nhn?code=058630", "A058630")</f>
        <v>0</v>
      </c>
      <c r="D337">
        <f>HYPERLINK("http://comp.fnguide.com/SVO2/ASP/SVD_Consensus.asp?pGB=1&amp;gicode=A058630&amp;cID=&amp;MenuYn=Y&amp;ReportGB=&amp;NewMenuID=108&amp;stkGb=701", "엠게임")</f>
        <v>0</v>
      </c>
      <c r="E337">
        <v>1</v>
      </c>
      <c r="F337">
        <v>7780</v>
      </c>
      <c r="G337">
        <v>0</v>
      </c>
      <c r="H337">
        <v>11.12</v>
      </c>
      <c r="I337">
        <v>10025</v>
      </c>
      <c r="J337">
        <v>6590</v>
      </c>
      <c r="K337">
        <v>5441</v>
      </c>
      <c r="L337">
        <v>-28.86</v>
      </c>
      <c r="M337">
        <v>15.3</v>
      </c>
      <c r="N337">
        <v>30.07</v>
      </c>
      <c r="O337">
        <v>26.75</v>
      </c>
      <c r="P337" t="b">
        <v>1</v>
      </c>
      <c r="Q337">
        <v>0</v>
      </c>
      <c r="R337">
        <v>1097</v>
      </c>
      <c r="U337" t="s">
        <v>1114</v>
      </c>
      <c r="V337" t="s">
        <v>1485</v>
      </c>
      <c r="W337">
        <v>0</v>
      </c>
      <c r="X337">
        <v>-8.300000000000001</v>
      </c>
      <c r="Y337" t="s">
        <v>1830</v>
      </c>
      <c r="Z337">
        <v>49.06790579646143</v>
      </c>
      <c r="AA337">
        <v>1521</v>
      </c>
      <c r="AB337">
        <v>165703</v>
      </c>
      <c r="AC337" t="s">
        <v>2198</v>
      </c>
      <c r="AD337">
        <v>18.36</v>
      </c>
      <c r="AE337" t="s">
        <v>2569</v>
      </c>
      <c r="AF337" t="s">
        <v>2935</v>
      </c>
      <c r="AG337">
        <v>557</v>
      </c>
      <c r="AH337">
        <v>184</v>
      </c>
      <c r="AK337" t="b">
        <v>1</v>
      </c>
    </row>
    <row r="338" spans="1:38">
      <c r="A338" s="1" t="s">
        <v>372</v>
      </c>
      <c r="B338" t="s">
        <v>743</v>
      </c>
      <c r="C338">
        <f>HYPERLINK("https://finance.naver.com/item/coinfo.nhn?code=131970", "A131970")</f>
        <v>0</v>
      </c>
      <c r="D338">
        <f>HYPERLINK("http://comp.fnguide.com/SVO2/ASP/SVD_Consensus.asp?pGB=1&amp;gicode=A131970&amp;cID=&amp;MenuYn=Y&amp;ReportGB=&amp;NewMenuID=108&amp;stkGb=701", "두산테스나")</f>
        <v>0</v>
      </c>
      <c r="E338">
        <v>1</v>
      </c>
      <c r="F338">
        <v>30950</v>
      </c>
      <c r="G338">
        <v>0</v>
      </c>
      <c r="H338">
        <v>18.09</v>
      </c>
      <c r="I338">
        <v>33861</v>
      </c>
      <c r="J338">
        <v>25093</v>
      </c>
      <c r="K338">
        <v>22160</v>
      </c>
      <c r="L338">
        <v>-9.41</v>
      </c>
      <c r="M338">
        <v>18.92</v>
      </c>
      <c r="N338">
        <v>28.4</v>
      </c>
      <c r="O338">
        <v>19.03</v>
      </c>
      <c r="P338" t="b">
        <v>1</v>
      </c>
      <c r="Q338">
        <v>0</v>
      </c>
      <c r="R338">
        <v>2761</v>
      </c>
      <c r="U338" t="s">
        <v>1115</v>
      </c>
      <c r="V338" t="s">
        <v>1486</v>
      </c>
      <c r="W338">
        <v>0</v>
      </c>
      <c r="X338">
        <v>44.4</v>
      </c>
      <c r="Y338" t="s">
        <v>1831</v>
      </c>
      <c r="Z338">
        <v>43.26988986336773</v>
      </c>
      <c r="AA338">
        <v>4568</v>
      </c>
      <c r="AB338">
        <v>124802</v>
      </c>
      <c r="AC338" t="s">
        <v>2199</v>
      </c>
      <c r="AD338">
        <v>19.71</v>
      </c>
      <c r="AE338" t="s">
        <v>2570</v>
      </c>
      <c r="AF338" t="s">
        <v>2936</v>
      </c>
      <c r="AG338">
        <v>2076</v>
      </c>
      <c r="AH338">
        <v>541</v>
      </c>
      <c r="AI338">
        <v>88705</v>
      </c>
      <c r="AJ338">
        <v>0.32</v>
      </c>
      <c r="AK338" t="b">
        <v>1</v>
      </c>
    </row>
    <row r="339" spans="1:38">
      <c r="A339" s="1" t="s">
        <v>373</v>
      </c>
      <c r="B339" t="s">
        <v>744</v>
      </c>
      <c r="C339">
        <f>HYPERLINK("https://finance.naver.com/item/coinfo.nhn?code=002410", "A002410")</f>
        <v>0</v>
      </c>
      <c r="D339">
        <f>HYPERLINK("http://comp.fnguide.com/SVO2/ASP/SVD_Consensus.asp?pGB=1&amp;gicode=A002410&amp;cID=&amp;MenuYn=Y&amp;ReportGB=&amp;NewMenuID=108&amp;stkGb=701", "범양건영")</f>
        <v>0</v>
      </c>
      <c r="E339">
        <v>1</v>
      </c>
      <c r="F339">
        <v>4465</v>
      </c>
      <c r="G339">
        <v>0</v>
      </c>
      <c r="H339">
        <v>33.45</v>
      </c>
      <c r="I339">
        <v>4539</v>
      </c>
      <c r="J339">
        <v>3944</v>
      </c>
      <c r="K339">
        <v>3745</v>
      </c>
      <c r="L339">
        <v>-1.66</v>
      </c>
      <c r="M339">
        <v>11.66</v>
      </c>
      <c r="N339">
        <v>16.12</v>
      </c>
      <c r="O339">
        <v>13.2</v>
      </c>
      <c r="P339" t="b">
        <v>0</v>
      </c>
      <c r="Q339">
        <v>0</v>
      </c>
      <c r="R339">
        <v>195</v>
      </c>
      <c r="U339" t="s">
        <v>1116</v>
      </c>
      <c r="V339" t="s">
        <v>1487</v>
      </c>
      <c r="W339">
        <v>0</v>
      </c>
      <c r="X339">
        <v>-70.3</v>
      </c>
      <c r="Y339" t="s">
        <v>1832</v>
      </c>
      <c r="Z339">
        <v>4.506336092923879</v>
      </c>
      <c r="AA339">
        <v>1109</v>
      </c>
      <c r="AB339">
        <v>178795</v>
      </c>
      <c r="AC339" t="s">
        <v>2200</v>
      </c>
      <c r="AD339">
        <v>28.39</v>
      </c>
      <c r="AE339" t="s">
        <v>2571</v>
      </c>
      <c r="AF339" t="s">
        <v>2937</v>
      </c>
      <c r="AG339">
        <v>1119</v>
      </c>
      <c r="AH339">
        <v>30</v>
      </c>
      <c r="AI339">
        <v>2030</v>
      </c>
      <c r="AK339" t="b">
        <v>1</v>
      </c>
    </row>
    <row r="340" spans="1:38">
      <c r="A340" s="1" t="s">
        <v>374</v>
      </c>
      <c r="B340" t="s">
        <v>745</v>
      </c>
      <c r="C340">
        <f>HYPERLINK("https://finance.naver.com/item/coinfo.nhn?code=129890", "A129890")</f>
        <v>0</v>
      </c>
      <c r="D340">
        <f>HYPERLINK("http://comp.fnguide.com/SVO2/ASP/SVD_Consensus.asp?pGB=1&amp;gicode=A129890&amp;cID=&amp;MenuYn=Y&amp;ReportGB=&amp;NewMenuID=108&amp;stkGb=701", "앱코")</f>
        <v>0</v>
      </c>
      <c r="E340">
        <v>1</v>
      </c>
      <c r="F340">
        <v>11450</v>
      </c>
      <c r="I340">
        <v>15006</v>
      </c>
      <c r="J340">
        <v>10750</v>
      </c>
      <c r="K340">
        <v>9327</v>
      </c>
      <c r="L340">
        <v>-31.06</v>
      </c>
      <c r="M340">
        <v>6.11</v>
      </c>
      <c r="N340">
        <v>18.55</v>
      </c>
      <c r="O340">
        <v>20.8</v>
      </c>
      <c r="P340" t="b">
        <v>0</v>
      </c>
      <c r="Q340">
        <v>1</v>
      </c>
      <c r="R340">
        <v>-727</v>
      </c>
      <c r="S340">
        <v>830</v>
      </c>
      <c r="T340">
        <v>-214.2</v>
      </c>
      <c r="U340" t="s">
        <v>1117</v>
      </c>
      <c r="V340" t="s">
        <v>1488</v>
      </c>
      <c r="W340">
        <v>22.13543729021394</v>
      </c>
      <c r="Y340" t="s">
        <v>1833</v>
      </c>
      <c r="Z340">
        <v>0</v>
      </c>
      <c r="AA340">
        <v>1160</v>
      </c>
      <c r="AB340">
        <v>170949</v>
      </c>
      <c r="AC340" t="s">
        <v>2201</v>
      </c>
      <c r="AD340">
        <v>49.96</v>
      </c>
      <c r="AE340" t="s">
        <v>2572</v>
      </c>
      <c r="AF340" t="s">
        <v>2938</v>
      </c>
      <c r="AG340">
        <v>1018</v>
      </c>
      <c r="AH340">
        <v>-92</v>
      </c>
      <c r="AI340">
        <v>48419</v>
      </c>
      <c r="AL340" t="b">
        <v>0</v>
      </c>
    </row>
    <row r="341" spans="1:38">
      <c r="A341" s="1" t="s">
        <v>375</v>
      </c>
      <c r="B341" t="s">
        <v>746</v>
      </c>
      <c r="C341">
        <f>HYPERLINK("https://finance.naver.com/item/coinfo.nhn?code=036810", "A036810")</f>
        <v>0</v>
      </c>
      <c r="D341">
        <f>HYPERLINK("http://comp.fnguide.com/SVO2/ASP/SVD_Consensus.asp?pGB=1&amp;gicode=A036810&amp;cID=&amp;MenuYn=Y&amp;ReportGB=&amp;NewMenuID=108&amp;stkGb=701", "에프에스티")</f>
        <v>0</v>
      </c>
      <c r="E341">
        <v>1</v>
      </c>
      <c r="F341">
        <v>15600</v>
      </c>
      <c r="G341">
        <v>0</v>
      </c>
      <c r="H341">
        <v>16.91</v>
      </c>
      <c r="I341">
        <v>18264</v>
      </c>
      <c r="J341">
        <v>13961</v>
      </c>
      <c r="K341">
        <v>12522</v>
      </c>
      <c r="L341">
        <v>-17.08</v>
      </c>
      <c r="M341">
        <v>10.51</v>
      </c>
      <c r="N341">
        <v>19.73</v>
      </c>
      <c r="O341">
        <v>17.61</v>
      </c>
      <c r="P341" t="b">
        <v>1</v>
      </c>
      <c r="Q341">
        <v>0</v>
      </c>
      <c r="R341">
        <v>1499</v>
      </c>
      <c r="U341" t="s">
        <v>1118</v>
      </c>
      <c r="V341" t="s">
        <v>1489</v>
      </c>
      <c r="W341">
        <v>0</v>
      </c>
      <c r="X341">
        <v>-93.40000000000001</v>
      </c>
      <c r="Y341" t="s">
        <v>1834</v>
      </c>
      <c r="Z341">
        <v>-27.71265915136378</v>
      </c>
      <c r="AA341">
        <v>3394</v>
      </c>
      <c r="AB341">
        <v>31524</v>
      </c>
      <c r="AC341" t="s">
        <v>2202</v>
      </c>
      <c r="AD341">
        <v>24.21</v>
      </c>
      <c r="AE341" t="s">
        <v>2573</v>
      </c>
      <c r="AF341" t="s">
        <v>2939</v>
      </c>
      <c r="AG341">
        <v>2137</v>
      </c>
      <c r="AH341">
        <v>226</v>
      </c>
      <c r="AI341">
        <v>2139147</v>
      </c>
      <c r="AJ341">
        <v>0.51</v>
      </c>
      <c r="AK341" t="b">
        <v>1</v>
      </c>
    </row>
    <row r="342" spans="1:38">
      <c r="A342" s="1" t="s">
        <v>376</v>
      </c>
      <c r="B342" t="s">
        <v>747</v>
      </c>
      <c r="C342">
        <f>HYPERLINK("https://finance.naver.com/item/coinfo.nhn?code=086520", "A086520")</f>
        <v>0</v>
      </c>
      <c r="D342">
        <f>HYPERLINK("http://comp.fnguide.com/SVO2/ASP/SVD_Consensus.asp?pGB=1&amp;gicode=A086520&amp;cID=&amp;MenuYn=Y&amp;ReportGB=&amp;NewMenuID=108&amp;stkGb=701", "에코프로")</f>
        <v>0</v>
      </c>
      <c r="E342">
        <v>1</v>
      </c>
      <c r="F342">
        <v>89300</v>
      </c>
      <c r="G342">
        <v>0.1</v>
      </c>
      <c r="H342">
        <v>10.37</v>
      </c>
      <c r="I342">
        <v>95916</v>
      </c>
      <c r="J342">
        <v>68914</v>
      </c>
      <c r="K342">
        <v>59884</v>
      </c>
      <c r="L342">
        <v>-7.41</v>
      </c>
      <c r="M342">
        <v>22.83</v>
      </c>
      <c r="N342">
        <v>32.94</v>
      </c>
      <c r="O342">
        <v>20.63</v>
      </c>
      <c r="P342" t="b">
        <v>1</v>
      </c>
      <c r="Q342">
        <v>0</v>
      </c>
      <c r="R342">
        <v>11334</v>
      </c>
      <c r="S342">
        <v>8218</v>
      </c>
      <c r="T342">
        <v>-27.5</v>
      </c>
      <c r="U342" t="s">
        <v>1119</v>
      </c>
      <c r="V342" t="s">
        <v>1490</v>
      </c>
      <c r="W342">
        <v>107.0586543315122</v>
      </c>
      <c r="X342">
        <v>378</v>
      </c>
      <c r="Y342" t="s">
        <v>1835</v>
      </c>
      <c r="Z342">
        <v>0</v>
      </c>
      <c r="AA342">
        <v>21835</v>
      </c>
      <c r="AB342">
        <v>452975</v>
      </c>
      <c r="AC342" t="s">
        <v>2203</v>
      </c>
      <c r="AD342">
        <v>27.67</v>
      </c>
      <c r="AE342" t="s">
        <v>2574</v>
      </c>
      <c r="AF342" t="s">
        <v>2940</v>
      </c>
      <c r="AG342">
        <v>15041</v>
      </c>
      <c r="AH342">
        <v>865</v>
      </c>
      <c r="AI342">
        <v>215506</v>
      </c>
      <c r="AJ342">
        <v>0.36</v>
      </c>
      <c r="AK342" t="b">
        <v>1</v>
      </c>
    </row>
    <row r="343" spans="1:38">
      <c r="A343" s="1" t="s">
        <v>377</v>
      </c>
      <c r="B343" t="s">
        <v>748</v>
      </c>
      <c r="C343">
        <f>HYPERLINK("https://finance.naver.com/item/coinfo.nhn?code=089970", "A089970")</f>
        <v>0</v>
      </c>
      <c r="D343">
        <f>HYPERLINK("http://comp.fnguide.com/SVO2/ASP/SVD_Consensus.asp?pGB=1&amp;gicode=A089970&amp;cID=&amp;MenuYn=Y&amp;ReportGB=&amp;NewMenuID=108&amp;stkGb=701", "에이피티씨")</f>
        <v>0</v>
      </c>
      <c r="E343">
        <v>1</v>
      </c>
      <c r="F343">
        <v>16550</v>
      </c>
      <c r="G343">
        <v>0</v>
      </c>
      <c r="H343">
        <v>11.25</v>
      </c>
      <c r="I343">
        <v>19661</v>
      </c>
      <c r="J343">
        <v>11768</v>
      </c>
      <c r="K343">
        <v>9127</v>
      </c>
      <c r="L343">
        <v>-18.8</v>
      </c>
      <c r="M343">
        <v>28.9</v>
      </c>
      <c r="N343">
        <v>44.85</v>
      </c>
      <c r="O343">
        <v>37.43</v>
      </c>
      <c r="P343" t="b">
        <v>1</v>
      </c>
      <c r="Q343">
        <v>0</v>
      </c>
      <c r="R343">
        <v>1968</v>
      </c>
      <c r="U343" t="s">
        <v>1120</v>
      </c>
      <c r="V343" t="s">
        <v>1491</v>
      </c>
      <c r="W343">
        <v>0</v>
      </c>
      <c r="X343">
        <v>-25</v>
      </c>
      <c r="Y343" t="s">
        <v>1836</v>
      </c>
      <c r="Z343">
        <v>23.80826763328436</v>
      </c>
      <c r="AA343">
        <v>3922</v>
      </c>
      <c r="AB343">
        <v>104621</v>
      </c>
      <c r="AC343" t="s">
        <v>2204</v>
      </c>
      <c r="AD343">
        <v>26.74</v>
      </c>
      <c r="AE343" t="s">
        <v>2575</v>
      </c>
      <c r="AF343" t="s">
        <v>2941</v>
      </c>
      <c r="AG343">
        <v>1781</v>
      </c>
      <c r="AH343">
        <v>540</v>
      </c>
      <c r="AI343">
        <v>2088971</v>
      </c>
      <c r="AJ343">
        <v>5.42</v>
      </c>
      <c r="AK343" t="b">
        <v>1</v>
      </c>
    </row>
    <row r="344" spans="1:38">
      <c r="A344" s="1" t="s">
        <v>378</v>
      </c>
      <c r="B344" t="s">
        <v>749</v>
      </c>
      <c r="C344">
        <f>HYPERLINK("https://finance.naver.com/item/coinfo.nhn?code=028050", "A028050")</f>
        <v>0</v>
      </c>
      <c r="D344">
        <f>HYPERLINK("http://comp.fnguide.com/SVO2/ASP/SVD_Consensus.asp?pGB=1&amp;gicode=A028050&amp;cID=&amp;MenuYn=Y&amp;ReportGB=&amp;NewMenuID=108&amp;stkGb=701", "삼성엔지니어링")</f>
        <v>0</v>
      </c>
      <c r="E344">
        <v>1</v>
      </c>
      <c r="F344">
        <v>19600</v>
      </c>
      <c r="G344">
        <v>0.84</v>
      </c>
      <c r="H344">
        <v>12.05</v>
      </c>
      <c r="I344">
        <v>21031</v>
      </c>
      <c r="J344">
        <v>15095</v>
      </c>
      <c r="K344">
        <v>13110</v>
      </c>
      <c r="L344">
        <v>-7.3</v>
      </c>
      <c r="M344">
        <v>22.98</v>
      </c>
      <c r="N344">
        <v>33.11</v>
      </c>
      <c r="O344">
        <v>20.69</v>
      </c>
      <c r="P344" t="b">
        <v>0</v>
      </c>
      <c r="Q344">
        <v>2</v>
      </c>
      <c r="R344">
        <v>1900</v>
      </c>
      <c r="S344">
        <v>2449</v>
      </c>
      <c r="T344">
        <v>28.9</v>
      </c>
      <c r="U344" t="s">
        <v>1121</v>
      </c>
      <c r="V344" t="s">
        <v>1492</v>
      </c>
      <c r="W344">
        <v>14.37731308091439</v>
      </c>
      <c r="X344">
        <v>5.9</v>
      </c>
      <c r="Y344" t="s">
        <v>1837</v>
      </c>
      <c r="Z344">
        <v>0</v>
      </c>
      <c r="AA344">
        <v>38416</v>
      </c>
      <c r="AB344">
        <v>1265378</v>
      </c>
      <c r="AC344" t="s">
        <v>2205</v>
      </c>
      <c r="AD344">
        <v>20.66</v>
      </c>
      <c r="AE344" t="s">
        <v>2576</v>
      </c>
      <c r="AF344" t="s">
        <v>2942</v>
      </c>
      <c r="AG344">
        <v>74867</v>
      </c>
      <c r="AH344">
        <v>5033</v>
      </c>
      <c r="AK344" t="b">
        <v>1</v>
      </c>
    </row>
    <row r="345" spans="1:38">
      <c r="A345" s="1" t="s">
        <v>379</v>
      </c>
      <c r="B345" t="s">
        <v>750</v>
      </c>
      <c r="C345">
        <f>HYPERLINK("https://finance.naver.com/item/coinfo.nhn?code=239610", "A239610")</f>
        <v>0</v>
      </c>
      <c r="D345">
        <f>HYPERLINK("http://comp.fnguide.com/SVO2/ASP/SVD_Consensus.asp?pGB=1&amp;gicode=A239610&amp;cID=&amp;MenuYn=Y&amp;ReportGB=&amp;NewMenuID=108&amp;stkGb=701", "에이치엘사이언스")</f>
        <v>0</v>
      </c>
      <c r="E345">
        <v>1</v>
      </c>
      <c r="F345">
        <v>30400</v>
      </c>
      <c r="G345">
        <v>0</v>
      </c>
      <c r="H345">
        <v>14.22</v>
      </c>
      <c r="I345">
        <v>37902</v>
      </c>
      <c r="J345">
        <v>28324</v>
      </c>
      <c r="K345">
        <v>25120</v>
      </c>
      <c r="L345">
        <v>-24.68</v>
      </c>
      <c r="M345">
        <v>6.83</v>
      </c>
      <c r="N345">
        <v>17.37</v>
      </c>
      <c r="O345">
        <v>18.62</v>
      </c>
      <c r="P345" t="b">
        <v>1</v>
      </c>
      <c r="Q345">
        <v>0</v>
      </c>
      <c r="R345">
        <v>2511</v>
      </c>
      <c r="U345" t="s">
        <v>1122</v>
      </c>
      <c r="V345" t="s">
        <v>1493</v>
      </c>
      <c r="W345">
        <v>0</v>
      </c>
      <c r="X345">
        <v>-43</v>
      </c>
      <c r="Y345" t="s">
        <v>1838</v>
      </c>
      <c r="Z345">
        <v>9.319959719571379</v>
      </c>
      <c r="AA345">
        <v>1639</v>
      </c>
      <c r="AB345">
        <v>4487</v>
      </c>
      <c r="AC345" t="s">
        <v>2206</v>
      </c>
      <c r="AD345">
        <v>63.25</v>
      </c>
      <c r="AE345" t="s">
        <v>2577</v>
      </c>
      <c r="AF345" t="s">
        <v>2943</v>
      </c>
      <c r="AG345">
        <v>1044</v>
      </c>
      <c r="AH345">
        <v>148</v>
      </c>
      <c r="AI345">
        <v>145575</v>
      </c>
      <c r="AJ345">
        <v>1.12</v>
      </c>
      <c r="AK345" t="b">
        <v>1</v>
      </c>
    </row>
    <row r="346" spans="1:38">
      <c r="A346" s="1" t="s">
        <v>380</v>
      </c>
      <c r="B346" t="s">
        <v>751</v>
      </c>
      <c r="C346">
        <f>HYPERLINK("https://finance.naver.com/item/coinfo.nhn?code=068290", "A068290")</f>
        <v>0</v>
      </c>
      <c r="D346">
        <f>HYPERLINK("http://comp.fnguide.com/SVO2/ASP/SVD_Consensus.asp?pGB=1&amp;gicode=A068290&amp;cID=&amp;MenuYn=Y&amp;ReportGB=&amp;NewMenuID=108&amp;stkGb=701", "삼성출판사")</f>
        <v>0</v>
      </c>
      <c r="E346">
        <v>1</v>
      </c>
      <c r="F346">
        <v>26450</v>
      </c>
      <c r="G346">
        <v>0</v>
      </c>
      <c r="H346">
        <v>104.93</v>
      </c>
      <c r="I346">
        <v>32216</v>
      </c>
      <c r="J346">
        <v>24951</v>
      </c>
      <c r="K346">
        <v>22521</v>
      </c>
      <c r="L346">
        <v>-21.8</v>
      </c>
      <c r="M346">
        <v>5.67</v>
      </c>
      <c r="N346">
        <v>14.85</v>
      </c>
      <c r="O346">
        <v>17.06</v>
      </c>
      <c r="P346" t="b">
        <v>0</v>
      </c>
      <c r="Q346">
        <v>0</v>
      </c>
      <c r="R346">
        <v>316</v>
      </c>
      <c r="U346" t="s">
        <v>1123</v>
      </c>
      <c r="V346" t="s">
        <v>1494</v>
      </c>
      <c r="W346">
        <v>0</v>
      </c>
      <c r="X346">
        <v>188.5</v>
      </c>
      <c r="Y346" t="s">
        <v>1839</v>
      </c>
      <c r="Z346">
        <v>21.7964077472413</v>
      </c>
      <c r="AA346">
        <v>2645</v>
      </c>
      <c r="AB346">
        <v>22255</v>
      </c>
      <c r="AC346" t="s">
        <v>2207</v>
      </c>
      <c r="AD346">
        <v>64.48999999999999</v>
      </c>
      <c r="AE346" t="s">
        <v>2578</v>
      </c>
      <c r="AF346" t="s">
        <v>2944</v>
      </c>
      <c r="AG346">
        <v>1875</v>
      </c>
      <c r="AH346">
        <v>80</v>
      </c>
      <c r="AJ346">
        <v>0.6</v>
      </c>
      <c r="AK346" t="b">
        <v>1</v>
      </c>
    </row>
    <row r="347" spans="1:38">
      <c r="A347" s="1" t="s">
        <v>381</v>
      </c>
      <c r="B347" t="s">
        <v>752</v>
      </c>
      <c r="C347">
        <f>HYPERLINK("https://finance.naver.com/item/coinfo.nhn?code=021240", "A021240")</f>
        <v>0</v>
      </c>
      <c r="D347">
        <f>HYPERLINK("http://comp.fnguide.com/SVO2/ASP/SVD_Consensus.asp?pGB=1&amp;gicode=A021240&amp;cID=&amp;MenuYn=Y&amp;ReportGB=&amp;NewMenuID=108&amp;stkGb=701", "코웨이")</f>
        <v>0</v>
      </c>
      <c r="E347">
        <v>1</v>
      </c>
      <c r="F347">
        <v>64100</v>
      </c>
      <c r="G347">
        <v>0.76</v>
      </c>
      <c r="H347">
        <v>11.79</v>
      </c>
      <c r="I347">
        <v>76665</v>
      </c>
      <c r="J347">
        <v>49003</v>
      </c>
      <c r="K347">
        <v>39752</v>
      </c>
      <c r="L347">
        <v>-19.6</v>
      </c>
      <c r="M347">
        <v>23.55</v>
      </c>
      <c r="N347">
        <v>37.98</v>
      </c>
      <c r="O347">
        <v>29.33</v>
      </c>
      <c r="P347" t="b">
        <v>0</v>
      </c>
      <c r="Q347">
        <v>3</v>
      </c>
      <c r="R347">
        <v>6310</v>
      </c>
      <c r="S347">
        <v>6956</v>
      </c>
      <c r="T347">
        <v>10.2</v>
      </c>
      <c r="U347" t="s">
        <v>1124</v>
      </c>
      <c r="V347" t="s">
        <v>1495</v>
      </c>
      <c r="W347">
        <v>15.50594473503177</v>
      </c>
      <c r="X347">
        <v>7.3</v>
      </c>
      <c r="Y347" t="s">
        <v>1840</v>
      </c>
      <c r="Z347">
        <v>9.362460323687905</v>
      </c>
      <c r="AA347">
        <v>47306</v>
      </c>
      <c r="AB347">
        <v>119232</v>
      </c>
      <c r="AC347" t="s">
        <v>2208</v>
      </c>
      <c r="AD347">
        <v>25.11</v>
      </c>
      <c r="AE347" t="s">
        <v>2579</v>
      </c>
      <c r="AF347" t="s">
        <v>2945</v>
      </c>
      <c r="AG347">
        <v>36643</v>
      </c>
      <c r="AH347">
        <v>6402</v>
      </c>
      <c r="AI347">
        <v>1243994</v>
      </c>
      <c r="AJ347">
        <v>1.68</v>
      </c>
      <c r="AK347" t="b">
        <v>1</v>
      </c>
    </row>
    <row r="348" spans="1:38">
      <c r="A348" s="1" t="s">
        <v>382</v>
      </c>
      <c r="B348" t="s">
        <v>753</v>
      </c>
      <c r="C348">
        <f>HYPERLINK("https://finance.naver.com/item/coinfo.nhn?code=092200", "A092200")</f>
        <v>0</v>
      </c>
      <c r="D348">
        <f>HYPERLINK("http://comp.fnguide.com/SVO2/ASP/SVD_Consensus.asp?pGB=1&amp;gicode=A092200&amp;cID=&amp;MenuYn=Y&amp;ReportGB=&amp;NewMenuID=108&amp;stkGb=701", "디아이씨")</f>
        <v>0</v>
      </c>
      <c r="E348">
        <v>1</v>
      </c>
      <c r="F348">
        <v>4545</v>
      </c>
      <c r="G348">
        <v>0</v>
      </c>
      <c r="H348">
        <v>7.48</v>
      </c>
      <c r="I348">
        <v>5377</v>
      </c>
      <c r="J348">
        <v>3743</v>
      </c>
      <c r="K348">
        <v>3197</v>
      </c>
      <c r="L348">
        <v>-18.31</v>
      </c>
      <c r="M348">
        <v>17.64</v>
      </c>
      <c r="N348">
        <v>29.66</v>
      </c>
      <c r="O348">
        <v>22.52</v>
      </c>
      <c r="P348" t="b">
        <v>1</v>
      </c>
      <c r="Q348">
        <v>0</v>
      </c>
      <c r="R348">
        <v>745</v>
      </c>
      <c r="U348" t="s">
        <v>1125</v>
      </c>
      <c r="V348" t="s">
        <v>1496</v>
      </c>
      <c r="W348">
        <v>0</v>
      </c>
      <c r="X348">
        <v>-42.6</v>
      </c>
      <c r="Y348" t="s">
        <v>1841</v>
      </c>
      <c r="Z348">
        <v>0</v>
      </c>
      <c r="AA348">
        <v>1767</v>
      </c>
      <c r="AB348">
        <v>240860</v>
      </c>
      <c r="AC348" t="s">
        <v>2209</v>
      </c>
      <c r="AD348">
        <v>38.58</v>
      </c>
      <c r="AE348" t="s">
        <v>2580</v>
      </c>
      <c r="AF348" t="s">
        <v>2946</v>
      </c>
      <c r="AG348">
        <v>5901</v>
      </c>
      <c r="AH348">
        <v>273</v>
      </c>
      <c r="AI348">
        <v>142694</v>
      </c>
      <c r="AL348" t="b">
        <v>0</v>
      </c>
    </row>
    <row r="349" spans="1:38">
      <c r="A349" s="1" t="s">
        <v>383</v>
      </c>
      <c r="B349" t="s">
        <v>754</v>
      </c>
      <c r="C349">
        <f>HYPERLINK("https://finance.naver.com/item/coinfo.nhn?code=027360", "A027360")</f>
        <v>0</v>
      </c>
      <c r="D349">
        <f>HYPERLINK("http://comp.fnguide.com/SVO2/ASP/SVD_Consensus.asp?pGB=1&amp;gicode=A027360&amp;cID=&amp;MenuYn=Y&amp;ReportGB=&amp;NewMenuID=108&amp;stkGb=701", "아주IB투자")</f>
        <v>0</v>
      </c>
      <c r="E349">
        <v>1</v>
      </c>
      <c r="F349">
        <v>3155</v>
      </c>
      <c r="G349">
        <v>0</v>
      </c>
      <c r="H349">
        <v>12.24</v>
      </c>
      <c r="I349">
        <v>4035</v>
      </c>
      <c r="J349">
        <v>2997</v>
      </c>
      <c r="K349">
        <v>2650</v>
      </c>
      <c r="L349">
        <v>-27.89</v>
      </c>
      <c r="M349">
        <v>5</v>
      </c>
      <c r="N349">
        <v>16</v>
      </c>
      <c r="O349">
        <v>18.91</v>
      </c>
      <c r="P349" t="b">
        <v>0</v>
      </c>
      <c r="Q349">
        <v>0</v>
      </c>
      <c r="R349">
        <v>327</v>
      </c>
      <c r="U349" t="s">
        <v>1126</v>
      </c>
      <c r="V349" t="s">
        <v>1497</v>
      </c>
      <c r="W349">
        <v>0</v>
      </c>
      <c r="Y349" t="s">
        <v>1536</v>
      </c>
      <c r="Z349">
        <v>0</v>
      </c>
      <c r="AA349">
        <v>3812</v>
      </c>
      <c r="AB349">
        <v>1405106</v>
      </c>
      <c r="AC349" t="s">
        <v>2210</v>
      </c>
      <c r="AD349">
        <v>60.6</v>
      </c>
      <c r="AE349" t="s">
        <v>2581</v>
      </c>
      <c r="AF349" t="s">
        <v>2947</v>
      </c>
      <c r="AG349">
        <v>660</v>
      </c>
      <c r="AH349">
        <v>520</v>
      </c>
      <c r="AI349">
        <v>2882446</v>
      </c>
      <c r="AJ349">
        <v>2.5</v>
      </c>
      <c r="AK349" t="b">
        <v>1</v>
      </c>
    </row>
    <row r="350" spans="1:38">
      <c r="A350" s="1" t="s">
        <v>384</v>
      </c>
      <c r="B350" t="s">
        <v>755</v>
      </c>
      <c r="C350">
        <f>HYPERLINK("https://finance.naver.com/item/coinfo.nhn?code=339770", "A339770")</f>
        <v>0</v>
      </c>
      <c r="D350">
        <f>HYPERLINK("http://comp.fnguide.com/SVO2/ASP/SVD_Consensus.asp?pGB=1&amp;gicode=A339770&amp;cID=&amp;MenuYn=Y&amp;ReportGB=&amp;NewMenuID=108&amp;stkGb=701", "교촌에프앤비")</f>
        <v>0</v>
      </c>
      <c r="E350">
        <v>1</v>
      </c>
      <c r="F350">
        <v>12300</v>
      </c>
      <c r="G350">
        <v>-4.95</v>
      </c>
      <c r="H350">
        <v>13.89</v>
      </c>
      <c r="I350">
        <v>16498</v>
      </c>
      <c r="J350">
        <v>11393</v>
      </c>
      <c r="K350">
        <v>9686</v>
      </c>
      <c r="L350">
        <v>-34.13</v>
      </c>
      <c r="M350">
        <v>7.37</v>
      </c>
      <c r="N350">
        <v>21.26</v>
      </c>
      <c r="O350">
        <v>23.04</v>
      </c>
      <c r="P350" t="b">
        <v>0</v>
      </c>
      <c r="Q350">
        <v>2</v>
      </c>
      <c r="R350">
        <v>1195</v>
      </c>
      <c r="S350">
        <v>1295</v>
      </c>
      <c r="T350">
        <v>8.4</v>
      </c>
      <c r="U350" t="s">
        <v>1127</v>
      </c>
      <c r="V350" t="s">
        <v>1498</v>
      </c>
      <c r="W350">
        <v>-2.805849590230247</v>
      </c>
      <c r="X350">
        <v>-15</v>
      </c>
      <c r="Y350" t="s">
        <v>1842</v>
      </c>
      <c r="Z350">
        <v>-42.81927181647711</v>
      </c>
      <c r="AA350">
        <v>3073</v>
      </c>
      <c r="AB350">
        <v>59890</v>
      </c>
      <c r="AC350" t="s">
        <v>2211</v>
      </c>
      <c r="AD350">
        <v>70.13</v>
      </c>
      <c r="AE350" t="s">
        <v>2582</v>
      </c>
      <c r="AF350" t="s">
        <v>2948</v>
      </c>
      <c r="AG350">
        <v>5076</v>
      </c>
      <c r="AH350">
        <v>410</v>
      </c>
      <c r="AJ350">
        <v>1.81</v>
      </c>
      <c r="AK350" t="b">
        <v>1</v>
      </c>
    </row>
    <row r="351" spans="1:38">
      <c r="A351" s="1" t="s">
        <v>385</v>
      </c>
      <c r="B351" t="s">
        <v>756</v>
      </c>
      <c r="C351">
        <f>HYPERLINK("https://finance.naver.com/item/coinfo.nhn?code=277410", "A277410")</f>
        <v>0</v>
      </c>
      <c r="D351">
        <f>HYPERLINK("http://comp.fnguide.com/SVO2/ASP/SVD_Consensus.asp?pGB=1&amp;gicode=A277410&amp;cID=&amp;MenuYn=Y&amp;ReportGB=&amp;NewMenuID=108&amp;stkGb=701", "인산가")</f>
        <v>0</v>
      </c>
      <c r="E351">
        <v>1</v>
      </c>
      <c r="F351">
        <v>2130</v>
      </c>
      <c r="G351">
        <v>0</v>
      </c>
      <c r="H351">
        <v>10.75</v>
      </c>
      <c r="I351">
        <v>2176</v>
      </c>
      <c r="J351">
        <v>1827</v>
      </c>
      <c r="K351">
        <v>1710</v>
      </c>
      <c r="L351">
        <v>-2.16</v>
      </c>
      <c r="M351">
        <v>14.23</v>
      </c>
      <c r="N351">
        <v>19.71</v>
      </c>
      <c r="O351">
        <v>14.2</v>
      </c>
      <c r="P351" t="b">
        <v>1</v>
      </c>
      <c r="Q351">
        <v>0</v>
      </c>
      <c r="R351">
        <v>197</v>
      </c>
      <c r="U351" t="s">
        <v>1128</v>
      </c>
      <c r="V351" t="s">
        <v>1499</v>
      </c>
      <c r="W351">
        <v>0</v>
      </c>
      <c r="X351">
        <v>-14.9</v>
      </c>
      <c r="Y351" t="s">
        <v>1843</v>
      </c>
      <c r="Z351">
        <v>0</v>
      </c>
      <c r="AA351">
        <v>690</v>
      </c>
      <c r="AB351">
        <v>187515</v>
      </c>
      <c r="AC351" t="s">
        <v>2212</v>
      </c>
      <c r="AD351">
        <v>29.68</v>
      </c>
      <c r="AE351" t="s">
        <v>2583</v>
      </c>
      <c r="AF351" t="s">
        <v>2949</v>
      </c>
      <c r="AG351">
        <v>383</v>
      </c>
      <c r="AH351">
        <v>82</v>
      </c>
      <c r="AI351">
        <v>44106</v>
      </c>
      <c r="AJ351">
        <v>3.77</v>
      </c>
      <c r="AK351" t="b">
        <v>1</v>
      </c>
    </row>
    <row r="352" spans="1:38">
      <c r="A352" s="1" t="s">
        <v>386</v>
      </c>
      <c r="B352" t="s">
        <v>757</v>
      </c>
      <c r="C352">
        <f>HYPERLINK("https://finance.naver.com/item/coinfo.nhn?code=139990", "A139990")</f>
        <v>0</v>
      </c>
      <c r="D352">
        <f>HYPERLINK("http://comp.fnguide.com/SVO2/ASP/SVD_Consensus.asp?pGB=1&amp;gicode=A139990&amp;cID=&amp;MenuYn=Y&amp;ReportGB=&amp;NewMenuID=108&amp;stkGb=701", "아주스틸")</f>
        <v>0</v>
      </c>
      <c r="E352">
        <v>1</v>
      </c>
      <c r="F352">
        <v>11950</v>
      </c>
      <c r="G352">
        <v>0</v>
      </c>
      <c r="H352">
        <v>13.1</v>
      </c>
      <c r="I352">
        <v>12145</v>
      </c>
      <c r="J352">
        <v>10365</v>
      </c>
      <c r="K352">
        <v>9770</v>
      </c>
      <c r="L352">
        <v>-1.63</v>
      </c>
      <c r="M352">
        <v>13.26</v>
      </c>
      <c r="N352">
        <v>18.24</v>
      </c>
      <c r="O352">
        <v>13.71</v>
      </c>
      <c r="P352" t="b">
        <v>0</v>
      </c>
      <c r="Q352">
        <v>0</v>
      </c>
      <c r="R352">
        <v>1413</v>
      </c>
      <c r="U352" t="s">
        <v>1129</v>
      </c>
      <c r="V352" t="s">
        <v>1500</v>
      </c>
      <c r="W352">
        <v>0</v>
      </c>
      <c r="X352">
        <v>-53.3</v>
      </c>
      <c r="Y352" t="s">
        <v>1844</v>
      </c>
      <c r="Z352">
        <v>0</v>
      </c>
      <c r="AA352">
        <v>3161</v>
      </c>
      <c r="AB352">
        <v>386596</v>
      </c>
      <c r="AC352" t="s">
        <v>2213</v>
      </c>
      <c r="AD352">
        <v>44.56</v>
      </c>
      <c r="AE352" t="s">
        <v>2584</v>
      </c>
      <c r="AF352" t="s">
        <v>2950</v>
      </c>
      <c r="AG352">
        <v>9334</v>
      </c>
      <c r="AH352">
        <v>553</v>
      </c>
      <c r="AK352" t="b">
        <v>1</v>
      </c>
    </row>
    <row r="353" spans="1:37">
      <c r="A353" s="1" t="s">
        <v>387</v>
      </c>
      <c r="B353" t="s">
        <v>758</v>
      </c>
      <c r="C353">
        <f>HYPERLINK("https://finance.naver.com/item/coinfo.nhn?code=194700", "A194700")</f>
        <v>0</v>
      </c>
      <c r="D353">
        <f>HYPERLINK("http://comp.fnguide.com/SVO2/ASP/SVD_Consensus.asp?pGB=1&amp;gicode=A194700&amp;cID=&amp;MenuYn=Y&amp;ReportGB=&amp;NewMenuID=108&amp;stkGb=701", "노바렉스")</f>
        <v>0</v>
      </c>
      <c r="E353">
        <v>1</v>
      </c>
      <c r="F353">
        <v>32000</v>
      </c>
      <c r="G353">
        <v>0.44</v>
      </c>
      <c r="H353">
        <v>13.11</v>
      </c>
      <c r="I353">
        <v>37229</v>
      </c>
      <c r="J353">
        <v>26439</v>
      </c>
      <c r="K353">
        <v>22830</v>
      </c>
      <c r="L353">
        <v>-16.34</v>
      </c>
      <c r="M353">
        <v>17.38</v>
      </c>
      <c r="N353">
        <v>28.66</v>
      </c>
      <c r="O353">
        <v>21.3</v>
      </c>
      <c r="P353" t="b">
        <v>1</v>
      </c>
      <c r="Q353">
        <v>3</v>
      </c>
      <c r="R353">
        <v>2932</v>
      </c>
      <c r="S353">
        <v>3554</v>
      </c>
      <c r="T353">
        <v>21.2</v>
      </c>
      <c r="U353" t="s">
        <v>1130</v>
      </c>
      <c r="V353" t="s">
        <v>1501</v>
      </c>
      <c r="W353">
        <v>29.56210454675756</v>
      </c>
      <c r="X353">
        <v>-4.4</v>
      </c>
      <c r="Y353" t="s">
        <v>1845</v>
      </c>
      <c r="Z353">
        <v>21.45743862439988</v>
      </c>
      <c r="AA353">
        <v>3169</v>
      </c>
      <c r="AB353">
        <v>19711</v>
      </c>
      <c r="AC353" t="s">
        <v>2214</v>
      </c>
      <c r="AD353">
        <v>32.31</v>
      </c>
      <c r="AE353" t="s">
        <v>2585</v>
      </c>
      <c r="AF353" t="s">
        <v>2951</v>
      </c>
      <c r="AG353">
        <v>2788</v>
      </c>
      <c r="AH353">
        <v>300</v>
      </c>
      <c r="AI353">
        <v>1052632</v>
      </c>
      <c r="AJ353">
        <v>0.78</v>
      </c>
      <c r="AK353" t="b">
        <v>1</v>
      </c>
    </row>
    <row r="354" spans="1:37">
      <c r="A354" s="1" t="s">
        <v>388</v>
      </c>
      <c r="B354" t="s">
        <v>759</v>
      </c>
      <c r="C354">
        <f>HYPERLINK("https://finance.naver.com/item/coinfo.nhn?code=137950", "A137950")</f>
        <v>0</v>
      </c>
      <c r="D354">
        <f>HYPERLINK("http://comp.fnguide.com/SVO2/ASP/SVD_Consensus.asp?pGB=1&amp;gicode=A137950&amp;cID=&amp;MenuYn=Y&amp;ReportGB=&amp;NewMenuID=108&amp;stkGb=701", "제이씨케미칼")</f>
        <v>0</v>
      </c>
      <c r="E354">
        <v>1</v>
      </c>
      <c r="F354">
        <v>8560</v>
      </c>
      <c r="G354">
        <v>0</v>
      </c>
      <c r="H354">
        <v>6.23</v>
      </c>
      <c r="I354">
        <v>11341</v>
      </c>
      <c r="J354">
        <v>8398</v>
      </c>
      <c r="K354">
        <v>7413</v>
      </c>
      <c r="L354">
        <v>-32.49</v>
      </c>
      <c r="M354">
        <v>1.9</v>
      </c>
      <c r="N354">
        <v>13.4</v>
      </c>
      <c r="O354">
        <v>19.06</v>
      </c>
      <c r="P354" t="b">
        <v>1</v>
      </c>
      <c r="Q354">
        <v>0</v>
      </c>
      <c r="R354">
        <v>1471</v>
      </c>
      <c r="U354" t="s">
        <v>1131</v>
      </c>
      <c r="V354" t="s">
        <v>1502</v>
      </c>
      <c r="W354">
        <v>0</v>
      </c>
      <c r="X354">
        <v>-41.3</v>
      </c>
      <c r="Y354" t="s">
        <v>1846</v>
      </c>
      <c r="Z354">
        <v>155.1464977217006</v>
      </c>
      <c r="AA354">
        <v>1906</v>
      </c>
      <c r="AB354">
        <v>874268</v>
      </c>
      <c r="AC354" t="s">
        <v>2215</v>
      </c>
      <c r="AD354">
        <v>42.95</v>
      </c>
      <c r="AE354" t="s">
        <v>2586</v>
      </c>
      <c r="AF354" t="s">
        <v>2952</v>
      </c>
      <c r="AG354">
        <v>3929</v>
      </c>
      <c r="AH354">
        <v>398</v>
      </c>
      <c r="AI354">
        <v>305361</v>
      </c>
      <c r="AJ354">
        <v>1.64</v>
      </c>
      <c r="AK354" t="b">
        <v>1</v>
      </c>
    </row>
    <row r="355" spans="1:37">
      <c r="A355" s="1" t="s">
        <v>389</v>
      </c>
      <c r="B355" t="s">
        <v>760</v>
      </c>
      <c r="C355">
        <f>HYPERLINK("https://finance.naver.com/item/coinfo.nhn?code=285490", "A285490")</f>
        <v>0</v>
      </c>
      <c r="D355">
        <f>HYPERLINK("http://comp.fnguide.com/SVO2/ASP/SVD_Consensus.asp?pGB=1&amp;gicode=A285490&amp;cID=&amp;MenuYn=Y&amp;ReportGB=&amp;NewMenuID=108&amp;stkGb=701", "노바텍")</f>
        <v>0</v>
      </c>
      <c r="E355">
        <v>1</v>
      </c>
      <c r="F355">
        <v>32450</v>
      </c>
      <c r="G355">
        <v>0.12</v>
      </c>
      <c r="H355">
        <v>11</v>
      </c>
      <c r="I355">
        <v>44757</v>
      </c>
      <c r="J355">
        <v>26534</v>
      </c>
      <c r="K355">
        <v>20440</v>
      </c>
      <c r="L355">
        <v>-37.93</v>
      </c>
      <c r="M355">
        <v>18.23</v>
      </c>
      <c r="N355">
        <v>37.01</v>
      </c>
      <c r="O355">
        <v>38.92</v>
      </c>
      <c r="P355" t="b">
        <v>1</v>
      </c>
      <c r="Q355">
        <v>0</v>
      </c>
      <c r="R355">
        <v>3836</v>
      </c>
      <c r="S355">
        <v>3309</v>
      </c>
      <c r="T355">
        <v>-13.7</v>
      </c>
      <c r="U355" t="s">
        <v>1132</v>
      </c>
      <c r="V355" t="s">
        <v>1503</v>
      </c>
      <c r="W355">
        <v>89.30635103307031</v>
      </c>
      <c r="X355">
        <v>-21.7</v>
      </c>
      <c r="Y355" t="s">
        <v>1847</v>
      </c>
      <c r="Z355">
        <v>41.70989248030046</v>
      </c>
      <c r="AA355">
        <v>3432</v>
      </c>
      <c r="AB355">
        <v>37264</v>
      </c>
      <c r="AC355" t="s">
        <v>2216</v>
      </c>
      <c r="AD355">
        <v>55.7</v>
      </c>
      <c r="AE355" t="s">
        <v>2587</v>
      </c>
      <c r="AF355" t="s">
        <v>2953</v>
      </c>
      <c r="AG355">
        <v>905</v>
      </c>
      <c r="AH355">
        <v>329</v>
      </c>
      <c r="AI355">
        <v>400000</v>
      </c>
      <c r="AJ355">
        <v>0.34</v>
      </c>
      <c r="AK355" t="b">
        <v>1</v>
      </c>
    </row>
    <row r="356" spans="1:37">
      <c r="A356" s="1" t="s">
        <v>390</v>
      </c>
      <c r="B356" t="s">
        <v>761</v>
      </c>
      <c r="C356">
        <f>HYPERLINK("https://finance.naver.com/item/coinfo.nhn?code=306040", "A306040")</f>
        <v>0</v>
      </c>
      <c r="D356">
        <f>HYPERLINK("http://comp.fnguide.com/SVO2/ASP/SVD_Consensus.asp?pGB=1&amp;gicode=A306040&amp;cID=&amp;MenuYn=Y&amp;ReportGB=&amp;NewMenuID=108&amp;stkGb=701", "에스제이그룹")</f>
        <v>0</v>
      </c>
      <c r="E356">
        <v>1</v>
      </c>
      <c r="F356">
        <v>21850</v>
      </c>
      <c r="G356">
        <v>0.51</v>
      </c>
      <c r="H356">
        <v>9.18</v>
      </c>
      <c r="I356">
        <v>26293</v>
      </c>
      <c r="J356">
        <v>17724</v>
      </c>
      <c r="K356">
        <v>14858</v>
      </c>
      <c r="L356">
        <v>-20.34</v>
      </c>
      <c r="M356">
        <v>18.88</v>
      </c>
      <c r="N356">
        <v>32</v>
      </c>
      <c r="O356">
        <v>24.74</v>
      </c>
      <c r="P356" t="b">
        <v>1</v>
      </c>
      <c r="Q356">
        <v>2</v>
      </c>
      <c r="R356">
        <v>2347</v>
      </c>
      <c r="S356">
        <v>2929</v>
      </c>
      <c r="T356">
        <v>24.8</v>
      </c>
      <c r="U356" t="s">
        <v>1133</v>
      </c>
      <c r="V356" t="s">
        <v>1504</v>
      </c>
      <c r="W356">
        <v>17.94915668453285</v>
      </c>
      <c r="X356">
        <v>38.8</v>
      </c>
      <c r="Y356" t="s">
        <v>1848</v>
      </c>
      <c r="Z356">
        <v>114.8554303910028</v>
      </c>
      <c r="AA356">
        <v>2156</v>
      </c>
      <c r="AB356">
        <v>17423</v>
      </c>
      <c r="AC356" t="s">
        <v>2217</v>
      </c>
      <c r="AD356">
        <v>51.58</v>
      </c>
      <c r="AE356" t="s">
        <v>2588</v>
      </c>
      <c r="AF356" t="s">
        <v>2954</v>
      </c>
      <c r="AG356">
        <v>1497</v>
      </c>
      <c r="AH356">
        <v>291</v>
      </c>
      <c r="AI356">
        <v>72094</v>
      </c>
      <c r="AJ356">
        <v>2.09</v>
      </c>
      <c r="AK356" t="b">
        <v>1</v>
      </c>
    </row>
    <row r="357" spans="1:37">
      <c r="A357" s="1" t="s">
        <v>391</v>
      </c>
      <c r="B357" t="s">
        <v>762</v>
      </c>
      <c r="C357">
        <f>HYPERLINK("https://finance.naver.com/item/coinfo.nhn?code=950140", "A950140")</f>
        <v>0</v>
      </c>
      <c r="D357">
        <f>HYPERLINK("http://comp.fnguide.com/SVO2/ASP/SVD_Consensus.asp?pGB=1&amp;gicode=A950140&amp;cID=&amp;MenuYn=Y&amp;ReportGB=&amp;NewMenuID=108&amp;stkGb=701", "잉글우드랩")</f>
        <v>0</v>
      </c>
      <c r="E357">
        <v>1</v>
      </c>
      <c r="F357">
        <v>5090</v>
      </c>
      <c r="G357">
        <v>0</v>
      </c>
      <c r="H357">
        <v>11.39</v>
      </c>
      <c r="I357">
        <v>5241</v>
      </c>
      <c r="J357">
        <v>4602</v>
      </c>
      <c r="K357">
        <v>4388</v>
      </c>
      <c r="L357">
        <v>-2.96</v>
      </c>
      <c r="M357">
        <v>9.59</v>
      </c>
      <c r="N357">
        <v>13.79</v>
      </c>
      <c r="O357">
        <v>12.92</v>
      </c>
      <c r="P357" t="b">
        <v>0</v>
      </c>
      <c r="Q357">
        <v>0</v>
      </c>
      <c r="R357">
        <v>755</v>
      </c>
      <c r="U357" t="s">
        <v>1134</v>
      </c>
      <c r="V357" t="s">
        <v>1505</v>
      </c>
      <c r="W357">
        <v>0</v>
      </c>
      <c r="X357">
        <v>-62.4</v>
      </c>
      <c r="Y357" t="s">
        <v>1849</v>
      </c>
      <c r="Z357">
        <v>0</v>
      </c>
      <c r="AA357">
        <v>1011</v>
      </c>
      <c r="AB357">
        <v>60013</v>
      </c>
      <c r="AC357" t="s">
        <v>2218</v>
      </c>
      <c r="AD357">
        <v>44.08</v>
      </c>
      <c r="AE357" t="s">
        <v>2589</v>
      </c>
      <c r="AF357" t="s">
        <v>2955</v>
      </c>
      <c r="AG357">
        <v>1608</v>
      </c>
      <c r="AH357">
        <v>170</v>
      </c>
      <c r="AK357" t="b">
        <v>1</v>
      </c>
    </row>
    <row r="358" spans="1:37">
      <c r="A358" s="1" t="s">
        <v>392</v>
      </c>
      <c r="B358" t="s">
        <v>763</v>
      </c>
      <c r="C358">
        <f>HYPERLINK("https://finance.naver.com/item/coinfo.nhn?code=071200", "A071200")</f>
        <v>0</v>
      </c>
      <c r="D358">
        <f>HYPERLINK("http://comp.fnguide.com/SVO2/ASP/SVD_Consensus.asp?pGB=1&amp;gicode=A071200&amp;cID=&amp;MenuYn=Y&amp;ReportGB=&amp;NewMenuID=108&amp;stkGb=701", "인피니트헬스케어")</f>
        <v>0</v>
      </c>
      <c r="E358">
        <v>1</v>
      </c>
      <c r="F358">
        <v>5870</v>
      </c>
      <c r="G358">
        <v>0</v>
      </c>
      <c r="H358">
        <v>7.72</v>
      </c>
      <c r="I358">
        <v>6997</v>
      </c>
      <c r="J358">
        <v>5715</v>
      </c>
      <c r="K358">
        <v>5286</v>
      </c>
      <c r="L358">
        <v>-19.2</v>
      </c>
      <c r="M358">
        <v>2.65</v>
      </c>
      <c r="N358">
        <v>9.960000000000001</v>
      </c>
      <c r="O358">
        <v>15.09</v>
      </c>
      <c r="P358" t="b">
        <v>1</v>
      </c>
      <c r="Q358">
        <v>0</v>
      </c>
      <c r="R358">
        <v>929</v>
      </c>
      <c r="U358" t="s">
        <v>1135</v>
      </c>
      <c r="V358" t="s">
        <v>1506</v>
      </c>
      <c r="W358">
        <v>0</v>
      </c>
      <c r="Y358" t="s">
        <v>1850</v>
      </c>
      <c r="Z358">
        <v>0</v>
      </c>
      <c r="AA358">
        <v>1432</v>
      </c>
      <c r="AB358">
        <v>74622</v>
      </c>
      <c r="AC358" t="s">
        <v>2219</v>
      </c>
      <c r="AD358">
        <v>45.47</v>
      </c>
      <c r="AE358" t="s">
        <v>2590</v>
      </c>
      <c r="AF358" t="s">
        <v>2956</v>
      </c>
      <c r="AG358">
        <v>782</v>
      </c>
      <c r="AH358">
        <v>74</v>
      </c>
      <c r="AI358">
        <v>20005</v>
      </c>
      <c r="AK358" t="b">
        <v>1</v>
      </c>
    </row>
    <row r="359" spans="1:37">
      <c r="A359" s="1" t="s">
        <v>393</v>
      </c>
      <c r="B359" t="s">
        <v>764</v>
      </c>
      <c r="C359">
        <f>HYPERLINK("https://finance.naver.com/item/coinfo.nhn?code=216050", "A216050")</f>
        <v>0</v>
      </c>
      <c r="D359">
        <f>HYPERLINK("http://comp.fnguide.com/SVO2/ASP/SVD_Consensus.asp?pGB=1&amp;gicode=A216050&amp;cID=&amp;MenuYn=Y&amp;ReportGB=&amp;NewMenuID=108&amp;stkGb=701", "인크로스")</f>
        <v>0</v>
      </c>
      <c r="E359">
        <v>1</v>
      </c>
      <c r="F359">
        <v>15650</v>
      </c>
      <c r="G359">
        <v>1.37</v>
      </c>
      <c r="H359">
        <v>20.21</v>
      </c>
      <c r="I359">
        <v>16080</v>
      </c>
      <c r="J359">
        <v>11504</v>
      </c>
      <c r="K359">
        <v>9974</v>
      </c>
      <c r="L359">
        <v>-2.75</v>
      </c>
      <c r="M359">
        <v>26.49</v>
      </c>
      <c r="N359">
        <v>36.27</v>
      </c>
      <c r="O359">
        <v>20.87</v>
      </c>
      <c r="P359" t="b">
        <v>1</v>
      </c>
      <c r="Q359">
        <v>0</v>
      </c>
      <c r="R359">
        <v>1644</v>
      </c>
      <c r="S359">
        <v>1098</v>
      </c>
      <c r="T359">
        <v>-33.2</v>
      </c>
      <c r="U359" t="s">
        <v>1136</v>
      </c>
      <c r="V359" t="s">
        <v>1507</v>
      </c>
      <c r="W359">
        <v>14.80370192063096</v>
      </c>
      <c r="X359">
        <v>-50.7</v>
      </c>
      <c r="Y359" t="s">
        <v>1851</v>
      </c>
      <c r="Z359">
        <v>3.833616305953869</v>
      </c>
      <c r="AA359">
        <v>2010</v>
      </c>
      <c r="AB359">
        <v>278604</v>
      </c>
      <c r="AC359" t="s">
        <v>2220</v>
      </c>
      <c r="AD359">
        <v>41.89</v>
      </c>
      <c r="AE359" t="s">
        <v>2591</v>
      </c>
      <c r="AF359" t="s">
        <v>2957</v>
      </c>
      <c r="AG359">
        <v>518</v>
      </c>
      <c r="AH359">
        <v>214</v>
      </c>
      <c r="AI359">
        <v>833736</v>
      </c>
      <c r="AJ359">
        <v>1.37</v>
      </c>
      <c r="AK359" t="b">
        <v>1</v>
      </c>
    </row>
    <row r="360" spans="1:37">
      <c r="A360" s="1" t="s">
        <v>394</v>
      </c>
      <c r="B360" t="s">
        <v>765</v>
      </c>
      <c r="C360">
        <f>HYPERLINK("https://finance.naver.com/item/coinfo.nhn?code=161890", "A161890")</f>
        <v>0</v>
      </c>
      <c r="D360">
        <f>HYPERLINK("http://comp.fnguide.com/SVO2/ASP/SVD_Consensus.asp?pGB=1&amp;gicode=A161890&amp;cID=&amp;MenuYn=Y&amp;ReportGB=&amp;NewMenuID=108&amp;stkGb=701", "한국콜마")</f>
        <v>0</v>
      </c>
      <c r="E360">
        <v>1</v>
      </c>
      <c r="F360">
        <v>38850</v>
      </c>
      <c r="G360">
        <v>1.02</v>
      </c>
      <c r="H360">
        <v>25.72</v>
      </c>
      <c r="I360">
        <v>40315</v>
      </c>
      <c r="J360">
        <v>34585</v>
      </c>
      <c r="K360">
        <v>32669</v>
      </c>
      <c r="L360">
        <v>-3.77</v>
      </c>
      <c r="M360">
        <v>10.98</v>
      </c>
      <c r="N360">
        <v>15.91</v>
      </c>
      <c r="O360">
        <v>13.56</v>
      </c>
      <c r="P360" t="b">
        <v>0</v>
      </c>
      <c r="Q360">
        <v>1</v>
      </c>
      <c r="R360">
        <v>1565</v>
      </c>
      <c r="S360">
        <v>2524</v>
      </c>
      <c r="T360">
        <v>61.3</v>
      </c>
      <c r="U360" t="s">
        <v>1137</v>
      </c>
      <c r="V360" t="s">
        <v>1508</v>
      </c>
      <c r="W360">
        <v>25.16180111815303</v>
      </c>
      <c r="X360">
        <v>-18.7</v>
      </c>
      <c r="Y360" t="s">
        <v>1852</v>
      </c>
      <c r="Z360">
        <v>-10.74705559288607</v>
      </c>
      <c r="AA360">
        <v>8889</v>
      </c>
      <c r="AB360">
        <v>67869</v>
      </c>
      <c r="AC360" t="s">
        <v>2221</v>
      </c>
      <c r="AD360">
        <v>30.25</v>
      </c>
      <c r="AE360" t="s">
        <v>2592</v>
      </c>
      <c r="AF360" t="s">
        <v>2958</v>
      </c>
      <c r="AG360">
        <v>15863</v>
      </c>
      <c r="AH360">
        <v>843</v>
      </c>
      <c r="AJ360">
        <v>1.03</v>
      </c>
      <c r="AK360" t="b">
        <v>1</v>
      </c>
    </row>
    <row r="361" spans="1:37">
      <c r="A361" s="1" t="s">
        <v>395</v>
      </c>
      <c r="B361" t="s">
        <v>766</v>
      </c>
      <c r="C361">
        <f>HYPERLINK("https://finance.naver.com/item/coinfo.nhn?code=064260", "A064260")</f>
        <v>0</v>
      </c>
      <c r="D361">
        <f>HYPERLINK("http://comp.fnguide.com/SVO2/ASP/SVD_Consensus.asp?pGB=1&amp;gicode=A064260&amp;cID=&amp;MenuYn=Y&amp;ReportGB=&amp;NewMenuID=108&amp;stkGb=701", "다날")</f>
        <v>0</v>
      </c>
      <c r="E361">
        <v>1</v>
      </c>
      <c r="F361">
        <v>7450</v>
      </c>
      <c r="G361">
        <v>0</v>
      </c>
      <c r="H361">
        <v>18.06</v>
      </c>
      <c r="I361">
        <v>7479</v>
      </c>
      <c r="J361">
        <v>6160</v>
      </c>
      <c r="K361">
        <v>5719</v>
      </c>
      <c r="L361">
        <v>-0.39</v>
      </c>
      <c r="M361">
        <v>17.32</v>
      </c>
      <c r="N361">
        <v>23.24</v>
      </c>
      <c r="O361">
        <v>14.81</v>
      </c>
      <c r="P361" t="b">
        <v>1</v>
      </c>
      <c r="Q361">
        <v>0</v>
      </c>
      <c r="R361">
        <v>817</v>
      </c>
      <c r="U361" t="s">
        <v>1138</v>
      </c>
      <c r="V361" t="s">
        <v>1509</v>
      </c>
      <c r="W361">
        <v>0</v>
      </c>
      <c r="Y361" t="s">
        <v>1853</v>
      </c>
      <c r="Z361">
        <v>0</v>
      </c>
      <c r="AA361">
        <v>5137</v>
      </c>
      <c r="AB361">
        <v>1169906</v>
      </c>
      <c r="AC361" t="s">
        <v>2222</v>
      </c>
      <c r="AD361">
        <v>17.67</v>
      </c>
      <c r="AE361" t="s">
        <v>2593</v>
      </c>
      <c r="AF361" t="s">
        <v>2959</v>
      </c>
      <c r="AG361">
        <v>2856</v>
      </c>
      <c r="AH361">
        <v>160</v>
      </c>
      <c r="AI361">
        <v>2156045</v>
      </c>
      <c r="AK361" t="b">
        <v>1</v>
      </c>
    </row>
    <row r="362" spans="1:37">
      <c r="A362" s="1" t="s">
        <v>396</v>
      </c>
      <c r="B362" t="s">
        <v>767</v>
      </c>
      <c r="C362">
        <f>HYPERLINK("https://finance.naver.com/item/coinfo.nhn?code=114840", "A114840")</f>
        <v>0</v>
      </c>
      <c r="D362">
        <f>HYPERLINK("http://comp.fnguide.com/SVO2/ASP/SVD_Consensus.asp?pGB=1&amp;gicode=A114840&amp;cID=&amp;MenuYn=Y&amp;ReportGB=&amp;NewMenuID=108&amp;stkGb=701", "아이패밀리에스씨")</f>
        <v>0</v>
      </c>
      <c r="E362">
        <v>1</v>
      </c>
      <c r="F362">
        <v>12550</v>
      </c>
      <c r="G362">
        <v>0</v>
      </c>
      <c r="H362">
        <v>16.71</v>
      </c>
      <c r="I362">
        <v>16854</v>
      </c>
      <c r="J362">
        <v>10283</v>
      </c>
      <c r="K362">
        <v>8085</v>
      </c>
      <c r="L362">
        <v>-34.3</v>
      </c>
      <c r="M362">
        <v>18.07</v>
      </c>
      <c r="N362">
        <v>35.58</v>
      </c>
      <c r="O362">
        <v>34.7</v>
      </c>
      <c r="P362" t="b">
        <v>1</v>
      </c>
      <c r="Q362">
        <v>0</v>
      </c>
      <c r="R362">
        <v>530</v>
      </c>
      <c r="U362" t="s">
        <v>1139</v>
      </c>
      <c r="V362" t="s">
        <v>1510</v>
      </c>
      <c r="W362">
        <v>0</v>
      </c>
      <c r="X362">
        <v>11.3</v>
      </c>
      <c r="Y362" t="s">
        <v>1854</v>
      </c>
      <c r="Z362">
        <v>0</v>
      </c>
      <c r="AA362">
        <v>1067</v>
      </c>
      <c r="AB362">
        <v>51358</v>
      </c>
      <c r="AC362" t="s">
        <v>2223</v>
      </c>
      <c r="AD362">
        <v>44.77</v>
      </c>
      <c r="AE362" t="s">
        <v>2594</v>
      </c>
      <c r="AF362" t="s">
        <v>2960</v>
      </c>
      <c r="AG362">
        <v>716</v>
      </c>
      <c r="AH362">
        <v>56</v>
      </c>
      <c r="AJ362">
        <v>0.37</v>
      </c>
      <c r="AK362" t="b">
        <v>1</v>
      </c>
    </row>
    <row r="363" spans="1:37">
      <c r="A363" s="1" t="s">
        <v>397</v>
      </c>
      <c r="B363" t="s">
        <v>768</v>
      </c>
      <c r="C363">
        <f>HYPERLINK("https://finance.naver.com/item/coinfo.nhn?code=340360", "A340360")</f>
        <v>0</v>
      </c>
      <c r="D363">
        <f>HYPERLINK("http://comp.fnguide.com/SVO2/ASP/SVD_Consensus.asp?pGB=1&amp;gicode=A340360&amp;cID=&amp;MenuYn=Y&amp;ReportGB=&amp;NewMenuID=108&amp;stkGb=701", "다보링크")</f>
        <v>0</v>
      </c>
      <c r="E363">
        <v>1</v>
      </c>
      <c r="F363">
        <v>1305</v>
      </c>
      <c r="G363">
        <v>0</v>
      </c>
      <c r="I363">
        <v>1414</v>
      </c>
      <c r="J363">
        <v>939</v>
      </c>
      <c r="K363">
        <v>781</v>
      </c>
      <c r="L363">
        <v>-8.35</v>
      </c>
      <c r="M363">
        <v>28.01</v>
      </c>
      <c r="N363">
        <v>40.17</v>
      </c>
      <c r="O363">
        <v>25.86</v>
      </c>
      <c r="P363" t="b">
        <v>0</v>
      </c>
      <c r="Q363">
        <v>0</v>
      </c>
      <c r="R363">
        <v>-333</v>
      </c>
      <c r="U363" t="s">
        <v>1140</v>
      </c>
      <c r="V363" t="s">
        <v>1511</v>
      </c>
      <c r="W363">
        <v>0</v>
      </c>
      <c r="Y363" t="s">
        <v>1855</v>
      </c>
      <c r="Z363">
        <v>0</v>
      </c>
      <c r="AA363">
        <v>558</v>
      </c>
      <c r="AB363">
        <v>197479</v>
      </c>
      <c r="AC363" t="s">
        <v>2224</v>
      </c>
      <c r="AD363">
        <v>43.36</v>
      </c>
      <c r="AE363" t="s">
        <v>2595</v>
      </c>
      <c r="AF363" t="s">
        <v>2699</v>
      </c>
      <c r="AG363">
        <v>775</v>
      </c>
      <c r="AH363">
        <v>1</v>
      </c>
      <c r="AK363" t="b">
        <v>1</v>
      </c>
    </row>
    <row r="364" spans="1:37">
      <c r="A364" s="1" t="s">
        <v>398</v>
      </c>
      <c r="B364" t="s">
        <v>769</v>
      </c>
      <c r="C364">
        <f>HYPERLINK("https://finance.naver.com/item/coinfo.nhn?code=340930", "A340930")</f>
        <v>0</v>
      </c>
      <c r="D364">
        <f>HYPERLINK("http://comp.fnguide.com/SVO2/ASP/SVD_Consensus.asp?pGB=1&amp;gicode=A340930&amp;cID=&amp;MenuYn=Y&amp;ReportGB=&amp;NewMenuID=108&amp;stkGb=701", "유일에너테크")</f>
        <v>0</v>
      </c>
      <c r="E364">
        <v>1</v>
      </c>
      <c r="F364">
        <v>14850</v>
      </c>
      <c r="G364">
        <v>0</v>
      </c>
      <c r="I364">
        <v>17236</v>
      </c>
      <c r="J364">
        <v>10179</v>
      </c>
      <c r="K364">
        <v>7818</v>
      </c>
      <c r="L364">
        <v>-16.07</v>
      </c>
      <c r="M364">
        <v>31.46</v>
      </c>
      <c r="N364">
        <v>47.35</v>
      </c>
      <c r="O364">
        <v>39.56</v>
      </c>
      <c r="P364" t="b">
        <v>0</v>
      </c>
      <c r="Q364">
        <v>0</v>
      </c>
      <c r="R364">
        <v>-228</v>
      </c>
      <c r="U364" t="s">
        <v>1141</v>
      </c>
      <c r="V364" t="s">
        <v>1512</v>
      </c>
      <c r="W364">
        <v>0</v>
      </c>
      <c r="Y364" t="s">
        <v>1856</v>
      </c>
      <c r="Z364">
        <v>0</v>
      </c>
      <c r="AA364">
        <v>1585</v>
      </c>
      <c r="AB364">
        <v>65591</v>
      </c>
      <c r="AC364" t="s">
        <v>2225</v>
      </c>
      <c r="AD364">
        <v>49.89</v>
      </c>
      <c r="AE364" t="s">
        <v>2596</v>
      </c>
      <c r="AF364" t="s">
        <v>2699</v>
      </c>
      <c r="AG364">
        <v>294</v>
      </c>
      <c r="AH364">
        <v>-58</v>
      </c>
      <c r="AI364">
        <v>100000</v>
      </c>
      <c r="AK364" t="b">
        <v>1</v>
      </c>
    </row>
    <row r="365" spans="1:37">
      <c r="A365" s="1" t="s">
        <v>399</v>
      </c>
      <c r="B365" t="s">
        <v>770</v>
      </c>
      <c r="C365">
        <f>HYPERLINK("https://finance.naver.com/item/coinfo.nhn?code=038070", "A038070")</f>
        <v>0</v>
      </c>
      <c r="D365">
        <f>HYPERLINK("http://comp.fnguide.com/SVO2/ASP/SVD_Consensus.asp?pGB=1&amp;gicode=A038070&amp;cID=&amp;MenuYn=Y&amp;ReportGB=&amp;NewMenuID=108&amp;stkGb=701", "서린바이오")</f>
        <v>0</v>
      </c>
      <c r="E365">
        <v>1</v>
      </c>
      <c r="F365">
        <v>14700</v>
      </c>
      <c r="G365">
        <v>0</v>
      </c>
      <c r="H365">
        <v>11.64</v>
      </c>
      <c r="I365">
        <v>15391</v>
      </c>
      <c r="J365">
        <v>11966</v>
      </c>
      <c r="K365">
        <v>10821</v>
      </c>
      <c r="L365">
        <v>-4.7</v>
      </c>
      <c r="M365">
        <v>18.6</v>
      </c>
      <c r="N365">
        <v>26.39</v>
      </c>
      <c r="O365">
        <v>16.9</v>
      </c>
      <c r="P365" t="b">
        <v>1</v>
      </c>
      <c r="Q365">
        <v>0</v>
      </c>
      <c r="R365">
        <v>1834</v>
      </c>
      <c r="U365" t="s">
        <v>1142</v>
      </c>
      <c r="V365" t="s">
        <v>1513</v>
      </c>
      <c r="W365">
        <v>0</v>
      </c>
      <c r="X365">
        <v>38.7</v>
      </c>
      <c r="Y365" t="s">
        <v>1857</v>
      </c>
      <c r="Z365">
        <v>58.54612251720734</v>
      </c>
      <c r="AA365">
        <v>1250</v>
      </c>
      <c r="AB365">
        <v>271248</v>
      </c>
      <c r="AC365" t="s">
        <v>2226</v>
      </c>
      <c r="AD365">
        <v>28.65</v>
      </c>
      <c r="AE365" t="s">
        <v>2597</v>
      </c>
      <c r="AF365" t="s">
        <v>2961</v>
      </c>
      <c r="AG365">
        <v>807</v>
      </c>
      <c r="AH365">
        <v>73</v>
      </c>
      <c r="AI365">
        <v>315789</v>
      </c>
      <c r="AJ365">
        <v>0.46</v>
      </c>
      <c r="AK365" t="b">
        <v>1</v>
      </c>
    </row>
    <row r="366" spans="1:37">
      <c r="A366" s="1" t="s">
        <v>400</v>
      </c>
      <c r="B366" t="s">
        <v>771</v>
      </c>
      <c r="C366">
        <f>HYPERLINK("https://finance.naver.com/item/coinfo.nhn?code=389260", "A389260")</f>
        <v>0</v>
      </c>
      <c r="D366">
        <f>HYPERLINK("http://comp.fnguide.com/SVO2/ASP/SVD_Consensus.asp?pGB=1&amp;gicode=A389260&amp;cID=&amp;MenuYn=Y&amp;ReportGB=&amp;NewMenuID=108&amp;stkGb=701", "대명에너지")</f>
        <v>0</v>
      </c>
      <c r="E366">
        <v>1</v>
      </c>
      <c r="F366">
        <v>19100</v>
      </c>
      <c r="G366">
        <v>0</v>
      </c>
      <c r="I366">
        <v>21480</v>
      </c>
      <c r="J366">
        <v>11514</v>
      </c>
      <c r="K366">
        <v>8181</v>
      </c>
      <c r="L366">
        <v>-12.46</v>
      </c>
      <c r="M366">
        <v>39.72</v>
      </c>
      <c r="N366">
        <v>57.17</v>
      </c>
      <c r="O366">
        <v>64.95</v>
      </c>
      <c r="P366" t="b">
        <v>0</v>
      </c>
      <c r="Q366">
        <v>0</v>
      </c>
      <c r="R366" t="s">
        <v>778</v>
      </c>
      <c r="U366" t="s">
        <v>1143</v>
      </c>
      <c r="V366" t="s">
        <v>1514</v>
      </c>
      <c r="W366">
        <v>0</v>
      </c>
      <c r="Y366" t="s">
        <v>1858</v>
      </c>
      <c r="Z366">
        <v>0</v>
      </c>
      <c r="AA366" t="s">
        <v>1862</v>
      </c>
      <c r="AB366">
        <v>4203108</v>
      </c>
      <c r="AC366" t="s">
        <v>2227</v>
      </c>
      <c r="AD366">
        <v>75.67</v>
      </c>
      <c r="AE366" t="s">
        <v>2598</v>
      </c>
      <c r="AF366" t="s">
        <v>2699</v>
      </c>
      <c r="AG366" t="s">
        <v>2967</v>
      </c>
      <c r="AH366" t="s">
        <v>2968</v>
      </c>
      <c r="AK366" t="b">
        <v>1</v>
      </c>
    </row>
    <row r="367" spans="1:37">
      <c r="A367" s="1" t="s">
        <v>401</v>
      </c>
      <c r="B367" t="s">
        <v>772</v>
      </c>
      <c r="C367">
        <f>HYPERLINK("https://finance.naver.com/item/coinfo.nhn?code=112040", "A112040")</f>
        <v>0</v>
      </c>
      <c r="D367">
        <f>HYPERLINK("http://comp.fnguide.com/SVO2/ASP/SVD_Consensus.asp?pGB=1&amp;gicode=A112040&amp;cID=&amp;MenuYn=Y&amp;ReportGB=&amp;NewMenuID=108&amp;stkGb=701", "위메이드")</f>
        <v>0</v>
      </c>
      <c r="E367">
        <v>1</v>
      </c>
      <c r="F367">
        <v>59300</v>
      </c>
      <c r="G367">
        <v>0.67</v>
      </c>
      <c r="H367">
        <v>19.3</v>
      </c>
      <c r="I367">
        <v>64582</v>
      </c>
      <c r="J367">
        <v>39351</v>
      </c>
      <c r="K367">
        <v>30912</v>
      </c>
      <c r="L367">
        <v>-8.91</v>
      </c>
      <c r="M367">
        <v>33.64</v>
      </c>
      <c r="N367">
        <v>47.87</v>
      </c>
      <c r="O367">
        <v>34.87</v>
      </c>
      <c r="P367" t="b">
        <v>1</v>
      </c>
      <c r="Q367">
        <v>0</v>
      </c>
      <c r="R367">
        <v>9218</v>
      </c>
      <c r="S367">
        <v>-648</v>
      </c>
      <c r="T367">
        <v>-107</v>
      </c>
      <c r="U367" t="s">
        <v>1144</v>
      </c>
      <c r="V367" t="s">
        <v>1515</v>
      </c>
      <c r="W367">
        <v>28.91846098049786</v>
      </c>
      <c r="Y367" t="s">
        <v>1534</v>
      </c>
      <c r="Z367">
        <v>0</v>
      </c>
      <c r="AA367">
        <v>19909</v>
      </c>
      <c r="AB367">
        <v>469055</v>
      </c>
      <c r="AC367" t="s">
        <v>2228</v>
      </c>
      <c r="AD367">
        <v>44.6</v>
      </c>
      <c r="AE367" t="s">
        <v>2599</v>
      </c>
      <c r="AF367" t="s">
        <v>2962</v>
      </c>
      <c r="AG367">
        <v>3350</v>
      </c>
      <c r="AH367">
        <v>974</v>
      </c>
      <c r="AI367">
        <v>342566</v>
      </c>
      <c r="AJ367">
        <v>0.37</v>
      </c>
      <c r="AK367" t="b">
        <v>1</v>
      </c>
    </row>
    <row r="368" spans="1:37">
      <c r="A368" s="1" t="s">
        <v>402</v>
      </c>
      <c r="B368" t="s">
        <v>773</v>
      </c>
      <c r="C368">
        <f>HYPERLINK("https://finance.naver.com/item/coinfo.nhn?code=298540", "A298540")</f>
        <v>0</v>
      </c>
      <c r="D368">
        <f>HYPERLINK("http://comp.fnguide.com/SVO2/ASP/SVD_Consensus.asp?pGB=1&amp;gicode=A298540&amp;cID=&amp;MenuYn=Y&amp;ReportGB=&amp;NewMenuID=108&amp;stkGb=701", "더네이쳐홀딩스")</f>
        <v>0</v>
      </c>
      <c r="E368">
        <v>1</v>
      </c>
      <c r="F368">
        <v>30150</v>
      </c>
      <c r="G368">
        <v>0.16</v>
      </c>
      <c r="H368">
        <v>7.38</v>
      </c>
      <c r="I368">
        <v>47860</v>
      </c>
      <c r="J368">
        <v>29897</v>
      </c>
      <c r="K368">
        <v>23889</v>
      </c>
      <c r="L368">
        <v>-58.74</v>
      </c>
      <c r="M368">
        <v>0.84</v>
      </c>
      <c r="N368">
        <v>20.77</v>
      </c>
      <c r="O368">
        <v>31.79</v>
      </c>
      <c r="P368" t="b">
        <v>1</v>
      </c>
      <c r="Q368">
        <v>3</v>
      </c>
      <c r="R368">
        <v>4009</v>
      </c>
      <c r="S368">
        <v>4806</v>
      </c>
      <c r="T368">
        <v>19.9</v>
      </c>
      <c r="U368" t="s">
        <v>1145</v>
      </c>
      <c r="V368" t="s">
        <v>1516</v>
      </c>
      <c r="W368">
        <v>47.48140531275029</v>
      </c>
      <c r="X368">
        <v>79.40000000000001</v>
      </c>
      <c r="Y368" t="s">
        <v>1859</v>
      </c>
      <c r="Z368">
        <v>0</v>
      </c>
      <c r="AA368">
        <v>4385</v>
      </c>
      <c r="AB368">
        <v>36410</v>
      </c>
      <c r="AC368" t="s">
        <v>2229</v>
      </c>
      <c r="AD368">
        <v>39.05</v>
      </c>
      <c r="AE368" t="s">
        <v>2600</v>
      </c>
      <c r="AF368" t="s">
        <v>2963</v>
      </c>
      <c r="AG368">
        <v>3703</v>
      </c>
      <c r="AH368">
        <v>689</v>
      </c>
      <c r="AJ368">
        <v>0.68</v>
      </c>
      <c r="AK368" t="b">
        <v>1</v>
      </c>
    </row>
    <row r="369" spans="1:38">
      <c r="A369" s="1" t="s">
        <v>403</v>
      </c>
      <c r="B369" t="s">
        <v>774</v>
      </c>
      <c r="C369">
        <f>HYPERLINK("https://finance.naver.com/item/coinfo.nhn?code=363260", "A363260")</f>
        <v>0</v>
      </c>
      <c r="D369">
        <f>HYPERLINK("http://comp.fnguide.com/SVO2/ASP/SVD_Consensus.asp?pGB=1&amp;gicode=A363260&amp;cID=&amp;MenuYn=Y&amp;ReportGB=&amp;NewMenuID=108&amp;stkGb=701", "모비데이즈")</f>
        <v>0</v>
      </c>
      <c r="E369">
        <v>1</v>
      </c>
      <c r="F369">
        <v>1580</v>
      </c>
      <c r="G369">
        <v>0</v>
      </c>
      <c r="I369">
        <v>1800</v>
      </c>
      <c r="J369">
        <v>889</v>
      </c>
      <c r="K369">
        <v>585</v>
      </c>
      <c r="L369">
        <v>-13.95</v>
      </c>
      <c r="M369">
        <v>43.71</v>
      </c>
      <c r="N369">
        <v>62.99</v>
      </c>
      <c r="O369">
        <v>128.69</v>
      </c>
      <c r="P369" t="b">
        <v>0</v>
      </c>
      <c r="Q369">
        <v>0</v>
      </c>
      <c r="R369">
        <v>55</v>
      </c>
      <c r="U369" t="s">
        <v>1146</v>
      </c>
      <c r="V369" t="s">
        <v>1517</v>
      </c>
      <c r="W369">
        <v>0</v>
      </c>
      <c r="Y369" t="s">
        <v>1860</v>
      </c>
      <c r="Z369">
        <v>0</v>
      </c>
      <c r="AA369">
        <v>2510</v>
      </c>
      <c r="AB369">
        <v>381245</v>
      </c>
      <c r="AC369" t="s">
        <v>2230</v>
      </c>
      <c r="AD369">
        <v>51.83</v>
      </c>
      <c r="AE369" t="s">
        <v>2601</v>
      </c>
      <c r="AF369" t="s">
        <v>2699</v>
      </c>
      <c r="AG369">
        <v>187</v>
      </c>
      <c r="AH369">
        <v>100</v>
      </c>
      <c r="AK369" t="b">
        <v>1</v>
      </c>
    </row>
    <row r="370" spans="1:38">
      <c r="A370" s="1" t="s">
        <v>404</v>
      </c>
      <c r="B370" t="s">
        <v>775</v>
      </c>
      <c r="C370">
        <f>HYPERLINK("https://finance.naver.com/item/coinfo.nhn?code=101160", "A101160")</f>
        <v>0</v>
      </c>
      <c r="D370">
        <f>HYPERLINK("http://comp.fnguide.com/SVO2/ASP/SVD_Consensus.asp?pGB=1&amp;gicode=A101160&amp;cID=&amp;MenuYn=Y&amp;ReportGB=&amp;NewMenuID=108&amp;stkGb=701", "월덱스")</f>
        <v>0</v>
      </c>
      <c r="E370">
        <v>1</v>
      </c>
      <c r="F370">
        <v>20150</v>
      </c>
      <c r="G370">
        <v>0.5</v>
      </c>
      <c r="H370">
        <v>14.14</v>
      </c>
      <c r="I370">
        <v>21301</v>
      </c>
      <c r="J370">
        <v>14386</v>
      </c>
      <c r="K370">
        <v>12074</v>
      </c>
      <c r="L370">
        <v>-5.71</v>
      </c>
      <c r="M370">
        <v>28.6</v>
      </c>
      <c r="N370">
        <v>40.08</v>
      </c>
      <c r="O370">
        <v>24.6</v>
      </c>
      <c r="P370" t="b">
        <v>1</v>
      </c>
      <c r="Q370">
        <v>3</v>
      </c>
      <c r="R370">
        <v>2026</v>
      </c>
      <c r="S370">
        <v>2489</v>
      </c>
      <c r="T370">
        <v>22.9</v>
      </c>
      <c r="U370" t="s">
        <v>1147</v>
      </c>
      <c r="V370" t="s">
        <v>1518</v>
      </c>
      <c r="W370">
        <v>28.25346573248593</v>
      </c>
      <c r="X370">
        <v>1.3</v>
      </c>
      <c r="Y370" t="s">
        <v>1861</v>
      </c>
      <c r="Z370">
        <v>37.27178536884439</v>
      </c>
      <c r="AA370">
        <v>3327</v>
      </c>
      <c r="AB370">
        <v>78634</v>
      </c>
      <c r="AC370" t="s">
        <v>2231</v>
      </c>
      <c r="AD370">
        <v>35.07</v>
      </c>
      <c r="AE370" t="s">
        <v>2602</v>
      </c>
      <c r="AF370" t="s">
        <v>2964</v>
      </c>
      <c r="AG370">
        <v>1901</v>
      </c>
      <c r="AH370">
        <v>403</v>
      </c>
      <c r="AJ370">
        <v>0.21</v>
      </c>
      <c r="AK370" t="b">
        <v>1</v>
      </c>
    </row>
    <row r="371" spans="1:38">
      <c r="A371" s="1" t="s">
        <v>405</v>
      </c>
      <c r="B371" t="s">
        <v>776</v>
      </c>
      <c r="C371">
        <f>HYPERLINK("https://finance.naver.com/item/coinfo.nhn?code=376980", "A376980")</f>
        <v>0</v>
      </c>
      <c r="D371">
        <f>HYPERLINK("http://comp.fnguide.com/SVO2/ASP/SVD_Consensus.asp?pGB=1&amp;gicode=A376980&amp;cID=&amp;MenuYn=Y&amp;ReportGB=&amp;NewMenuID=108&amp;stkGb=701", "원티드랩")</f>
        <v>0</v>
      </c>
      <c r="E371">
        <v>1</v>
      </c>
      <c r="F371">
        <v>22250</v>
      </c>
      <c r="G371">
        <v>0</v>
      </c>
      <c r="H371">
        <v>97.78</v>
      </c>
      <c r="I371">
        <v>29974</v>
      </c>
      <c r="J371">
        <v>15454</v>
      </c>
      <c r="K371">
        <v>10597</v>
      </c>
      <c r="L371">
        <v>-34.72</v>
      </c>
      <c r="M371">
        <v>30.55</v>
      </c>
      <c r="N371">
        <v>52.37</v>
      </c>
      <c r="O371">
        <v>85.61</v>
      </c>
      <c r="P371" t="b">
        <v>0</v>
      </c>
      <c r="Q371">
        <v>2</v>
      </c>
      <c r="R371">
        <v>382</v>
      </c>
      <c r="S371">
        <v>1080</v>
      </c>
      <c r="T371">
        <v>182.7</v>
      </c>
      <c r="U371" t="s">
        <v>1148</v>
      </c>
      <c r="V371" t="s">
        <v>1519</v>
      </c>
      <c r="W371">
        <v>0</v>
      </c>
      <c r="Y371" t="s">
        <v>1534</v>
      </c>
      <c r="Z371">
        <v>0</v>
      </c>
      <c r="AA371">
        <v>2093</v>
      </c>
      <c r="AB371">
        <v>52245</v>
      </c>
      <c r="AC371" t="s">
        <v>2232</v>
      </c>
      <c r="AD371">
        <v>29.81</v>
      </c>
      <c r="AE371" t="s">
        <v>2603</v>
      </c>
      <c r="AF371" t="s">
        <v>2965</v>
      </c>
      <c r="AG371">
        <v>317</v>
      </c>
      <c r="AH371">
        <v>61</v>
      </c>
      <c r="AK371" t="b">
        <v>1</v>
      </c>
    </row>
    <row r="372" spans="1:38">
      <c r="A372" s="1" t="s">
        <v>406</v>
      </c>
      <c r="B372" t="s">
        <v>777</v>
      </c>
      <c r="C372">
        <f>HYPERLINK("https://finance.naver.com/item/coinfo.nhn?code=016880", "A016880")</f>
        <v>0</v>
      </c>
      <c r="D372">
        <f>HYPERLINK("http://comp.fnguide.com/SVO2/ASP/SVD_Consensus.asp?pGB=1&amp;gicode=A016880&amp;cID=&amp;MenuYn=Y&amp;ReportGB=&amp;NewMenuID=108&amp;stkGb=701", "웅진")</f>
        <v>0</v>
      </c>
      <c r="E372">
        <v>1</v>
      </c>
      <c r="F372">
        <v>1515</v>
      </c>
      <c r="G372">
        <v>0</v>
      </c>
      <c r="H372">
        <v>5.93</v>
      </c>
      <c r="I372">
        <v>1888</v>
      </c>
      <c r="J372">
        <v>1271</v>
      </c>
      <c r="K372">
        <v>1064</v>
      </c>
      <c r="L372">
        <v>-24.64</v>
      </c>
      <c r="M372">
        <v>16.14</v>
      </c>
      <c r="N372">
        <v>29.78</v>
      </c>
      <c r="O372">
        <v>24.88</v>
      </c>
      <c r="P372" t="b">
        <v>1</v>
      </c>
      <c r="Q372">
        <v>0</v>
      </c>
      <c r="R372">
        <v>289</v>
      </c>
      <c r="U372" t="s">
        <v>1149</v>
      </c>
      <c r="V372" t="s">
        <v>1520</v>
      </c>
      <c r="W372">
        <v>0</v>
      </c>
      <c r="Y372" t="s">
        <v>1534</v>
      </c>
      <c r="Z372">
        <v>0</v>
      </c>
      <c r="AA372">
        <v>1211</v>
      </c>
      <c r="AB372">
        <v>357408</v>
      </c>
      <c r="AC372" t="s">
        <v>2233</v>
      </c>
      <c r="AD372">
        <v>29.24</v>
      </c>
      <c r="AE372" t="s">
        <v>2604</v>
      </c>
      <c r="AF372" t="s">
        <v>2966</v>
      </c>
      <c r="AG372">
        <v>9799</v>
      </c>
      <c r="AH372">
        <v>430</v>
      </c>
      <c r="AI372">
        <v>215870</v>
      </c>
      <c r="AL372" t="b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L96"/>
  <sheetViews>
    <sheetView workbookViewId="0"/>
  </sheetViews>
  <sheetFormatPr defaultRowHeight="15"/>
  <sheetData>
    <row r="1" spans="1:38">
      <c r="A1" s="1" t="s">
        <v>35</v>
      </c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16</v>
      </c>
      <c r="S1" s="2" t="s">
        <v>17</v>
      </c>
      <c r="T1" s="2" t="s">
        <v>18</v>
      </c>
      <c r="U1" s="2" t="s">
        <v>19</v>
      </c>
      <c r="V1" s="2" t="s">
        <v>20</v>
      </c>
      <c r="W1" s="2" t="s">
        <v>21</v>
      </c>
      <c r="X1" s="2" t="s">
        <v>22</v>
      </c>
      <c r="Y1" s="2" t="s">
        <v>23</v>
      </c>
      <c r="Z1" s="2" t="s">
        <v>24</v>
      </c>
      <c r="AA1" s="2" t="s">
        <v>25</v>
      </c>
      <c r="AB1" s="2" t="s">
        <v>26</v>
      </c>
      <c r="AC1" s="2" t="s">
        <v>27</v>
      </c>
      <c r="AD1" s="2" t="s">
        <v>28</v>
      </c>
      <c r="AE1" s="2" t="s">
        <v>29</v>
      </c>
      <c r="AF1" s="2" t="s">
        <v>30</v>
      </c>
      <c r="AG1" s="2" t="s">
        <v>31</v>
      </c>
      <c r="AH1" s="2" t="s">
        <v>32</v>
      </c>
      <c r="AI1" s="2" t="s">
        <v>33</v>
      </c>
      <c r="AJ1" s="2" t="s">
        <v>34</v>
      </c>
      <c r="AK1" s="2" t="b">
        <v>1</v>
      </c>
      <c r="AL1" s="2" t="b">
        <v>0</v>
      </c>
    </row>
    <row r="2" spans="1:38">
      <c r="A2" s="1" t="s">
        <v>237</v>
      </c>
      <c r="B2" t="s">
        <v>608</v>
      </c>
      <c r="C2">
        <f>HYPERLINK("https://finance.naver.com/item/coinfo.nhn?code=005940", "A005940")</f>
        <v>0</v>
      </c>
      <c r="D2">
        <f>HYPERLINK("http://comp.fnguide.com/SVO2/ASP/SVD_Consensus.asp?pGB=1&amp;gicode=A005940&amp;cID=&amp;MenuYn=Y&amp;ReportGB=&amp;NewMenuID=108&amp;stkGb=701", "NH투자증권")</f>
        <v>0</v>
      </c>
      <c r="E2">
        <v>3</v>
      </c>
      <c r="F2">
        <v>9950</v>
      </c>
      <c r="G2">
        <v>-2.12</v>
      </c>
      <c r="H2">
        <v>4.08</v>
      </c>
      <c r="I2">
        <v>25304</v>
      </c>
      <c r="J2">
        <v>22722</v>
      </c>
      <c r="K2">
        <v>21859</v>
      </c>
      <c r="L2">
        <v>-154.31</v>
      </c>
      <c r="M2">
        <v>-128.36</v>
      </c>
      <c r="N2">
        <v>-119.68</v>
      </c>
      <c r="O2">
        <v>12.34</v>
      </c>
      <c r="P2" t="b">
        <v>0</v>
      </c>
      <c r="Q2">
        <v>0</v>
      </c>
      <c r="R2">
        <v>3067</v>
      </c>
      <c r="S2">
        <v>1494</v>
      </c>
      <c r="T2">
        <v>-51.3</v>
      </c>
      <c r="U2" t="s">
        <v>980</v>
      </c>
      <c r="V2" t="s">
        <v>1351</v>
      </c>
      <c r="W2">
        <v>-1.923514970692364</v>
      </c>
      <c r="X2">
        <v>5.9</v>
      </c>
      <c r="Y2" t="s">
        <v>1708</v>
      </c>
      <c r="Z2">
        <v>9.43785359308138</v>
      </c>
      <c r="AA2">
        <v>33001</v>
      </c>
      <c r="AB2">
        <v>994395</v>
      </c>
      <c r="AC2" t="s">
        <v>2064</v>
      </c>
      <c r="AD2">
        <v>56.83</v>
      </c>
      <c r="AE2" t="s">
        <v>2435</v>
      </c>
      <c r="AF2" t="s">
        <v>2805</v>
      </c>
      <c r="AG2">
        <v>23406</v>
      </c>
      <c r="AH2">
        <v>12939</v>
      </c>
      <c r="AI2">
        <v>683671</v>
      </c>
      <c r="AJ2">
        <v>8.4</v>
      </c>
      <c r="AK2" t="b">
        <v>1</v>
      </c>
    </row>
    <row r="3" spans="1:38">
      <c r="A3" s="1" t="s">
        <v>171</v>
      </c>
      <c r="B3" t="s">
        <v>542</v>
      </c>
      <c r="C3">
        <f>HYPERLINK("https://finance.naver.com/item/coinfo.nhn?code=078020", "A078020")</f>
        <v>0</v>
      </c>
      <c r="D3">
        <f>HYPERLINK("http://comp.fnguide.com/SVO2/ASP/SVD_Consensus.asp?pGB=1&amp;gicode=A078020&amp;cID=&amp;MenuYn=Y&amp;ReportGB=&amp;NewMenuID=108&amp;stkGb=701", "이베스트투자증권")</f>
        <v>0</v>
      </c>
      <c r="E3">
        <v>3</v>
      </c>
      <c r="F3">
        <v>6690</v>
      </c>
      <c r="G3">
        <v>0</v>
      </c>
      <c r="H3">
        <v>3.67</v>
      </c>
      <c r="I3">
        <v>33361</v>
      </c>
      <c r="J3">
        <v>25159</v>
      </c>
      <c r="K3">
        <v>22416</v>
      </c>
      <c r="L3">
        <v>-398.67</v>
      </c>
      <c r="M3">
        <v>-276.08</v>
      </c>
      <c r="N3">
        <v>-235.07</v>
      </c>
      <c r="O3">
        <v>18.2</v>
      </c>
      <c r="P3" t="b">
        <v>1</v>
      </c>
      <c r="Q3">
        <v>0</v>
      </c>
      <c r="R3">
        <v>2233</v>
      </c>
      <c r="U3" t="s">
        <v>914</v>
      </c>
      <c r="V3" t="s">
        <v>1285</v>
      </c>
      <c r="W3">
        <v>0</v>
      </c>
      <c r="X3">
        <v>9.6</v>
      </c>
      <c r="Y3" t="s">
        <v>1646</v>
      </c>
      <c r="Z3">
        <v>13.65426128497111</v>
      </c>
      <c r="AA3">
        <v>3712</v>
      </c>
      <c r="AB3">
        <v>35573</v>
      </c>
      <c r="AC3" t="s">
        <v>1998</v>
      </c>
      <c r="AD3">
        <v>62.45</v>
      </c>
      <c r="AE3" t="s">
        <v>2369</v>
      </c>
      <c r="AF3" t="s">
        <v>2740</v>
      </c>
      <c r="AG3">
        <v>4558</v>
      </c>
      <c r="AH3">
        <v>2258</v>
      </c>
      <c r="AI3">
        <v>5075498</v>
      </c>
      <c r="AJ3">
        <v>7.33</v>
      </c>
      <c r="AK3" t="b">
        <v>1</v>
      </c>
    </row>
    <row r="4" spans="1:38">
      <c r="A4" s="1" t="s">
        <v>195</v>
      </c>
      <c r="B4" t="s">
        <v>566</v>
      </c>
      <c r="C4">
        <f>HYPERLINK("https://finance.naver.com/item/coinfo.nhn?code=005960", "A005960")</f>
        <v>0</v>
      </c>
      <c r="D4">
        <f>HYPERLINK("http://comp.fnguide.com/SVO2/ASP/SVD_Consensus.asp?pGB=1&amp;gicode=A005960&amp;cID=&amp;MenuYn=Y&amp;ReportGB=&amp;NewMenuID=108&amp;stkGb=701", "동부건설")</f>
        <v>0</v>
      </c>
      <c r="E4">
        <v>3</v>
      </c>
      <c r="F4">
        <v>10800</v>
      </c>
      <c r="G4">
        <v>0</v>
      </c>
      <c r="H4">
        <v>2.86</v>
      </c>
      <c r="I4">
        <v>42334</v>
      </c>
      <c r="J4">
        <v>32519</v>
      </c>
      <c r="K4">
        <v>29236</v>
      </c>
      <c r="L4">
        <v>-291.98</v>
      </c>
      <c r="M4">
        <v>-201.1</v>
      </c>
      <c r="N4">
        <v>-170.71</v>
      </c>
      <c r="O4">
        <v>17.4</v>
      </c>
      <c r="P4" t="b">
        <v>1</v>
      </c>
      <c r="Q4">
        <v>0</v>
      </c>
      <c r="R4">
        <v>5102</v>
      </c>
      <c r="U4" t="s">
        <v>938</v>
      </c>
      <c r="V4" t="s">
        <v>1309</v>
      </c>
      <c r="W4">
        <v>0</v>
      </c>
      <c r="X4">
        <v>86.59999999999999</v>
      </c>
      <c r="Y4" t="s">
        <v>1667</v>
      </c>
      <c r="Z4">
        <v>15.78635912290951</v>
      </c>
      <c r="AA4">
        <v>2470</v>
      </c>
      <c r="AB4">
        <v>18772</v>
      </c>
      <c r="AC4" t="s">
        <v>2022</v>
      </c>
      <c r="AD4">
        <v>56.47</v>
      </c>
      <c r="AE4" t="s">
        <v>2393</v>
      </c>
      <c r="AF4" t="s">
        <v>2763</v>
      </c>
      <c r="AG4">
        <v>11449</v>
      </c>
      <c r="AH4">
        <v>613</v>
      </c>
      <c r="AI4">
        <v>4291</v>
      </c>
      <c r="AJ4">
        <v>6.16</v>
      </c>
      <c r="AK4" t="b">
        <v>1</v>
      </c>
    </row>
    <row r="5" spans="1:38">
      <c r="A5" s="1" t="s">
        <v>116</v>
      </c>
      <c r="B5" t="s">
        <v>487</v>
      </c>
      <c r="C5">
        <f>HYPERLINK("https://finance.naver.com/item/coinfo.nhn?code=190650", "A190650")</f>
        <v>0</v>
      </c>
      <c r="D5">
        <f>HYPERLINK("http://comp.fnguide.com/SVO2/ASP/SVD_Consensus.asp?pGB=1&amp;gicode=A190650&amp;cID=&amp;MenuYn=Y&amp;ReportGB=&amp;NewMenuID=108&amp;stkGb=701", "코리아에셋투자증권")</f>
        <v>0</v>
      </c>
      <c r="E5">
        <v>3</v>
      </c>
      <c r="F5">
        <v>9530</v>
      </c>
      <c r="G5">
        <v>0</v>
      </c>
      <c r="H5">
        <v>4.77</v>
      </c>
      <c r="I5">
        <v>24411</v>
      </c>
      <c r="J5">
        <v>19227</v>
      </c>
      <c r="K5">
        <v>17493</v>
      </c>
      <c r="L5">
        <v>-156.15</v>
      </c>
      <c r="M5">
        <v>-101.75</v>
      </c>
      <c r="N5">
        <v>-83.56</v>
      </c>
      <c r="O5">
        <v>16.39</v>
      </c>
      <c r="P5" t="b">
        <v>0</v>
      </c>
      <c r="Q5">
        <v>0</v>
      </c>
      <c r="R5">
        <v>2612</v>
      </c>
      <c r="U5" t="s">
        <v>859</v>
      </c>
      <c r="V5" t="s">
        <v>1230</v>
      </c>
      <c r="W5">
        <v>0</v>
      </c>
      <c r="X5">
        <v>18.9</v>
      </c>
      <c r="Y5" t="s">
        <v>1596</v>
      </c>
      <c r="Z5">
        <v>13.80213972152477</v>
      </c>
      <c r="AA5">
        <v>609</v>
      </c>
      <c r="AB5">
        <v>6998</v>
      </c>
      <c r="AC5" t="s">
        <v>1943</v>
      </c>
      <c r="AD5">
        <v>50.75</v>
      </c>
      <c r="AE5" t="s">
        <v>2314</v>
      </c>
      <c r="AF5" t="s">
        <v>2685</v>
      </c>
      <c r="AG5">
        <v>876</v>
      </c>
      <c r="AH5">
        <v>215</v>
      </c>
      <c r="AJ5">
        <v>5.62</v>
      </c>
      <c r="AK5" t="b">
        <v>1</v>
      </c>
    </row>
    <row r="6" spans="1:38">
      <c r="A6" s="1" t="s">
        <v>258</v>
      </c>
      <c r="B6" t="s">
        <v>629</v>
      </c>
      <c r="C6">
        <f>HYPERLINK("https://finance.naver.com/item/coinfo.nhn?code=123890", "A123890")</f>
        <v>0</v>
      </c>
      <c r="D6">
        <f>HYPERLINK("http://comp.fnguide.com/SVO2/ASP/SVD_Consensus.asp?pGB=1&amp;gicode=A123890&amp;cID=&amp;MenuYn=Y&amp;ReportGB=&amp;NewMenuID=108&amp;stkGb=701", "한국자산신탁")</f>
        <v>0</v>
      </c>
      <c r="E6">
        <v>3</v>
      </c>
      <c r="F6">
        <v>3460</v>
      </c>
      <c r="G6">
        <v>0.4</v>
      </c>
      <c r="H6">
        <v>4.71</v>
      </c>
      <c r="I6">
        <v>10399</v>
      </c>
      <c r="J6">
        <v>8501</v>
      </c>
      <c r="K6">
        <v>7866</v>
      </c>
      <c r="L6">
        <v>-200.56</v>
      </c>
      <c r="M6">
        <v>-145.69</v>
      </c>
      <c r="N6">
        <v>-127.34</v>
      </c>
      <c r="O6">
        <v>15.06</v>
      </c>
      <c r="P6" t="b">
        <v>1</v>
      </c>
      <c r="Q6">
        <v>1</v>
      </c>
      <c r="R6">
        <v>867</v>
      </c>
      <c r="S6">
        <v>996</v>
      </c>
      <c r="T6">
        <v>14.9</v>
      </c>
      <c r="U6" t="s">
        <v>1001</v>
      </c>
      <c r="V6" t="s">
        <v>1372</v>
      </c>
      <c r="W6">
        <v>11.65745402078784</v>
      </c>
      <c r="Y6" t="s">
        <v>1536</v>
      </c>
      <c r="Z6">
        <v>3.207757180606907</v>
      </c>
      <c r="AA6">
        <v>4290</v>
      </c>
      <c r="AB6">
        <v>97494</v>
      </c>
      <c r="AC6" t="s">
        <v>2085</v>
      </c>
      <c r="AD6">
        <v>53.62</v>
      </c>
      <c r="AE6" t="s">
        <v>2456</v>
      </c>
      <c r="AF6" t="s">
        <v>2825</v>
      </c>
      <c r="AG6">
        <v>2125</v>
      </c>
      <c r="AH6">
        <v>1479</v>
      </c>
      <c r="AI6">
        <v>1610697</v>
      </c>
      <c r="AJ6">
        <v>5.39</v>
      </c>
      <c r="AK6" t="b">
        <v>1</v>
      </c>
    </row>
    <row r="7" spans="1:38">
      <c r="A7" s="1" t="s">
        <v>42</v>
      </c>
      <c r="B7" t="s">
        <v>413</v>
      </c>
      <c r="C7">
        <f>HYPERLINK("https://finance.naver.com/item/coinfo.nhn?code=017480", "A017480")</f>
        <v>0</v>
      </c>
      <c r="D7">
        <f>HYPERLINK("http://comp.fnguide.com/SVO2/ASP/SVD_Consensus.asp?pGB=1&amp;gicode=A017480&amp;cID=&amp;MenuYn=Y&amp;ReportGB=&amp;NewMenuID=108&amp;stkGb=701", "삼현철강")</f>
        <v>0</v>
      </c>
      <c r="E7">
        <v>3</v>
      </c>
      <c r="F7">
        <v>5750</v>
      </c>
      <c r="G7">
        <v>0</v>
      </c>
      <c r="H7">
        <v>3.51</v>
      </c>
      <c r="I7">
        <v>11487</v>
      </c>
      <c r="J7">
        <v>11441</v>
      </c>
      <c r="K7">
        <v>11426</v>
      </c>
      <c r="L7">
        <v>-99.77</v>
      </c>
      <c r="M7">
        <v>-98.97</v>
      </c>
      <c r="N7">
        <v>-98.70999999999999</v>
      </c>
      <c r="O7">
        <v>10.12</v>
      </c>
      <c r="P7" t="b">
        <v>1</v>
      </c>
      <c r="Q7">
        <v>0</v>
      </c>
      <c r="R7">
        <v>1617</v>
      </c>
      <c r="U7" t="s">
        <v>785</v>
      </c>
      <c r="V7" t="s">
        <v>1156</v>
      </c>
      <c r="W7">
        <v>0</v>
      </c>
      <c r="X7">
        <v>13.7</v>
      </c>
      <c r="Y7" t="s">
        <v>1527</v>
      </c>
      <c r="Z7">
        <v>35.67775436919012</v>
      </c>
      <c r="AA7">
        <v>903</v>
      </c>
      <c r="AB7">
        <v>34379</v>
      </c>
      <c r="AC7" t="s">
        <v>1869</v>
      </c>
      <c r="AD7">
        <v>58.46</v>
      </c>
      <c r="AE7" t="s">
        <v>2240</v>
      </c>
      <c r="AF7" t="s">
        <v>2611</v>
      </c>
      <c r="AG7">
        <v>3221</v>
      </c>
      <c r="AH7">
        <v>331</v>
      </c>
      <c r="AI7">
        <v>260000</v>
      </c>
      <c r="AJ7">
        <v>5.29</v>
      </c>
      <c r="AK7" t="b">
        <v>1</v>
      </c>
    </row>
    <row r="8" spans="1:38">
      <c r="A8" s="1" t="s">
        <v>226</v>
      </c>
      <c r="B8" t="s">
        <v>597</v>
      </c>
      <c r="C8">
        <f>HYPERLINK("https://finance.naver.com/item/coinfo.nhn?code=025000", "A025000")</f>
        <v>0</v>
      </c>
      <c r="D8">
        <f>HYPERLINK("http://comp.fnguide.com/SVO2/ASP/SVD_Consensus.asp?pGB=1&amp;gicode=A025000&amp;cID=&amp;MenuYn=Y&amp;ReportGB=&amp;NewMenuID=108&amp;stkGb=701", "KPX케미칼")</f>
        <v>0</v>
      </c>
      <c r="E8">
        <v>3</v>
      </c>
      <c r="F8">
        <v>49300</v>
      </c>
      <c r="G8">
        <v>2.31</v>
      </c>
      <c r="H8">
        <v>5.39</v>
      </c>
      <c r="I8">
        <v>120632</v>
      </c>
      <c r="J8">
        <v>119797</v>
      </c>
      <c r="K8">
        <v>119518</v>
      </c>
      <c r="L8">
        <v>-144.69</v>
      </c>
      <c r="M8">
        <v>-143</v>
      </c>
      <c r="N8">
        <v>-142.43</v>
      </c>
      <c r="O8">
        <v>10.18</v>
      </c>
      <c r="P8" t="b">
        <v>1</v>
      </c>
      <c r="Q8">
        <v>0</v>
      </c>
      <c r="R8">
        <v>9946</v>
      </c>
      <c r="S8">
        <v>9215</v>
      </c>
      <c r="T8">
        <v>-7.3</v>
      </c>
      <c r="U8" t="s">
        <v>969</v>
      </c>
      <c r="V8" t="s">
        <v>1340</v>
      </c>
      <c r="W8">
        <v>2.331040078713875</v>
      </c>
      <c r="X8">
        <v>-12.1</v>
      </c>
      <c r="Y8" t="s">
        <v>1697</v>
      </c>
      <c r="Z8">
        <v>9.802593007820137</v>
      </c>
      <c r="AA8">
        <v>2386</v>
      </c>
      <c r="AB8">
        <v>1553</v>
      </c>
      <c r="AC8" t="s">
        <v>2053</v>
      </c>
      <c r="AD8">
        <v>64.40000000000001</v>
      </c>
      <c r="AE8" t="s">
        <v>2424</v>
      </c>
      <c r="AF8" t="s">
        <v>2794</v>
      </c>
      <c r="AG8">
        <v>10208</v>
      </c>
      <c r="AH8">
        <v>447</v>
      </c>
      <c r="AI8">
        <v>84779</v>
      </c>
      <c r="AJ8">
        <v>5.13</v>
      </c>
      <c r="AK8" t="b">
        <v>1</v>
      </c>
    </row>
    <row r="9" spans="1:38">
      <c r="A9" s="1" t="s">
        <v>206</v>
      </c>
      <c r="B9" t="s">
        <v>577</v>
      </c>
      <c r="C9">
        <f>HYPERLINK("https://finance.naver.com/item/coinfo.nhn?code=161000", "A161000")</f>
        <v>0</v>
      </c>
      <c r="D9">
        <f>HYPERLINK("http://comp.fnguide.com/SVO2/ASP/SVD_Consensus.asp?pGB=1&amp;gicode=A161000&amp;cID=&amp;MenuYn=Y&amp;ReportGB=&amp;NewMenuID=108&amp;stkGb=701", "애경케미칼")</f>
        <v>0</v>
      </c>
      <c r="E9">
        <v>3</v>
      </c>
      <c r="F9">
        <v>8350</v>
      </c>
      <c r="G9">
        <v>0</v>
      </c>
      <c r="H9">
        <v>4.88</v>
      </c>
      <c r="I9">
        <v>17831</v>
      </c>
      <c r="J9">
        <v>15939</v>
      </c>
      <c r="K9">
        <v>15306</v>
      </c>
      <c r="L9">
        <v>-113.54</v>
      </c>
      <c r="M9">
        <v>-90.88</v>
      </c>
      <c r="N9">
        <v>-83.31</v>
      </c>
      <c r="O9">
        <v>12.46</v>
      </c>
      <c r="P9" t="b">
        <v>1</v>
      </c>
      <c r="Q9">
        <v>0</v>
      </c>
      <c r="R9">
        <v>2225</v>
      </c>
      <c r="U9" t="s">
        <v>949</v>
      </c>
      <c r="V9" t="s">
        <v>1320</v>
      </c>
      <c r="W9">
        <v>0</v>
      </c>
      <c r="X9">
        <v>-54.5</v>
      </c>
      <c r="Y9" t="s">
        <v>1678</v>
      </c>
      <c r="Z9">
        <v>-12.99409009791677</v>
      </c>
      <c r="AA9">
        <v>4062</v>
      </c>
      <c r="AB9">
        <v>97904</v>
      </c>
      <c r="AC9" t="s">
        <v>2033</v>
      </c>
      <c r="AD9">
        <v>66.31</v>
      </c>
      <c r="AE9" t="s">
        <v>2404</v>
      </c>
      <c r="AF9" t="s">
        <v>2774</v>
      </c>
      <c r="AG9">
        <v>15701</v>
      </c>
      <c r="AH9">
        <v>933</v>
      </c>
      <c r="AI9">
        <v>476432</v>
      </c>
      <c r="AJ9">
        <v>5.07</v>
      </c>
      <c r="AK9" t="b">
        <v>1</v>
      </c>
    </row>
    <row r="10" spans="1:38">
      <c r="A10" s="1" t="s">
        <v>36</v>
      </c>
      <c r="B10" t="s">
        <v>407</v>
      </c>
      <c r="C10">
        <f>HYPERLINK("https://finance.naver.com/item/coinfo.nhn?code=095570", "A095570")</f>
        <v>0</v>
      </c>
      <c r="D10">
        <f>HYPERLINK("http://comp.fnguide.com/SVO2/ASP/SVD_Consensus.asp?pGB=1&amp;gicode=A095570&amp;cID=&amp;MenuYn=Y&amp;ReportGB=&amp;NewMenuID=108&amp;stkGb=701", "AJ네트웍스")</f>
        <v>0</v>
      </c>
      <c r="E10">
        <v>3</v>
      </c>
      <c r="F10">
        <v>8030</v>
      </c>
      <c r="G10">
        <v>-1.9</v>
      </c>
      <c r="H10">
        <v>3.3</v>
      </c>
      <c r="I10">
        <v>11574</v>
      </c>
      <c r="J10">
        <v>9654</v>
      </c>
      <c r="K10">
        <v>9011</v>
      </c>
      <c r="L10">
        <v>-44.14</v>
      </c>
      <c r="M10">
        <v>-20.22</v>
      </c>
      <c r="N10">
        <v>-12.22</v>
      </c>
      <c r="O10">
        <v>14.41</v>
      </c>
      <c r="P10" t="b">
        <v>1</v>
      </c>
      <c r="Q10">
        <v>0</v>
      </c>
      <c r="R10">
        <v>1640</v>
      </c>
      <c r="S10">
        <v>927</v>
      </c>
      <c r="T10">
        <v>-43.5</v>
      </c>
      <c r="U10" t="s">
        <v>779</v>
      </c>
      <c r="V10" t="s">
        <v>1150</v>
      </c>
      <c r="W10">
        <v>-1.741099680352864</v>
      </c>
      <c r="X10">
        <v>126.3</v>
      </c>
      <c r="Y10" t="s">
        <v>1521</v>
      </c>
      <c r="Z10">
        <v>0</v>
      </c>
      <c r="AA10">
        <v>3760</v>
      </c>
      <c r="AB10">
        <v>498757</v>
      </c>
      <c r="AC10" t="s">
        <v>1863</v>
      </c>
      <c r="AD10">
        <v>64.78</v>
      </c>
      <c r="AE10" t="s">
        <v>2234</v>
      </c>
      <c r="AF10" t="s">
        <v>2605</v>
      </c>
      <c r="AG10">
        <v>10267</v>
      </c>
      <c r="AH10">
        <v>451</v>
      </c>
      <c r="AI10">
        <v>2054479</v>
      </c>
      <c r="AJ10">
        <v>4.99</v>
      </c>
      <c r="AK10" t="b">
        <v>1</v>
      </c>
    </row>
    <row r="11" spans="1:38">
      <c r="A11" s="1" t="s">
        <v>39</v>
      </c>
      <c r="B11" t="s">
        <v>410</v>
      </c>
      <c r="C11">
        <f>HYPERLINK("https://finance.naver.com/item/coinfo.nhn?code=065710", "A065710")</f>
        <v>0</v>
      </c>
      <c r="D11">
        <f>HYPERLINK("http://comp.fnguide.com/SVO2/ASP/SVD_Consensus.asp?pGB=1&amp;gicode=A065710&amp;cID=&amp;MenuYn=Y&amp;ReportGB=&amp;NewMenuID=108&amp;stkGb=701", "서호전기")</f>
        <v>0</v>
      </c>
      <c r="E11">
        <v>3</v>
      </c>
      <c r="F11">
        <v>19350</v>
      </c>
      <c r="G11">
        <v>0</v>
      </c>
      <c r="H11">
        <v>6.19</v>
      </c>
      <c r="I11">
        <v>29418</v>
      </c>
      <c r="J11">
        <v>22410</v>
      </c>
      <c r="K11">
        <v>20066</v>
      </c>
      <c r="L11">
        <v>-52.03</v>
      </c>
      <c r="M11">
        <v>-15.81</v>
      </c>
      <c r="N11">
        <v>-3.7</v>
      </c>
      <c r="O11">
        <v>17.76</v>
      </c>
      <c r="P11" t="b">
        <v>1</v>
      </c>
      <c r="Q11">
        <v>0</v>
      </c>
      <c r="R11">
        <v>3374</v>
      </c>
      <c r="U11" t="s">
        <v>782</v>
      </c>
      <c r="V11" t="s">
        <v>1153</v>
      </c>
      <c r="W11">
        <v>0</v>
      </c>
      <c r="X11">
        <v>-35.9</v>
      </c>
      <c r="Y11" t="s">
        <v>1524</v>
      </c>
      <c r="Z11">
        <v>12.65208818312917</v>
      </c>
      <c r="AA11">
        <v>997</v>
      </c>
      <c r="AB11">
        <v>8302</v>
      </c>
      <c r="AC11" t="s">
        <v>1866</v>
      </c>
      <c r="AD11">
        <v>58.59</v>
      </c>
      <c r="AE11" t="s">
        <v>2237</v>
      </c>
      <c r="AF11" t="s">
        <v>2608</v>
      </c>
      <c r="AG11">
        <v>743</v>
      </c>
      <c r="AH11">
        <v>148</v>
      </c>
      <c r="AI11">
        <v>62878</v>
      </c>
      <c r="AJ11">
        <v>4.78</v>
      </c>
      <c r="AK11" t="b">
        <v>1</v>
      </c>
    </row>
    <row r="12" spans="1:38">
      <c r="A12" s="1" t="s">
        <v>225</v>
      </c>
      <c r="B12" t="s">
        <v>596</v>
      </c>
      <c r="C12">
        <f>HYPERLINK("https://finance.naver.com/item/coinfo.nhn?code=092230", "A092230")</f>
        <v>0</v>
      </c>
      <c r="D12">
        <f>HYPERLINK("http://comp.fnguide.com/SVO2/ASP/SVD_Consensus.asp?pGB=1&amp;gicode=A092230&amp;cID=&amp;MenuYn=Y&amp;ReportGB=&amp;NewMenuID=108&amp;stkGb=701", "KPX홀딩스")</f>
        <v>0</v>
      </c>
      <c r="E12">
        <v>3</v>
      </c>
      <c r="F12">
        <v>60300</v>
      </c>
      <c r="G12">
        <v>0</v>
      </c>
      <c r="H12">
        <v>5.81</v>
      </c>
      <c r="I12">
        <v>217969</v>
      </c>
      <c r="J12">
        <v>212987</v>
      </c>
      <c r="K12">
        <v>211321</v>
      </c>
      <c r="L12">
        <v>-261.47</v>
      </c>
      <c r="M12">
        <v>-253.21</v>
      </c>
      <c r="N12">
        <v>-250.45</v>
      </c>
      <c r="O12">
        <v>10.49</v>
      </c>
      <c r="P12" t="b">
        <v>1</v>
      </c>
      <c r="Q12">
        <v>0</v>
      </c>
      <c r="R12">
        <v>10928</v>
      </c>
      <c r="U12" t="s">
        <v>968</v>
      </c>
      <c r="V12" t="s">
        <v>1339</v>
      </c>
      <c r="W12">
        <v>0</v>
      </c>
      <c r="Y12" t="s">
        <v>1696</v>
      </c>
      <c r="Z12">
        <v>0</v>
      </c>
      <c r="AA12">
        <v>2547</v>
      </c>
      <c r="AB12">
        <v>525</v>
      </c>
      <c r="AC12" t="s">
        <v>2052</v>
      </c>
      <c r="AD12">
        <v>74.15000000000001</v>
      </c>
      <c r="AE12" t="s">
        <v>2423</v>
      </c>
      <c r="AF12" t="s">
        <v>2793</v>
      </c>
      <c r="AG12">
        <v>12387</v>
      </c>
      <c r="AH12">
        <v>541</v>
      </c>
      <c r="AI12">
        <v>293437</v>
      </c>
      <c r="AJ12">
        <v>4.72</v>
      </c>
      <c r="AK12" t="b">
        <v>1</v>
      </c>
    </row>
    <row r="13" spans="1:38">
      <c r="A13" s="1" t="s">
        <v>138</v>
      </c>
      <c r="B13" t="s">
        <v>509</v>
      </c>
      <c r="C13">
        <f>HYPERLINK("https://finance.naver.com/item/coinfo.nhn?code=023760", "A023760")</f>
        <v>0</v>
      </c>
      <c r="D13">
        <f>HYPERLINK("http://comp.fnguide.com/SVO2/ASP/SVD_Consensus.asp?pGB=1&amp;gicode=A023760&amp;cID=&amp;MenuYn=Y&amp;ReportGB=&amp;NewMenuID=108&amp;stkGb=701", "한국캐피탈")</f>
        <v>0</v>
      </c>
      <c r="E13">
        <v>3</v>
      </c>
      <c r="F13">
        <v>810</v>
      </c>
      <c r="G13">
        <v>0</v>
      </c>
      <c r="H13">
        <v>5.01</v>
      </c>
      <c r="I13">
        <v>1596</v>
      </c>
      <c r="J13">
        <v>1430</v>
      </c>
      <c r="K13">
        <v>1374</v>
      </c>
      <c r="L13">
        <v>-96.98999999999999</v>
      </c>
      <c r="M13">
        <v>-76.5</v>
      </c>
      <c r="N13">
        <v>-69.64</v>
      </c>
      <c r="O13">
        <v>12.4</v>
      </c>
      <c r="P13" t="b">
        <v>0</v>
      </c>
      <c r="Q13">
        <v>0</v>
      </c>
      <c r="R13">
        <v>168</v>
      </c>
      <c r="U13" t="s">
        <v>881</v>
      </c>
      <c r="V13" t="s">
        <v>1252</v>
      </c>
      <c r="W13">
        <v>0</v>
      </c>
      <c r="Y13" t="s">
        <v>1536</v>
      </c>
      <c r="Z13">
        <v>8.116675478182533</v>
      </c>
      <c r="AA13">
        <v>2556</v>
      </c>
      <c r="AB13">
        <v>85202</v>
      </c>
      <c r="AC13" t="s">
        <v>1965</v>
      </c>
      <c r="AD13">
        <v>80.41</v>
      </c>
      <c r="AE13" t="s">
        <v>2336</v>
      </c>
      <c r="AF13" t="s">
        <v>2707</v>
      </c>
      <c r="AG13">
        <v>1156</v>
      </c>
      <c r="AH13">
        <v>747</v>
      </c>
      <c r="AI13">
        <v>3052001</v>
      </c>
      <c r="AJ13">
        <v>4.15</v>
      </c>
      <c r="AK13" t="b">
        <v>1</v>
      </c>
    </row>
    <row r="14" spans="1:38">
      <c r="A14" s="1" t="s">
        <v>254</v>
      </c>
      <c r="B14" t="s">
        <v>625</v>
      </c>
      <c r="C14">
        <f>HYPERLINK("https://finance.naver.com/item/coinfo.nhn?code=018670", "A018670")</f>
        <v>0</v>
      </c>
      <c r="D14">
        <f>HYPERLINK("http://comp.fnguide.com/SVO2/ASP/SVD_Consensus.asp?pGB=1&amp;gicode=A018670&amp;cID=&amp;MenuYn=Y&amp;ReportGB=&amp;NewMenuID=108&amp;stkGb=701", "SK가스")</f>
        <v>0</v>
      </c>
      <c r="E14">
        <v>3</v>
      </c>
      <c r="F14">
        <v>112500</v>
      </c>
      <c r="G14">
        <v>0.6</v>
      </c>
      <c r="H14">
        <v>4.72</v>
      </c>
      <c r="I14">
        <v>300867</v>
      </c>
      <c r="J14">
        <v>265220</v>
      </c>
      <c r="K14">
        <v>253298</v>
      </c>
      <c r="L14">
        <v>-167.44</v>
      </c>
      <c r="M14">
        <v>-135.75</v>
      </c>
      <c r="N14">
        <v>-125.15</v>
      </c>
      <c r="O14">
        <v>12.82</v>
      </c>
      <c r="P14" t="b">
        <v>1</v>
      </c>
      <c r="Q14">
        <v>0</v>
      </c>
      <c r="R14">
        <v>27005</v>
      </c>
      <c r="S14">
        <v>21603</v>
      </c>
      <c r="T14">
        <v>-20</v>
      </c>
      <c r="U14" t="s">
        <v>997</v>
      </c>
      <c r="V14" t="s">
        <v>1368</v>
      </c>
      <c r="W14">
        <v>7.850960401313056</v>
      </c>
      <c r="X14">
        <v>153.6</v>
      </c>
      <c r="Y14" t="s">
        <v>1725</v>
      </c>
      <c r="Z14">
        <v>43.9621854922611</v>
      </c>
      <c r="AA14">
        <v>10384</v>
      </c>
      <c r="AB14">
        <v>4600</v>
      </c>
      <c r="AC14" t="s">
        <v>2081</v>
      </c>
      <c r="AD14">
        <v>72.33</v>
      </c>
      <c r="AE14" t="s">
        <v>2452</v>
      </c>
      <c r="AF14" t="s">
        <v>2822</v>
      </c>
      <c r="AG14">
        <v>64945</v>
      </c>
      <c r="AH14">
        <v>1055</v>
      </c>
      <c r="AI14">
        <v>255198</v>
      </c>
      <c r="AJ14">
        <v>4</v>
      </c>
      <c r="AK14" t="b">
        <v>1</v>
      </c>
    </row>
    <row r="15" spans="1:38">
      <c r="A15" s="1" t="s">
        <v>202</v>
      </c>
      <c r="B15" t="s">
        <v>573</v>
      </c>
      <c r="C15">
        <f>HYPERLINK("https://finance.naver.com/item/coinfo.nhn?code=272550", "A272550")</f>
        <v>0</v>
      </c>
      <c r="D15">
        <f>HYPERLINK("http://comp.fnguide.com/SVO2/ASP/SVD_Consensus.asp?pGB=1&amp;gicode=A272550&amp;cID=&amp;MenuYn=Y&amp;ReportGB=&amp;NewMenuID=108&amp;stkGb=701", "삼양패키징")</f>
        <v>0</v>
      </c>
      <c r="E15">
        <v>3</v>
      </c>
      <c r="F15">
        <v>19350</v>
      </c>
      <c r="G15">
        <v>0</v>
      </c>
      <c r="H15">
        <v>11.72</v>
      </c>
      <c r="I15">
        <v>20570</v>
      </c>
      <c r="J15">
        <v>20446</v>
      </c>
      <c r="K15">
        <v>20404</v>
      </c>
      <c r="L15">
        <v>-6.3</v>
      </c>
      <c r="M15">
        <v>-5.66</v>
      </c>
      <c r="N15">
        <v>-5.45</v>
      </c>
      <c r="O15">
        <v>10.16</v>
      </c>
      <c r="P15" t="b">
        <v>0</v>
      </c>
      <c r="Q15">
        <v>0</v>
      </c>
      <c r="R15">
        <v>2132</v>
      </c>
      <c r="U15" t="s">
        <v>945</v>
      </c>
      <c r="V15" t="s">
        <v>1316</v>
      </c>
      <c r="W15">
        <v>0</v>
      </c>
      <c r="X15">
        <v>-87.90000000000001</v>
      </c>
      <c r="Y15" t="s">
        <v>1674</v>
      </c>
      <c r="Z15">
        <v>-33.37636217848463</v>
      </c>
      <c r="AA15">
        <v>3055</v>
      </c>
      <c r="AB15">
        <v>9633</v>
      </c>
      <c r="AC15" t="s">
        <v>2029</v>
      </c>
      <c r="AD15">
        <v>59.4</v>
      </c>
      <c r="AE15" t="s">
        <v>2400</v>
      </c>
      <c r="AF15" t="s">
        <v>2770</v>
      </c>
      <c r="AG15">
        <v>3919</v>
      </c>
      <c r="AH15">
        <v>461</v>
      </c>
      <c r="AJ15">
        <v>4</v>
      </c>
      <c r="AK15" t="b">
        <v>1</v>
      </c>
    </row>
    <row r="16" spans="1:38">
      <c r="A16" s="1" t="s">
        <v>230</v>
      </c>
      <c r="B16" t="s">
        <v>601</v>
      </c>
      <c r="C16">
        <f>HYPERLINK("https://finance.naver.com/item/coinfo.nhn?code=007070", "A007070")</f>
        <v>0</v>
      </c>
      <c r="D16">
        <f>HYPERLINK("http://comp.fnguide.com/SVO2/ASP/SVD_Consensus.asp?pGB=1&amp;gicode=A007070&amp;cID=&amp;MenuYn=Y&amp;ReportGB=&amp;NewMenuID=108&amp;stkGb=701", "GS리테일")</f>
        <v>0</v>
      </c>
      <c r="E16">
        <v>3</v>
      </c>
      <c r="F16">
        <v>24550</v>
      </c>
      <c r="G16">
        <v>-1.2</v>
      </c>
      <c r="H16">
        <v>3.39</v>
      </c>
      <c r="I16">
        <v>64679</v>
      </c>
      <c r="J16">
        <v>51036</v>
      </c>
      <c r="K16">
        <v>46473</v>
      </c>
      <c r="L16">
        <v>-163.46</v>
      </c>
      <c r="M16">
        <v>-107.88</v>
      </c>
      <c r="N16">
        <v>-89.3</v>
      </c>
      <c r="O16">
        <v>16.32</v>
      </c>
      <c r="P16" t="b">
        <v>1</v>
      </c>
      <c r="Q16">
        <v>0</v>
      </c>
      <c r="R16">
        <v>8961</v>
      </c>
      <c r="S16">
        <v>1588</v>
      </c>
      <c r="T16">
        <v>-82.3</v>
      </c>
      <c r="U16" t="s">
        <v>973</v>
      </c>
      <c r="V16" t="s">
        <v>1344</v>
      </c>
      <c r="W16">
        <v>-2.834985770178755</v>
      </c>
      <c r="X16">
        <v>-80.90000000000001</v>
      </c>
      <c r="Y16" t="s">
        <v>1701</v>
      </c>
      <c r="Z16">
        <v>2.215541671464671</v>
      </c>
      <c r="AA16">
        <v>25708</v>
      </c>
      <c r="AB16">
        <v>154305</v>
      </c>
      <c r="AC16" t="s">
        <v>2057</v>
      </c>
      <c r="AD16">
        <v>57.9</v>
      </c>
      <c r="AE16" t="s">
        <v>2428</v>
      </c>
      <c r="AF16" t="s">
        <v>2798</v>
      </c>
      <c r="AG16">
        <v>97657</v>
      </c>
      <c r="AH16">
        <v>2085</v>
      </c>
      <c r="AI16">
        <v>2537897</v>
      </c>
      <c r="AJ16">
        <v>3.95</v>
      </c>
      <c r="AK16" t="b">
        <v>1</v>
      </c>
    </row>
    <row r="17" spans="1:37">
      <c r="A17" s="1" t="s">
        <v>339</v>
      </c>
      <c r="B17" t="s">
        <v>710</v>
      </c>
      <c r="C17">
        <f>HYPERLINK("https://finance.naver.com/item/coinfo.nhn?code=094280", "A094280")</f>
        <v>0</v>
      </c>
      <c r="D17">
        <f>HYPERLINK("http://comp.fnguide.com/SVO2/ASP/SVD_Consensus.asp?pGB=1&amp;gicode=A094280&amp;cID=&amp;MenuYn=Y&amp;ReportGB=&amp;NewMenuID=108&amp;stkGb=701", "효성ITX")</f>
        <v>0</v>
      </c>
      <c r="E17">
        <v>1</v>
      </c>
      <c r="F17">
        <v>15100</v>
      </c>
      <c r="G17">
        <v>0</v>
      </c>
      <c r="H17">
        <v>17.28</v>
      </c>
      <c r="I17">
        <v>19975</v>
      </c>
      <c r="J17">
        <v>14148</v>
      </c>
      <c r="K17">
        <v>12199</v>
      </c>
      <c r="L17">
        <v>-32.29</v>
      </c>
      <c r="M17">
        <v>6.31</v>
      </c>
      <c r="N17">
        <v>19.21</v>
      </c>
      <c r="O17">
        <v>21.45</v>
      </c>
      <c r="P17" t="b">
        <v>0</v>
      </c>
      <c r="Q17">
        <v>0</v>
      </c>
      <c r="R17">
        <v>1158</v>
      </c>
      <c r="U17" t="s">
        <v>1082</v>
      </c>
      <c r="V17" t="s">
        <v>1453</v>
      </c>
      <c r="W17">
        <v>0</v>
      </c>
      <c r="X17">
        <v>50.6</v>
      </c>
      <c r="Y17" t="s">
        <v>1803</v>
      </c>
      <c r="Z17">
        <v>17.86820027923701</v>
      </c>
      <c r="AA17">
        <v>1745</v>
      </c>
      <c r="AB17">
        <v>6094</v>
      </c>
      <c r="AC17" t="s">
        <v>2166</v>
      </c>
      <c r="AD17">
        <v>68.3</v>
      </c>
      <c r="AE17" t="s">
        <v>2537</v>
      </c>
      <c r="AF17" t="s">
        <v>2904</v>
      </c>
      <c r="AG17">
        <v>4759</v>
      </c>
      <c r="AH17">
        <v>203</v>
      </c>
      <c r="AI17">
        <v>519835</v>
      </c>
      <c r="AJ17">
        <v>3.75</v>
      </c>
      <c r="AK17" t="b">
        <v>1</v>
      </c>
    </row>
    <row r="18" spans="1:37">
      <c r="A18" s="1" t="s">
        <v>66</v>
      </c>
      <c r="B18" t="s">
        <v>437</v>
      </c>
      <c r="C18">
        <f>HYPERLINK("https://finance.naver.com/item/coinfo.nhn?code=376290", "A376290")</f>
        <v>0</v>
      </c>
      <c r="D18">
        <f>HYPERLINK("http://comp.fnguide.com/SVO2/ASP/SVD_Consensus.asp?pGB=1&amp;gicode=A376290&amp;cID=&amp;MenuYn=Y&amp;ReportGB=&amp;NewMenuID=108&amp;stkGb=701", "씨유테크")</f>
        <v>0</v>
      </c>
      <c r="E18">
        <v>3</v>
      </c>
      <c r="F18">
        <v>5390</v>
      </c>
      <c r="G18">
        <v>0</v>
      </c>
      <c r="H18">
        <v>6.89</v>
      </c>
      <c r="I18">
        <v>8704</v>
      </c>
      <c r="J18">
        <v>7082</v>
      </c>
      <c r="K18">
        <v>6539</v>
      </c>
      <c r="L18">
        <v>-61.49</v>
      </c>
      <c r="M18">
        <v>-31.39</v>
      </c>
      <c r="N18">
        <v>-21.32</v>
      </c>
      <c r="O18">
        <v>15.22</v>
      </c>
      <c r="P18" t="b">
        <v>1</v>
      </c>
      <c r="Q18">
        <v>0</v>
      </c>
      <c r="R18">
        <v>1026</v>
      </c>
      <c r="U18" t="s">
        <v>809</v>
      </c>
      <c r="V18" t="s">
        <v>1180</v>
      </c>
      <c r="W18">
        <v>0</v>
      </c>
      <c r="X18">
        <v>-91.5</v>
      </c>
      <c r="Y18" t="s">
        <v>1550</v>
      </c>
      <c r="Z18">
        <v>0</v>
      </c>
      <c r="AA18">
        <v>952</v>
      </c>
      <c r="AB18">
        <v>218163</v>
      </c>
      <c r="AC18" t="s">
        <v>1893</v>
      </c>
      <c r="AD18">
        <v>69.38</v>
      </c>
      <c r="AE18" t="s">
        <v>2264</v>
      </c>
      <c r="AF18" t="s">
        <v>2635</v>
      </c>
      <c r="AG18">
        <v>2638</v>
      </c>
      <c r="AH18">
        <v>199</v>
      </c>
      <c r="AJ18">
        <v>3.68</v>
      </c>
      <c r="AK18" t="b">
        <v>1</v>
      </c>
    </row>
    <row r="19" spans="1:37">
      <c r="A19" s="1" t="s">
        <v>260</v>
      </c>
      <c r="B19" t="s">
        <v>631</v>
      </c>
      <c r="C19">
        <f>HYPERLINK("https://finance.naver.com/item/coinfo.nhn?code=192400", "A192400")</f>
        <v>0</v>
      </c>
      <c r="D19">
        <f>HYPERLINK("http://comp.fnguide.com/SVO2/ASP/SVD_Consensus.asp?pGB=1&amp;gicode=A192400&amp;cID=&amp;MenuYn=Y&amp;ReportGB=&amp;NewMenuID=108&amp;stkGb=701", "쿠쿠홀딩스")</f>
        <v>0</v>
      </c>
      <c r="E19">
        <v>3</v>
      </c>
      <c r="F19">
        <v>17250</v>
      </c>
      <c r="G19">
        <v>0</v>
      </c>
      <c r="H19">
        <v>4.7</v>
      </c>
      <c r="I19">
        <v>44893</v>
      </c>
      <c r="J19">
        <v>35912</v>
      </c>
      <c r="K19">
        <v>32909</v>
      </c>
      <c r="L19">
        <v>-160.25</v>
      </c>
      <c r="M19">
        <v>-108.19</v>
      </c>
      <c r="N19">
        <v>-90.78</v>
      </c>
      <c r="O19">
        <v>15.81</v>
      </c>
      <c r="P19" t="b">
        <v>1</v>
      </c>
      <c r="Q19">
        <v>0</v>
      </c>
      <c r="R19">
        <v>4073</v>
      </c>
      <c r="U19" t="s">
        <v>1003</v>
      </c>
      <c r="V19" t="s">
        <v>1374</v>
      </c>
      <c r="W19">
        <v>0</v>
      </c>
      <c r="X19">
        <v>-5.2</v>
      </c>
      <c r="Y19" t="s">
        <v>1729</v>
      </c>
      <c r="Z19">
        <v>-16.48536739871709</v>
      </c>
      <c r="AA19">
        <v>6134</v>
      </c>
      <c r="AB19">
        <v>30693</v>
      </c>
      <c r="AC19" t="s">
        <v>2087</v>
      </c>
      <c r="AD19">
        <v>64.86</v>
      </c>
      <c r="AE19" t="s">
        <v>2458</v>
      </c>
      <c r="AF19" t="s">
        <v>2827</v>
      </c>
      <c r="AG19">
        <v>6851</v>
      </c>
      <c r="AH19">
        <v>1070</v>
      </c>
      <c r="AI19">
        <v>4483800</v>
      </c>
      <c r="AJ19">
        <v>3.66</v>
      </c>
      <c r="AK19" t="b">
        <v>1</v>
      </c>
    </row>
    <row r="20" spans="1:37">
      <c r="A20" s="1" t="s">
        <v>303</v>
      </c>
      <c r="B20" t="s">
        <v>674</v>
      </c>
      <c r="C20">
        <f>HYPERLINK("https://finance.naver.com/item/coinfo.nhn?code=006390", "A006390")</f>
        <v>0</v>
      </c>
      <c r="D20">
        <f>HYPERLINK("http://comp.fnguide.com/SVO2/ASP/SVD_Consensus.asp?pGB=1&amp;gicode=A006390&amp;cID=&amp;MenuYn=Y&amp;ReportGB=&amp;NewMenuID=108&amp;stkGb=701", "한일현대시멘트")</f>
        <v>0</v>
      </c>
      <c r="E20">
        <v>2</v>
      </c>
      <c r="F20">
        <v>25850</v>
      </c>
      <c r="G20">
        <v>0</v>
      </c>
      <c r="H20">
        <v>14.41</v>
      </c>
      <c r="I20">
        <v>35690</v>
      </c>
      <c r="J20">
        <v>26112</v>
      </c>
      <c r="K20">
        <v>22908</v>
      </c>
      <c r="L20">
        <v>-38.06</v>
      </c>
      <c r="M20">
        <v>-1.01</v>
      </c>
      <c r="N20">
        <v>11.38</v>
      </c>
      <c r="O20">
        <v>19.67</v>
      </c>
      <c r="P20" t="b">
        <v>1</v>
      </c>
      <c r="Q20">
        <v>0</v>
      </c>
      <c r="R20">
        <v>2310</v>
      </c>
      <c r="U20" t="s">
        <v>1046</v>
      </c>
      <c r="V20" t="s">
        <v>1417</v>
      </c>
      <c r="W20">
        <v>0</v>
      </c>
      <c r="Y20" t="s">
        <v>1770</v>
      </c>
      <c r="Z20">
        <v>0</v>
      </c>
      <c r="AA20">
        <v>4595</v>
      </c>
      <c r="AB20">
        <v>20358</v>
      </c>
      <c r="AC20" t="s">
        <v>2130</v>
      </c>
      <c r="AD20">
        <v>79.73</v>
      </c>
      <c r="AE20" t="s">
        <v>2501</v>
      </c>
      <c r="AF20" t="s">
        <v>2870</v>
      </c>
      <c r="AG20">
        <v>3970</v>
      </c>
      <c r="AH20">
        <v>359</v>
      </c>
      <c r="AJ20">
        <v>3.6</v>
      </c>
      <c r="AK20" t="b">
        <v>1</v>
      </c>
    </row>
    <row r="21" spans="1:37">
      <c r="A21" s="1" t="s">
        <v>278</v>
      </c>
      <c r="B21" t="s">
        <v>649</v>
      </c>
      <c r="C21">
        <f>HYPERLINK("https://finance.naver.com/item/coinfo.nhn?code=016450", "A016450")</f>
        <v>0</v>
      </c>
      <c r="D21">
        <f>HYPERLINK("http://comp.fnguide.com/SVO2/ASP/SVD_Consensus.asp?pGB=1&amp;gicode=A016450&amp;cID=&amp;MenuYn=Y&amp;ReportGB=&amp;NewMenuID=108&amp;stkGb=701", "한세예스24홀딩스")</f>
        <v>0</v>
      </c>
      <c r="E21">
        <v>3</v>
      </c>
      <c r="F21">
        <v>5940</v>
      </c>
      <c r="G21">
        <v>0</v>
      </c>
      <c r="H21">
        <v>7.37</v>
      </c>
      <c r="I21">
        <v>14060</v>
      </c>
      <c r="J21">
        <v>12965</v>
      </c>
      <c r="K21">
        <v>12599</v>
      </c>
      <c r="L21">
        <v>-136.7</v>
      </c>
      <c r="M21">
        <v>-118.27</v>
      </c>
      <c r="N21">
        <v>-112.1</v>
      </c>
      <c r="O21">
        <v>11.71</v>
      </c>
      <c r="P21" t="b">
        <v>1</v>
      </c>
      <c r="Q21">
        <v>0</v>
      </c>
      <c r="R21">
        <v>1007</v>
      </c>
      <c r="U21" t="s">
        <v>1021</v>
      </c>
      <c r="V21" t="s">
        <v>1392</v>
      </c>
      <c r="W21">
        <v>0</v>
      </c>
      <c r="X21">
        <v>41</v>
      </c>
      <c r="Y21" t="s">
        <v>1746</v>
      </c>
      <c r="Z21">
        <v>0</v>
      </c>
      <c r="AA21">
        <v>2376</v>
      </c>
      <c r="AB21">
        <v>31706</v>
      </c>
      <c r="AC21" t="s">
        <v>2105</v>
      </c>
      <c r="AD21">
        <v>79.72</v>
      </c>
      <c r="AE21" t="s">
        <v>2476</v>
      </c>
      <c r="AF21" t="s">
        <v>2845</v>
      </c>
      <c r="AG21">
        <v>27989</v>
      </c>
      <c r="AH21">
        <v>1347</v>
      </c>
      <c r="AI21">
        <v>738213</v>
      </c>
      <c r="AJ21">
        <v>3.37</v>
      </c>
      <c r="AK21" t="b">
        <v>1</v>
      </c>
    </row>
    <row r="22" spans="1:37">
      <c r="A22" s="1" t="s">
        <v>104</v>
      </c>
      <c r="B22" t="s">
        <v>475</v>
      </c>
      <c r="C22">
        <f>HYPERLINK("https://finance.naver.com/item/coinfo.nhn?code=290120", "A290120")</f>
        <v>0</v>
      </c>
      <c r="D22">
        <f>HYPERLINK("http://comp.fnguide.com/SVO2/ASP/SVD_Consensus.asp?pGB=1&amp;gicode=A290120&amp;cID=&amp;MenuYn=Y&amp;ReportGB=&amp;NewMenuID=108&amp;stkGb=701", "대유에이피")</f>
        <v>0</v>
      </c>
      <c r="E22">
        <v>3</v>
      </c>
      <c r="F22">
        <v>6140</v>
      </c>
      <c r="G22">
        <v>0</v>
      </c>
      <c r="H22">
        <v>8.1</v>
      </c>
      <c r="I22">
        <v>8028</v>
      </c>
      <c r="J22">
        <v>6742</v>
      </c>
      <c r="K22">
        <v>6312</v>
      </c>
      <c r="L22">
        <v>-30.75</v>
      </c>
      <c r="M22">
        <v>-9.800000000000001</v>
      </c>
      <c r="N22">
        <v>-2.8</v>
      </c>
      <c r="O22">
        <v>14.19</v>
      </c>
      <c r="P22" t="b">
        <v>1</v>
      </c>
      <c r="Q22">
        <v>0</v>
      </c>
      <c r="R22">
        <v>736</v>
      </c>
      <c r="U22" t="s">
        <v>847</v>
      </c>
      <c r="V22" t="s">
        <v>1218</v>
      </c>
      <c r="W22">
        <v>0</v>
      </c>
      <c r="X22">
        <v>140.6</v>
      </c>
      <c r="Y22" t="s">
        <v>1584</v>
      </c>
      <c r="Z22">
        <v>16.80764010939399</v>
      </c>
      <c r="AA22">
        <v>706</v>
      </c>
      <c r="AB22">
        <v>13847</v>
      </c>
      <c r="AC22" t="s">
        <v>1931</v>
      </c>
      <c r="AD22">
        <v>69.54000000000001</v>
      </c>
      <c r="AE22" t="s">
        <v>2302</v>
      </c>
      <c r="AF22" t="s">
        <v>2673</v>
      </c>
      <c r="AG22">
        <v>1790</v>
      </c>
      <c r="AH22">
        <v>114</v>
      </c>
      <c r="AJ22">
        <v>3.36</v>
      </c>
      <c r="AK22" t="b">
        <v>1</v>
      </c>
    </row>
    <row r="23" spans="1:37">
      <c r="A23" s="1" t="s">
        <v>363</v>
      </c>
      <c r="B23" t="s">
        <v>734</v>
      </c>
      <c r="C23">
        <f>HYPERLINK("https://finance.naver.com/item/coinfo.nhn?code=068930", "A068930")</f>
        <v>0</v>
      </c>
      <c r="D23">
        <f>HYPERLINK("http://comp.fnguide.com/SVO2/ASP/SVD_Consensus.asp?pGB=1&amp;gicode=A068930&amp;cID=&amp;MenuYn=Y&amp;ReportGB=&amp;NewMenuID=108&amp;stkGb=701", "디지털대성")</f>
        <v>0</v>
      </c>
      <c r="E23">
        <v>1</v>
      </c>
      <c r="F23">
        <v>7150</v>
      </c>
      <c r="G23">
        <v>6.25</v>
      </c>
      <c r="H23">
        <v>15.57</v>
      </c>
      <c r="I23">
        <v>7546</v>
      </c>
      <c r="J23">
        <v>6360</v>
      </c>
      <c r="K23">
        <v>5964</v>
      </c>
      <c r="L23">
        <v>-5.54</v>
      </c>
      <c r="M23">
        <v>11.05</v>
      </c>
      <c r="N23">
        <v>16.59</v>
      </c>
      <c r="O23">
        <v>14.08</v>
      </c>
      <c r="P23" t="b">
        <v>1</v>
      </c>
      <c r="Q23">
        <v>2</v>
      </c>
      <c r="R23">
        <v>589</v>
      </c>
      <c r="S23">
        <v>712</v>
      </c>
      <c r="T23">
        <v>20.9</v>
      </c>
      <c r="U23" t="s">
        <v>1106</v>
      </c>
      <c r="V23" t="s">
        <v>1477</v>
      </c>
      <c r="W23">
        <v>2.491315322082532</v>
      </c>
      <c r="X23">
        <v>-4.2</v>
      </c>
      <c r="Y23" t="s">
        <v>1824</v>
      </c>
      <c r="Z23">
        <v>11.68175470126755</v>
      </c>
      <c r="AA23">
        <v>2131</v>
      </c>
      <c r="AB23">
        <v>37229</v>
      </c>
      <c r="AC23" t="s">
        <v>2190</v>
      </c>
      <c r="AD23">
        <v>50.05</v>
      </c>
      <c r="AE23" t="s">
        <v>2561</v>
      </c>
      <c r="AF23" t="s">
        <v>2927</v>
      </c>
      <c r="AG23">
        <v>1969</v>
      </c>
      <c r="AH23">
        <v>252</v>
      </c>
      <c r="AI23">
        <v>2709349</v>
      </c>
      <c r="AJ23">
        <v>3.27</v>
      </c>
      <c r="AK23" t="b">
        <v>1</v>
      </c>
    </row>
    <row r="24" spans="1:37">
      <c r="A24" s="1" t="s">
        <v>119</v>
      </c>
      <c r="B24" t="s">
        <v>490</v>
      </c>
      <c r="C24">
        <f>HYPERLINK("https://finance.naver.com/item/coinfo.nhn?code=307930", "A307930")</f>
        <v>0</v>
      </c>
      <c r="D24">
        <f>HYPERLINK("http://comp.fnguide.com/SVO2/ASP/SVD_Consensus.asp?pGB=1&amp;gicode=A307930&amp;cID=&amp;MenuYn=Y&amp;ReportGB=&amp;NewMenuID=108&amp;stkGb=701", "컴퍼니케이")</f>
        <v>0</v>
      </c>
      <c r="E24">
        <v>3</v>
      </c>
      <c r="F24">
        <v>6330</v>
      </c>
      <c r="G24">
        <v>0</v>
      </c>
      <c r="H24">
        <v>6.58</v>
      </c>
      <c r="I24">
        <v>11392</v>
      </c>
      <c r="J24">
        <v>7755</v>
      </c>
      <c r="K24">
        <v>6539</v>
      </c>
      <c r="L24">
        <v>-79.97</v>
      </c>
      <c r="M24">
        <v>-22.52</v>
      </c>
      <c r="N24">
        <v>-3.3</v>
      </c>
      <c r="O24">
        <v>24.02</v>
      </c>
      <c r="P24" t="b">
        <v>0</v>
      </c>
      <c r="Q24">
        <v>0</v>
      </c>
      <c r="R24">
        <v>1210</v>
      </c>
      <c r="U24" t="s">
        <v>862</v>
      </c>
      <c r="V24" t="s">
        <v>1233</v>
      </c>
      <c r="W24">
        <v>0</v>
      </c>
      <c r="Y24" t="s">
        <v>1536</v>
      </c>
      <c r="Z24">
        <v>-29.11608766896807</v>
      </c>
      <c r="AA24">
        <v>988</v>
      </c>
      <c r="AB24">
        <v>23926</v>
      </c>
      <c r="AC24" t="s">
        <v>1946</v>
      </c>
      <c r="AD24">
        <v>71.36</v>
      </c>
      <c r="AE24" t="s">
        <v>2317</v>
      </c>
      <c r="AF24" t="s">
        <v>2688</v>
      </c>
      <c r="AG24">
        <v>274</v>
      </c>
      <c r="AH24">
        <v>212</v>
      </c>
      <c r="AJ24">
        <v>3.14</v>
      </c>
      <c r="AK24" t="b">
        <v>1</v>
      </c>
    </row>
    <row r="25" spans="1:37">
      <c r="A25" s="1" t="s">
        <v>255</v>
      </c>
      <c r="B25" t="s">
        <v>626</v>
      </c>
      <c r="C25">
        <f>HYPERLINK("https://finance.naver.com/item/coinfo.nhn?code=009160", "A009160")</f>
        <v>0</v>
      </c>
      <c r="D25">
        <f>HYPERLINK("http://comp.fnguide.com/SVO2/ASP/SVD_Consensus.asp?pGB=1&amp;gicode=A009160&amp;cID=&amp;MenuYn=Y&amp;ReportGB=&amp;NewMenuID=108&amp;stkGb=701", "SIMPAC")</f>
        <v>0</v>
      </c>
      <c r="E25">
        <v>3</v>
      </c>
      <c r="F25">
        <v>6480</v>
      </c>
      <c r="G25">
        <v>0.03</v>
      </c>
      <c r="H25">
        <v>4.62</v>
      </c>
      <c r="I25">
        <v>11757</v>
      </c>
      <c r="J25">
        <v>10770</v>
      </c>
      <c r="K25">
        <v>10440</v>
      </c>
      <c r="L25">
        <v>-81.44</v>
      </c>
      <c r="M25">
        <v>-66.20999999999999</v>
      </c>
      <c r="N25">
        <v>-61.11</v>
      </c>
      <c r="O25">
        <v>11.87</v>
      </c>
      <c r="P25" t="b">
        <v>0</v>
      </c>
      <c r="Q25">
        <v>3</v>
      </c>
      <c r="R25">
        <v>1388</v>
      </c>
      <c r="S25">
        <v>1959</v>
      </c>
      <c r="T25">
        <v>41.1</v>
      </c>
      <c r="U25" t="s">
        <v>998</v>
      </c>
      <c r="V25" t="s">
        <v>1369</v>
      </c>
      <c r="W25">
        <v>138.1492860922493</v>
      </c>
      <c r="X25">
        <v>257.5</v>
      </c>
      <c r="Y25" t="s">
        <v>1726</v>
      </c>
      <c r="Z25">
        <v>62.06152375512648</v>
      </c>
      <c r="AA25">
        <v>4240</v>
      </c>
      <c r="AB25">
        <v>205433</v>
      </c>
      <c r="AC25" t="s">
        <v>2082</v>
      </c>
      <c r="AD25">
        <v>60.01</v>
      </c>
      <c r="AE25" t="s">
        <v>2453</v>
      </c>
      <c r="AF25" t="s">
        <v>2823</v>
      </c>
      <c r="AG25">
        <v>6130</v>
      </c>
      <c r="AH25">
        <v>1064</v>
      </c>
      <c r="AI25">
        <v>10533410</v>
      </c>
      <c r="AJ25">
        <v>3.12</v>
      </c>
      <c r="AK25" t="b">
        <v>1</v>
      </c>
    </row>
    <row r="26" spans="1:37">
      <c r="A26" s="1" t="s">
        <v>108</v>
      </c>
      <c r="B26" t="s">
        <v>479</v>
      </c>
      <c r="C26">
        <f>HYPERLINK("https://finance.naver.com/item/coinfo.nhn?code=003800", "A003800")</f>
        <v>0</v>
      </c>
      <c r="D26">
        <f>HYPERLINK("http://comp.fnguide.com/SVO2/ASP/SVD_Consensus.asp?pGB=1&amp;gicode=A003800&amp;cID=&amp;MenuYn=Y&amp;ReportGB=&amp;NewMenuID=108&amp;stkGb=701", "에이스침대")</f>
        <v>0</v>
      </c>
      <c r="E26">
        <v>3</v>
      </c>
      <c r="F26">
        <v>42900</v>
      </c>
      <c r="G26">
        <v>0</v>
      </c>
      <c r="H26">
        <v>7.47</v>
      </c>
      <c r="I26">
        <v>59965</v>
      </c>
      <c r="J26">
        <v>57172</v>
      </c>
      <c r="K26">
        <v>56239</v>
      </c>
      <c r="L26">
        <v>-39.78</v>
      </c>
      <c r="M26">
        <v>-33.27</v>
      </c>
      <c r="N26">
        <v>-31.09</v>
      </c>
      <c r="O26">
        <v>10.98</v>
      </c>
      <c r="P26" t="b">
        <v>1</v>
      </c>
      <c r="Q26">
        <v>0</v>
      </c>
      <c r="R26">
        <v>5761</v>
      </c>
      <c r="U26" t="s">
        <v>851</v>
      </c>
      <c r="V26" t="s">
        <v>1222</v>
      </c>
      <c r="W26">
        <v>0</v>
      </c>
      <c r="X26">
        <v>-1.4</v>
      </c>
      <c r="Y26" t="s">
        <v>1588</v>
      </c>
      <c r="Z26">
        <v>18.94175199496877</v>
      </c>
      <c r="AA26">
        <v>4758</v>
      </c>
      <c r="AB26">
        <v>485</v>
      </c>
      <c r="AC26" t="s">
        <v>1935</v>
      </c>
      <c r="AD26">
        <v>79.56</v>
      </c>
      <c r="AE26" t="s">
        <v>2306</v>
      </c>
      <c r="AF26" t="s">
        <v>2677</v>
      </c>
      <c r="AG26">
        <v>3464</v>
      </c>
      <c r="AH26">
        <v>768</v>
      </c>
      <c r="AI26">
        <v>838055</v>
      </c>
      <c r="AJ26">
        <v>3.09</v>
      </c>
      <c r="AK26" t="b">
        <v>1</v>
      </c>
    </row>
    <row r="27" spans="1:37">
      <c r="A27" s="1" t="s">
        <v>361</v>
      </c>
      <c r="B27" t="s">
        <v>732</v>
      </c>
      <c r="C27">
        <f>HYPERLINK("https://finance.naver.com/item/coinfo.nhn?code=134380", "A134380")</f>
        <v>0</v>
      </c>
      <c r="D27">
        <f>HYPERLINK("http://comp.fnguide.com/SVO2/ASP/SVD_Consensus.asp?pGB=1&amp;gicode=A134380&amp;cID=&amp;MenuYn=Y&amp;ReportGB=&amp;NewMenuID=108&amp;stkGb=701", "미원화학")</f>
        <v>0</v>
      </c>
      <c r="E27">
        <v>1</v>
      </c>
      <c r="F27">
        <v>66400</v>
      </c>
      <c r="G27">
        <v>0</v>
      </c>
      <c r="H27">
        <v>15.73</v>
      </c>
      <c r="I27">
        <v>67156</v>
      </c>
      <c r="J27">
        <v>62537</v>
      </c>
      <c r="K27">
        <v>60992</v>
      </c>
      <c r="L27">
        <v>-1.14</v>
      </c>
      <c r="M27">
        <v>5.82</v>
      </c>
      <c r="N27">
        <v>8.15</v>
      </c>
      <c r="O27">
        <v>11.49</v>
      </c>
      <c r="P27" t="b">
        <v>0</v>
      </c>
      <c r="Q27">
        <v>0</v>
      </c>
      <c r="R27">
        <v>5161</v>
      </c>
      <c r="U27" t="s">
        <v>1104</v>
      </c>
      <c r="V27" t="s">
        <v>1475</v>
      </c>
      <c r="W27">
        <v>0</v>
      </c>
      <c r="X27">
        <v>35</v>
      </c>
      <c r="Y27" t="s">
        <v>1822</v>
      </c>
      <c r="Z27">
        <v>2.374892483595326</v>
      </c>
      <c r="AA27">
        <v>1460</v>
      </c>
      <c r="AB27">
        <v>66</v>
      </c>
      <c r="AC27" t="s">
        <v>2188</v>
      </c>
      <c r="AD27">
        <v>56.46</v>
      </c>
      <c r="AE27" t="s">
        <v>2559</v>
      </c>
      <c r="AF27" t="s">
        <v>2925</v>
      </c>
      <c r="AG27">
        <v>1975</v>
      </c>
      <c r="AH27">
        <v>128</v>
      </c>
      <c r="AI27">
        <v>156358</v>
      </c>
      <c r="AJ27">
        <v>3.08</v>
      </c>
      <c r="AK27" t="b">
        <v>1</v>
      </c>
    </row>
    <row r="28" spans="1:37">
      <c r="A28" s="1" t="s">
        <v>38</v>
      </c>
      <c r="B28" t="s">
        <v>409</v>
      </c>
      <c r="C28">
        <f>HYPERLINK("https://finance.naver.com/item/coinfo.nhn?code=035890", "A035890")</f>
        <v>0</v>
      </c>
      <c r="D28">
        <f>HYPERLINK("http://comp.fnguide.com/SVO2/ASP/SVD_Consensus.asp?pGB=1&amp;gicode=A035890&amp;cID=&amp;MenuYn=Y&amp;ReportGB=&amp;NewMenuID=108&amp;stkGb=701", "서희건설")</f>
        <v>0</v>
      </c>
      <c r="E28">
        <v>3</v>
      </c>
      <c r="F28">
        <v>1460</v>
      </c>
      <c r="G28">
        <v>0</v>
      </c>
      <c r="H28">
        <v>2.63</v>
      </c>
      <c r="I28">
        <v>7299</v>
      </c>
      <c r="J28">
        <v>4920</v>
      </c>
      <c r="K28">
        <v>4124</v>
      </c>
      <c r="L28">
        <v>-399.92</v>
      </c>
      <c r="M28">
        <v>-236.98</v>
      </c>
      <c r="N28">
        <v>-182.48</v>
      </c>
      <c r="O28">
        <v>24.74</v>
      </c>
      <c r="P28" t="b">
        <v>1</v>
      </c>
      <c r="Q28">
        <v>0</v>
      </c>
      <c r="R28">
        <v>631</v>
      </c>
      <c r="U28" t="s">
        <v>781</v>
      </c>
      <c r="V28" t="s">
        <v>1152</v>
      </c>
      <c r="W28">
        <v>0</v>
      </c>
      <c r="X28">
        <v>-31</v>
      </c>
      <c r="Y28" t="s">
        <v>1523</v>
      </c>
      <c r="Z28">
        <v>19.06107751284196</v>
      </c>
      <c r="AA28">
        <v>3355</v>
      </c>
      <c r="AB28">
        <v>493500</v>
      </c>
      <c r="AC28" t="s">
        <v>1865</v>
      </c>
      <c r="AD28">
        <v>55.31</v>
      </c>
      <c r="AE28" t="s">
        <v>2236</v>
      </c>
      <c r="AF28" t="s">
        <v>2607</v>
      </c>
      <c r="AG28">
        <v>13300</v>
      </c>
      <c r="AH28">
        <v>2068</v>
      </c>
      <c r="AI28">
        <v>9575559</v>
      </c>
      <c r="AJ28">
        <v>3.01</v>
      </c>
      <c r="AK28" t="b">
        <v>1</v>
      </c>
    </row>
    <row r="29" spans="1:37">
      <c r="A29" s="1" t="s">
        <v>100</v>
      </c>
      <c r="B29" t="s">
        <v>471</v>
      </c>
      <c r="C29">
        <f>HYPERLINK("https://finance.naver.com/item/coinfo.nhn?code=298870", "A298870")</f>
        <v>0</v>
      </c>
      <c r="D29">
        <f>HYPERLINK("http://comp.fnguide.com/SVO2/ASP/SVD_Consensus.asp?pGB=1&amp;gicode=A298870&amp;cID=&amp;MenuYn=Y&amp;ReportGB=&amp;NewMenuID=108&amp;stkGb=701", "다올인베스트먼트")</f>
        <v>0</v>
      </c>
      <c r="E29">
        <v>3</v>
      </c>
      <c r="F29">
        <v>3310</v>
      </c>
      <c r="G29">
        <v>0</v>
      </c>
      <c r="H29">
        <v>6.43</v>
      </c>
      <c r="I29">
        <v>7960</v>
      </c>
      <c r="J29">
        <v>5343</v>
      </c>
      <c r="K29">
        <v>4468</v>
      </c>
      <c r="L29">
        <v>-140.47</v>
      </c>
      <c r="M29">
        <v>-61.42</v>
      </c>
      <c r="N29">
        <v>-34.98</v>
      </c>
      <c r="O29">
        <v>25.06</v>
      </c>
      <c r="P29" t="b">
        <v>0</v>
      </c>
      <c r="Q29">
        <v>0</v>
      </c>
      <c r="R29">
        <v>797</v>
      </c>
      <c r="U29" t="s">
        <v>843</v>
      </c>
      <c r="V29" t="s">
        <v>1214</v>
      </c>
      <c r="W29">
        <v>0</v>
      </c>
      <c r="Y29" t="s">
        <v>1536</v>
      </c>
      <c r="Z29">
        <v>0</v>
      </c>
      <c r="AA29">
        <v>3310</v>
      </c>
      <c r="AB29">
        <v>645181</v>
      </c>
      <c r="AC29" t="s">
        <v>1927</v>
      </c>
      <c r="AD29">
        <v>52</v>
      </c>
      <c r="AE29" t="s">
        <v>2298</v>
      </c>
      <c r="AF29" t="s">
        <v>2669</v>
      </c>
      <c r="AG29">
        <v>1140</v>
      </c>
      <c r="AH29">
        <v>840</v>
      </c>
      <c r="AI29">
        <v>2766491</v>
      </c>
      <c r="AJ29">
        <v>2.92</v>
      </c>
      <c r="AK29" t="b">
        <v>1</v>
      </c>
    </row>
    <row r="30" spans="1:37">
      <c r="A30" s="1" t="s">
        <v>356</v>
      </c>
      <c r="B30" t="s">
        <v>727</v>
      </c>
      <c r="C30">
        <f>HYPERLINK("https://finance.naver.com/item/coinfo.nhn?code=128660", "A128660")</f>
        <v>0</v>
      </c>
      <c r="D30">
        <f>HYPERLINK("http://comp.fnguide.com/SVO2/ASP/SVD_Consensus.asp?pGB=1&amp;gicode=A128660&amp;cID=&amp;MenuYn=Y&amp;ReportGB=&amp;NewMenuID=108&amp;stkGb=701", "피제이메탈")</f>
        <v>0</v>
      </c>
      <c r="E30">
        <v>1</v>
      </c>
      <c r="F30">
        <v>4205</v>
      </c>
      <c r="G30">
        <v>0</v>
      </c>
      <c r="H30">
        <v>7.19</v>
      </c>
      <c r="I30">
        <v>5358</v>
      </c>
      <c r="J30">
        <v>3714</v>
      </c>
      <c r="K30">
        <v>3164</v>
      </c>
      <c r="L30">
        <v>-27.42</v>
      </c>
      <c r="M30">
        <v>11.68</v>
      </c>
      <c r="N30">
        <v>24.76</v>
      </c>
      <c r="O30">
        <v>22.79</v>
      </c>
      <c r="P30" t="b">
        <v>1</v>
      </c>
      <c r="Q30">
        <v>0</v>
      </c>
      <c r="R30">
        <v>740</v>
      </c>
      <c r="U30" t="s">
        <v>1099</v>
      </c>
      <c r="V30" t="s">
        <v>1470</v>
      </c>
      <c r="W30">
        <v>0</v>
      </c>
      <c r="X30">
        <v>122.2</v>
      </c>
      <c r="Y30" t="s">
        <v>1818</v>
      </c>
      <c r="Z30">
        <v>50.07402489142538</v>
      </c>
      <c r="AA30">
        <v>1043</v>
      </c>
      <c r="AB30">
        <v>854959</v>
      </c>
      <c r="AC30" t="s">
        <v>2183</v>
      </c>
      <c r="AD30">
        <v>64.22</v>
      </c>
      <c r="AE30" t="s">
        <v>2554</v>
      </c>
      <c r="AF30" t="s">
        <v>2920</v>
      </c>
      <c r="AG30">
        <v>2462</v>
      </c>
      <c r="AH30">
        <v>252</v>
      </c>
      <c r="AJ30">
        <v>2.82</v>
      </c>
      <c r="AK30" t="b">
        <v>1</v>
      </c>
    </row>
    <row r="31" spans="1:37">
      <c r="A31" s="1" t="s">
        <v>99</v>
      </c>
      <c r="B31" t="s">
        <v>470</v>
      </c>
      <c r="C31">
        <f>HYPERLINK("https://finance.naver.com/item/coinfo.nhn?code=013120", "A013120")</f>
        <v>0</v>
      </c>
      <c r="D31">
        <f>HYPERLINK("http://comp.fnguide.com/SVO2/ASP/SVD_Consensus.asp?pGB=1&amp;gicode=A013120&amp;cID=&amp;MenuYn=Y&amp;ReportGB=&amp;NewMenuID=108&amp;stkGb=701", "동원개발")</f>
        <v>0</v>
      </c>
      <c r="E31">
        <v>3</v>
      </c>
      <c r="F31">
        <v>4140</v>
      </c>
      <c r="G31">
        <v>0</v>
      </c>
      <c r="H31">
        <v>6.68</v>
      </c>
      <c r="I31">
        <v>12142</v>
      </c>
      <c r="J31">
        <v>11259</v>
      </c>
      <c r="K31">
        <v>10964</v>
      </c>
      <c r="L31">
        <v>-193.29</v>
      </c>
      <c r="M31">
        <v>-171.96</v>
      </c>
      <c r="N31">
        <v>-164.82</v>
      </c>
      <c r="O31">
        <v>11.59</v>
      </c>
      <c r="P31" t="b">
        <v>1</v>
      </c>
      <c r="Q31">
        <v>0</v>
      </c>
      <c r="R31">
        <v>799</v>
      </c>
      <c r="U31" t="s">
        <v>842</v>
      </c>
      <c r="V31" t="s">
        <v>1213</v>
      </c>
      <c r="W31">
        <v>0</v>
      </c>
      <c r="X31">
        <v>32.6</v>
      </c>
      <c r="Y31" t="s">
        <v>1580</v>
      </c>
      <c r="Z31">
        <v>-0.8564048244674383</v>
      </c>
      <c r="AA31">
        <v>3759</v>
      </c>
      <c r="AB31">
        <v>47054</v>
      </c>
      <c r="AC31" t="s">
        <v>1926</v>
      </c>
      <c r="AD31">
        <v>60.95</v>
      </c>
      <c r="AE31" t="s">
        <v>2297</v>
      </c>
      <c r="AF31" t="s">
        <v>2668</v>
      </c>
      <c r="AG31">
        <v>4174</v>
      </c>
      <c r="AH31">
        <v>973</v>
      </c>
      <c r="AJ31">
        <v>2.81</v>
      </c>
      <c r="AK31" t="b">
        <v>1</v>
      </c>
    </row>
    <row r="32" spans="1:37">
      <c r="A32" s="1" t="s">
        <v>292</v>
      </c>
      <c r="B32" t="s">
        <v>663</v>
      </c>
      <c r="C32">
        <f>HYPERLINK("https://finance.naver.com/item/coinfo.nhn?code=194370", "A194370")</f>
        <v>0</v>
      </c>
      <c r="D32">
        <f>HYPERLINK("http://comp.fnguide.com/SVO2/ASP/SVD_Consensus.asp?pGB=1&amp;gicode=A194370&amp;cID=&amp;MenuYn=Y&amp;ReportGB=&amp;NewMenuID=108&amp;stkGb=701", "제이에스코퍼레이션")</f>
        <v>0</v>
      </c>
      <c r="E32">
        <v>3</v>
      </c>
      <c r="F32">
        <v>17100</v>
      </c>
      <c r="G32">
        <v>0.06</v>
      </c>
      <c r="H32">
        <v>5.91</v>
      </c>
      <c r="I32">
        <v>24037</v>
      </c>
      <c r="J32">
        <v>19630</v>
      </c>
      <c r="K32">
        <v>18157</v>
      </c>
      <c r="L32">
        <v>-40.57</v>
      </c>
      <c r="M32">
        <v>-14.8</v>
      </c>
      <c r="N32">
        <v>-6.18</v>
      </c>
      <c r="O32">
        <v>15.09</v>
      </c>
      <c r="P32" t="b">
        <v>1</v>
      </c>
      <c r="Q32">
        <v>2</v>
      </c>
      <c r="R32">
        <v>3619</v>
      </c>
      <c r="S32">
        <v>4499</v>
      </c>
      <c r="T32">
        <v>24.3</v>
      </c>
      <c r="U32" t="s">
        <v>1035</v>
      </c>
      <c r="V32" t="s">
        <v>1406</v>
      </c>
      <c r="W32">
        <v>94.15890958279722</v>
      </c>
      <c r="X32">
        <v>242.3</v>
      </c>
      <c r="Y32" t="s">
        <v>1760</v>
      </c>
      <c r="Z32">
        <v>95.55842867210819</v>
      </c>
      <c r="AA32">
        <v>2280</v>
      </c>
      <c r="AB32">
        <v>60481</v>
      </c>
      <c r="AC32" t="s">
        <v>2119</v>
      </c>
      <c r="AD32">
        <v>60.69</v>
      </c>
      <c r="AE32" t="s">
        <v>2490</v>
      </c>
      <c r="AF32" t="s">
        <v>2859</v>
      </c>
      <c r="AG32">
        <v>9870</v>
      </c>
      <c r="AH32">
        <v>610</v>
      </c>
      <c r="AI32">
        <v>729982</v>
      </c>
      <c r="AJ32">
        <v>2.8</v>
      </c>
      <c r="AK32" t="b">
        <v>1</v>
      </c>
    </row>
    <row r="33" spans="1:37">
      <c r="A33" s="1" t="s">
        <v>232</v>
      </c>
      <c r="B33" t="s">
        <v>603</v>
      </c>
      <c r="C33">
        <f>HYPERLINK("https://finance.naver.com/item/coinfo.nhn?code=007340", "A007340")</f>
        <v>0</v>
      </c>
      <c r="D33">
        <f>HYPERLINK("http://comp.fnguide.com/SVO2/ASP/SVD_Consensus.asp?pGB=1&amp;gicode=A007340&amp;cID=&amp;MenuYn=Y&amp;ReportGB=&amp;NewMenuID=108&amp;stkGb=701", "DN오토모티브")</f>
        <v>0</v>
      </c>
      <c r="E33">
        <v>3</v>
      </c>
      <c r="F33">
        <v>57300</v>
      </c>
      <c r="G33">
        <v>0</v>
      </c>
      <c r="H33">
        <v>8.880000000000001</v>
      </c>
      <c r="I33">
        <v>85837</v>
      </c>
      <c r="J33">
        <v>84012</v>
      </c>
      <c r="K33">
        <v>83402</v>
      </c>
      <c r="L33">
        <v>-49.8</v>
      </c>
      <c r="M33">
        <v>-46.62</v>
      </c>
      <c r="N33">
        <v>-45.55</v>
      </c>
      <c r="O33">
        <v>10.46</v>
      </c>
      <c r="P33" t="b">
        <v>1</v>
      </c>
      <c r="Q33">
        <v>0</v>
      </c>
      <c r="R33">
        <v>8088</v>
      </c>
      <c r="U33" t="s">
        <v>975</v>
      </c>
      <c r="V33" t="s">
        <v>1346</v>
      </c>
      <c r="W33">
        <v>0</v>
      </c>
      <c r="X33">
        <v>37.3</v>
      </c>
      <c r="Y33" t="s">
        <v>1703</v>
      </c>
      <c r="Z33">
        <v>37.02445464481148</v>
      </c>
      <c r="AA33">
        <v>5727</v>
      </c>
      <c r="AB33">
        <v>10599</v>
      </c>
      <c r="AC33" t="s">
        <v>2059</v>
      </c>
      <c r="AD33">
        <v>50.89</v>
      </c>
      <c r="AE33" t="s">
        <v>2430</v>
      </c>
      <c r="AF33" t="s">
        <v>2800</v>
      </c>
      <c r="AG33">
        <v>9308</v>
      </c>
      <c r="AH33">
        <v>896</v>
      </c>
      <c r="AI33">
        <v>1375880</v>
      </c>
      <c r="AJ33">
        <v>2.79</v>
      </c>
      <c r="AK33" t="b">
        <v>1</v>
      </c>
    </row>
    <row r="34" spans="1:37">
      <c r="A34" s="1" t="s">
        <v>233</v>
      </c>
      <c r="B34" t="s">
        <v>604</v>
      </c>
      <c r="C34">
        <f>HYPERLINK("https://finance.naver.com/item/coinfo.nhn?code=001880", "A001880")</f>
        <v>0</v>
      </c>
      <c r="D34">
        <f>HYPERLINK("http://comp.fnguide.com/SVO2/ASP/SVD_Consensus.asp?pGB=1&amp;gicode=A001880&amp;cID=&amp;MenuYn=Y&amp;ReportGB=&amp;NewMenuID=108&amp;stkGb=701", "DL건설")</f>
        <v>0</v>
      </c>
      <c r="E34">
        <v>3</v>
      </c>
      <c r="F34">
        <v>21200</v>
      </c>
      <c r="G34">
        <v>0</v>
      </c>
      <c r="H34">
        <v>3.6</v>
      </c>
      <c r="I34">
        <v>93884</v>
      </c>
      <c r="J34">
        <v>66199</v>
      </c>
      <c r="K34">
        <v>56939</v>
      </c>
      <c r="L34">
        <v>-342.85</v>
      </c>
      <c r="M34">
        <v>-212.26</v>
      </c>
      <c r="N34">
        <v>-168.58</v>
      </c>
      <c r="O34">
        <v>21.72</v>
      </c>
      <c r="P34" t="b">
        <v>1</v>
      </c>
      <c r="Q34">
        <v>0</v>
      </c>
      <c r="R34">
        <v>7532</v>
      </c>
      <c r="U34" t="s">
        <v>976</v>
      </c>
      <c r="V34" t="s">
        <v>1347</v>
      </c>
      <c r="W34">
        <v>0</v>
      </c>
      <c r="X34">
        <v>-89.5</v>
      </c>
      <c r="Y34" t="s">
        <v>1704</v>
      </c>
      <c r="Z34">
        <v>-28.57378329541943</v>
      </c>
      <c r="AA34">
        <v>4675</v>
      </c>
      <c r="AB34">
        <v>17247</v>
      </c>
      <c r="AC34" t="s">
        <v>2060</v>
      </c>
      <c r="AD34">
        <v>65.17</v>
      </c>
      <c r="AE34" t="s">
        <v>2431</v>
      </c>
      <c r="AF34" t="s">
        <v>2801</v>
      </c>
      <c r="AG34">
        <v>20103</v>
      </c>
      <c r="AH34">
        <v>2296</v>
      </c>
      <c r="AI34">
        <v>4263</v>
      </c>
      <c r="AJ34">
        <v>2.76</v>
      </c>
      <c r="AK34" t="b">
        <v>1</v>
      </c>
    </row>
    <row r="35" spans="1:37">
      <c r="A35" s="1" t="s">
        <v>262</v>
      </c>
      <c r="B35" t="s">
        <v>633</v>
      </c>
      <c r="C35">
        <f>HYPERLINK("https://finance.naver.com/item/coinfo.nhn?code=264900", "A264900")</f>
        <v>0</v>
      </c>
      <c r="D35">
        <f>HYPERLINK("http://comp.fnguide.com/SVO2/ASP/SVD_Consensus.asp?pGB=1&amp;gicode=A264900&amp;cID=&amp;MenuYn=Y&amp;ReportGB=&amp;NewMenuID=108&amp;stkGb=701", "크라운제과")</f>
        <v>0</v>
      </c>
      <c r="E35">
        <v>3</v>
      </c>
      <c r="F35">
        <v>8690</v>
      </c>
      <c r="G35">
        <v>0</v>
      </c>
      <c r="H35">
        <v>9.32</v>
      </c>
      <c r="I35">
        <v>13543</v>
      </c>
      <c r="J35">
        <v>13445</v>
      </c>
      <c r="K35">
        <v>13413</v>
      </c>
      <c r="L35">
        <v>-55.84</v>
      </c>
      <c r="M35">
        <v>-54.72</v>
      </c>
      <c r="N35">
        <v>-54.35</v>
      </c>
      <c r="O35">
        <v>10.18</v>
      </c>
      <c r="P35" t="b">
        <v>1</v>
      </c>
      <c r="Q35">
        <v>0</v>
      </c>
      <c r="R35">
        <v>985</v>
      </c>
      <c r="U35" t="s">
        <v>1005</v>
      </c>
      <c r="V35" t="s">
        <v>1376</v>
      </c>
      <c r="W35">
        <v>0</v>
      </c>
      <c r="X35">
        <v>274.4</v>
      </c>
      <c r="Y35" t="s">
        <v>1731</v>
      </c>
      <c r="Z35">
        <v>28.85051004873058</v>
      </c>
      <c r="AA35">
        <v>1088</v>
      </c>
      <c r="AB35">
        <v>11107</v>
      </c>
      <c r="AC35" t="s">
        <v>2089</v>
      </c>
      <c r="AD35">
        <v>61.68</v>
      </c>
      <c r="AE35" t="s">
        <v>2460</v>
      </c>
      <c r="AF35" t="s">
        <v>2829</v>
      </c>
      <c r="AG35">
        <v>3812</v>
      </c>
      <c r="AH35">
        <v>159</v>
      </c>
      <c r="AI35">
        <v>507681</v>
      </c>
      <c r="AJ35">
        <v>2.72</v>
      </c>
      <c r="AK35" t="b">
        <v>1</v>
      </c>
    </row>
    <row r="36" spans="1:37">
      <c r="A36" s="1" t="s">
        <v>141</v>
      </c>
      <c r="B36" t="s">
        <v>512</v>
      </c>
      <c r="C36">
        <f>HYPERLINK("https://finance.naver.com/item/coinfo.nhn?code=004590", "A004590")</f>
        <v>0</v>
      </c>
      <c r="D36">
        <f>HYPERLINK("http://comp.fnguide.com/SVO2/ASP/SVD_Consensus.asp?pGB=1&amp;gicode=A004590&amp;cID=&amp;MenuYn=Y&amp;ReportGB=&amp;NewMenuID=108&amp;stkGb=701", "한국가구")</f>
        <v>0</v>
      </c>
      <c r="E36">
        <v>3</v>
      </c>
      <c r="F36">
        <v>6160</v>
      </c>
      <c r="G36">
        <v>0</v>
      </c>
      <c r="H36">
        <v>4.42</v>
      </c>
      <c r="I36">
        <v>10873</v>
      </c>
      <c r="J36">
        <v>9633</v>
      </c>
      <c r="K36">
        <v>9218</v>
      </c>
      <c r="L36">
        <v>-76.51000000000001</v>
      </c>
      <c r="M36">
        <v>-56.38</v>
      </c>
      <c r="N36">
        <v>-49.64</v>
      </c>
      <c r="O36">
        <v>12.69</v>
      </c>
      <c r="P36" t="b">
        <v>1</v>
      </c>
      <c r="Q36">
        <v>0</v>
      </c>
      <c r="R36">
        <v>1459</v>
      </c>
      <c r="U36" t="s">
        <v>884</v>
      </c>
      <c r="V36" t="s">
        <v>1255</v>
      </c>
      <c r="W36">
        <v>0</v>
      </c>
      <c r="X36">
        <v>9.699999999999999</v>
      </c>
      <c r="Y36" t="s">
        <v>1619</v>
      </c>
      <c r="Z36">
        <v>34.35514837064446</v>
      </c>
      <c r="AA36">
        <v>924</v>
      </c>
      <c r="AB36">
        <v>194443</v>
      </c>
      <c r="AC36" t="s">
        <v>1968</v>
      </c>
      <c r="AD36">
        <v>55.79</v>
      </c>
      <c r="AE36" t="s">
        <v>2339</v>
      </c>
      <c r="AF36" t="s">
        <v>2710</v>
      </c>
      <c r="AG36">
        <v>930</v>
      </c>
      <c r="AH36">
        <v>149</v>
      </c>
      <c r="AJ36">
        <v>2.71</v>
      </c>
      <c r="AK36" t="b">
        <v>1</v>
      </c>
    </row>
    <row r="37" spans="1:37">
      <c r="A37" s="1" t="s">
        <v>288</v>
      </c>
      <c r="B37" t="s">
        <v>659</v>
      </c>
      <c r="C37">
        <f>HYPERLINK("https://finance.naver.com/item/coinfo.nhn?code=010240", "A010240")</f>
        <v>0</v>
      </c>
      <c r="D37">
        <f>HYPERLINK("http://comp.fnguide.com/SVO2/ASP/SVD_Consensus.asp?pGB=1&amp;gicode=A010240&amp;cID=&amp;MenuYn=Y&amp;ReportGB=&amp;NewMenuID=108&amp;stkGb=701", "흥국")</f>
        <v>0</v>
      </c>
      <c r="E37">
        <v>3</v>
      </c>
      <c r="F37">
        <v>7000</v>
      </c>
      <c r="G37">
        <v>0</v>
      </c>
      <c r="H37">
        <v>8.050000000000001</v>
      </c>
      <c r="I37">
        <v>10922</v>
      </c>
      <c r="J37">
        <v>9009</v>
      </c>
      <c r="K37">
        <v>8370</v>
      </c>
      <c r="L37">
        <v>-56.02</v>
      </c>
      <c r="M37">
        <v>-28.7</v>
      </c>
      <c r="N37">
        <v>-19.56</v>
      </c>
      <c r="O37">
        <v>14.76</v>
      </c>
      <c r="P37" t="b">
        <v>1</v>
      </c>
      <c r="Q37">
        <v>0</v>
      </c>
      <c r="R37">
        <v>963</v>
      </c>
      <c r="U37" t="s">
        <v>1031</v>
      </c>
      <c r="V37" t="s">
        <v>1402</v>
      </c>
      <c r="W37">
        <v>0</v>
      </c>
      <c r="X37">
        <v>-46.1</v>
      </c>
      <c r="Y37" t="s">
        <v>1756</v>
      </c>
      <c r="Z37">
        <v>-1.663492538074485</v>
      </c>
      <c r="AA37">
        <v>863</v>
      </c>
      <c r="AB37">
        <v>63524</v>
      </c>
      <c r="AC37" t="s">
        <v>2115</v>
      </c>
      <c r="AD37">
        <v>50.73</v>
      </c>
      <c r="AE37" t="s">
        <v>2486</v>
      </c>
      <c r="AF37" t="s">
        <v>2855</v>
      </c>
      <c r="AG37">
        <v>1418</v>
      </c>
      <c r="AH37">
        <v>138</v>
      </c>
      <c r="AI37">
        <v>772811</v>
      </c>
      <c r="AJ37">
        <v>2.58</v>
      </c>
      <c r="AK37" t="b">
        <v>1</v>
      </c>
    </row>
    <row r="38" spans="1:37">
      <c r="A38" s="1" t="s">
        <v>252</v>
      </c>
      <c r="B38" t="s">
        <v>623</v>
      </c>
      <c r="C38">
        <f>HYPERLINK("https://finance.naver.com/item/coinfo.nhn?code=210980", "A210980")</f>
        <v>0</v>
      </c>
      <c r="D38">
        <f>HYPERLINK("http://comp.fnguide.com/SVO2/ASP/SVD_Consensus.asp?pGB=1&amp;gicode=A210980&amp;cID=&amp;MenuYn=Y&amp;ReportGB=&amp;NewMenuID=108&amp;stkGb=701", "SK디앤디")</f>
        <v>0</v>
      </c>
      <c r="E38">
        <v>3</v>
      </c>
      <c r="F38">
        <v>25750</v>
      </c>
      <c r="G38">
        <v>0.38</v>
      </c>
      <c r="H38">
        <v>5.76</v>
      </c>
      <c r="I38">
        <v>53107</v>
      </c>
      <c r="J38">
        <v>39771</v>
      </c>
      <c r="K38">
        <v>35311</v>
      </c>
      <c r="L38">
        <v>-106.24</v>
      </c>
      <c r="M38">
        <v>-54.45</v>
      </c>
      <c r="N38">
        <v>-37.13</v>
      </c>
      <c r="O38">
        <v>18.53</v>
      </c>
      <c r="P38" t="b">
        <v>1</v>
      </c>
      <c r="Q38">
        <v>0</v>
      </c>
      <c r="R38">
        <v>5510</v>
      </c>
      <c r="S38">
        <v>3592</v>
      </c>
      <c r="T38">
        <v>-34.8</v>
      </c>
      <c r="U38" t="s">
        <v>995</v>
      </c>
      <c r="V38" t="s">
        <v>1366</v>
      </c>
      <c r="W38">
        <v>14.97441769956092</v>
      </c>
      <c r="X38">
        <v>146.5</v>
      </c>
      <c r="Y38" t="s">
        <v>1723</v>
      </c>
      <c r="Z38">
        <v>32.24623894040246</v>
      </c>
      <c r="AA38">
        <v>5714</v>
      </c>
      <c r="AB38">
        <v>15874</v>
      </c>
      <c r="AC38" t="s">
        <v>2079</v>
      </c>
      <c r="AD38">
        <v>59.19</v>
      </c>
      <c r="AE38" t="s">
        <v>2450</v>
      </c>
      <c r="AF38" t="s">
        <v>2820</v>
      </c>
      <c r="AG38">
        <v>7910</v>
      </c>
      <c r="AH38">
        <v>1294</v>
      </c>
      <c r="AI38">
        <v>640</v>
      </c>
      <c r="AJ38">
        <v>2.52</v>
      </c>
      <c r="AK38" t="b">
        <v>1</v>
      </c>
    </row>
    <row r="39" spans="1:37">
      <c r="A39" s="1" t="s">
        <v>383</v>
      </c>
      <c r="B39" t="s">
        <v>754</v>
      </c>
      <c r="C39">
        <f>HYPERLINK("https://finance.naver.com/item/coinfo.nhn?code=027360", "A027360")</f>
        <v>0</v>
      </c>
      <c r="D39">
        <f>HYPERLINK("http://comp.fnguide.com/SVO2/ASP/SVD_Consensus.asp?pGB=1&amp;gicode=A027360&amp;cID=&amp;MenuYn=Y&amp;ReportGB=&amp;NewMenuID=108&amp;stkGb=701", "아주IB투자")</f>
        <v>0</v>
      </c>
      <c r="E39">
        <v>1</v>
      </c>
      <c r="F39">
        <v>3155</v>
      </c>
      <c r="G39">
        <v>0</v>
      </c>
      <c r="H39">
        <v>12.24</v>
      </c>
      <c r="I39">
        <v>4035</v>
      </c>
      <c r="J39">
        <v>2997</v>
      </c>
      <c r="K39">
        <v>2650</v>
      </c>
      <c r="L39">
        <v>-27.89</v>
      </c>
      <c r="M39">
        <v>5</v>
      </c>
      <c r="N39">
        <v>16</v>
      </c>
      <c r="O39">
        <v>18.91</v>
      </c>
      <c r="P39" t="b">
        <v>0</v>
      </c>
      <c r="Q39">
        <v>0</v>
      </c>
      <c r="R39">
        <v>327</v>
      </c>
      <c r="U39" t="s">
        <v>1126</v>
      </c>
      <c r="V39" t="s">
        <v>1497</v>
      </c>
      <c r="W39">
        <v>0</v>
      </c>
      <c r="Y39" t="s">
        <v>1536</v>
      </c>
      <c r="Z39">
        <v>0</v>
      </c>
      <c r="AA39">
        <v>3812</v>
      </c>
      <c r="AB39">
        <v>1405106</v>
      </c>
      <c r="AC39" t="s">
        <v>2210</v>
      </c>
      <c r="AD39">
        <v>60.6</v>
      </c>
      <c r="AE39" t="s">
        <v>2581</v>
      </c>
      <c r="AF39" t="s">
        <v>2947</v>
      </c>
      <c r="AG39">
        <v>660</v>
      </c>
      <c r="AH39">
        <v>520</v>
      </c>
      <c r="AI39">
        <v>2882446</v>
      </c>
      <c r="AJ39">
        <v>2.5</v>
      </c>
      <c r="AK39" t="b">
        <v>1</v>
      </c>
    </row>
    <row r="40" spans="1:37">
      <c r="A40" s="1" t="s">
        <v>241</v>
      </c>
      <c r="B40" t="s">
        <v>612</v>
      </c>
      <c r="C40">
        <f>HYPERLINK("https://finance.naver.com/item/coinfo.nhn?code=084690", "A084690")</f>
        <v>0</v>
      </c>
      <c r="D40">
        <f>HYPERLINK("http://comp.fnguide.com/SVO2/ASP/SVD_Consensus.asp?pGB=1&amp;gicode=A084690&amp;cID=&amp;MenuYn=Y&amp;ReportGB=&amp;NewMenuID=108&amp;stkGb=701", "대상홀딩스")</f>
        <v>0</v>
      </c>
      <c r="E40">
        <v>3</v>
      </c>
      <c r="F40">
        <v>8280</v>
      </c>
      <c r="G40">
        <v>0</v>
      </c>
      <c r="H40">
        <v>6.69</v>
      </c>
      <c r="I40">
        <v>21148</v>
      </c>
      <c r="J40">
        <v>20262</v>
      </c>
      <c r="K40">
        <v>19966</v>
      </c>
      <c r="L40">
        <v>-155.41</v>
      </c>
      <c r="M40">
        <v>-144.72</v>
      </c>
      <c r="N40">
        <v>-141.14</v>
      </c>
      <c r="O40">
        <v>10.88</v>
      </c>
      <c r="P40" t="b">
        <v>0</v>
      </c>
      <c r="Q40">
        <v>0</v>
      </c>
      <c r="R40">
        <v>1451</v>
      </c>
      <c r="U40" t="s">
        <v>984</v>
      </c>
      <c r="V40" t="s">
        <v>1355</v>
      </c>
      <c r="W40">
        <v>0</v>
      </c>
      <c r="X40">
        <v>-40.2</v>
      </c>
      <c r="Y40" t="s">
        <v>1712</v>
      </c>
      <c r="Z40">
        <v>4.431435914716753</v>
      </c>
      <c r="AA40">
        <v>2998</v>
      </c>
      <c r="AB40">
        <v>21252</v>
      </c>
      <c r="AC40" t="s">
        <v>2068</v>
      </c>
      <c r="AD40">
        <v>67.3</v>
      </c>
      <c r="AE40" t="s">
        <v>2439</v>
      </c>
      <c r="AF40" t="s">
        <v>2809</v>
      </c>
      <c r="AG40">
        <v>42060</v>
      </c>
      <c r="AH40">
        <v>1630</v>
      </c>
      <c r="AJ40">
        <v>2.47</v>
      </c>
      <c r="AK40" t="b">
        <v>1</v>
      </c>
    </row>
    <row r="41" spans="1:37">
      <c r="A41" s="1" t="s">
        <v>204</v>
      </c>
      <c r="B41" t="s">
        <v>575</v>
      </c>
      <c r="C41">
        <f>HYPERLINK("https://finance.naver.com/item/coinfo.nhn?code=111770", "A111770")</f>
        <v>0</v>
      </c>
      <c r="D41">
        <f>HYPERLINK("http://comp.fnguide.com/SVO2/ASP/SVD_Consensus.asp?pGB=1&amp;gicode=A111770&amp;cID=&amp;MenuYn=Y&amp;ReportGB=&amp;NewMenuID=108&amp;stkGb=701", "영원무역")</f>
        <v>0</v>
      </c>
      <c r="E41">
        <v>3</v>
      </c>
      <c r="F41">
        <v>40350</v>
      </c>
      <c r="G41">
        <v>0.19</v>
      </c>
      <c r="H41">
        <v>6.49</v>
      </c>
      <c r="I41">
        <v>58729</v>
      </c>
      <c r="J41">
        <v>54258</v>
      </c>
      <c r="K41">
        <v>52763</v>
      </c>
      <c r="L41">
        <v>-45.55</v>
      </c>
      <c r="M41">
        <v>-34.47</v>
      </c>
      <c r="N41">
        <v>-30.76</v>
      </c>
      <c r="O41">
        <v>11.67</v>
      </c>
      <c r="P41" t="b">
        <v>1</v>
      </c>
      <c r="Q41">
        <v>2</v>
      </c>
      <c r="R41">
        <v>6727</v>
      </c>
      <c r="S41">
        <v>9150</v>
      </c>
      <c r="T41">
        <v>36</v>
      </c>
      <c r="U41" t="s">
        <v>947</v>
      </c>
      <c r="V41" t="s">
        <v>1318</v>
      </c>
      <c r="W41">
        <v>34.59514593688722</v>
      </c>
      <c r="X41">
        <v>100.5</v>
      </c>
      <c r="Y41" t="s">
        <v>1676</v>
      </c>
      <c r="Z41">
        <v>40.62480548816558</v>
      </c>
      <c r="AA41">
        <v>17880</v>
      </c>
      <c r="AB41">
        <v>80621</v>
      </c>
      <c r="AC41" t="s">
        <v>2031</v>
      </c>
      <c r="AD41">
        <v>50.74</v>
      </c>
      <c r="AE41" t="s">
        <v>2402</v>
      </c>
      <c r="AF41" t="s">
        <v>2772</v>
      </c>
      <c r="AG41">
        <v>27925</v>
      </c>
      <c r="AH41">
        <v>4425</v>
      </c>
      <c r="AI41">
        <v>445407</v>
      </c>
      <c r="AJ41">
        <v>2.29</v>
      </c>
      <c r="AK41" t="b">
        <v>1</v>
      </c>
    </row>
    <row r="42" spans="1:37">
      <c r="A42" s="1" t="s">
        <v>348</v>
      </c>
      <c r="B42" t="s">
        <v>719</v>
      </c>
      <c r="C42">
        <f>HYPERLINK("https://finance.naver.com/item/coinfo.nhn?code=086280", "A086280")</f>
        <v>0</v>
      </c>
      <c r="D42">
        <f>HYPERLINK("http://comp.fnguide.com/SVO2/ASP/SVD_Consensus.asp?pGB=1&amp;gicode=A086280&amp;cID=&amp;MenuYn=Y&amp;ReportGB=&amp;NewMenuID=108&amp;stkGb=701", "현대글로비스")</f>
        <v>0</v>
      </c>
      <c r="E42">
        <v>1</v>
      </c>
      <c r="F42">
        <v>182000</v>
      </c>
      <c r="G42">
        <v>0.24</v>
      </c>
      <c r="H42">
        <v>8.050000000000001</v>
      </c>
      <c r="I42">
        <v>203694</v>
      </c>
      <c r="J42">
        <v>176820</v>
      </c>
      <c r="K42">
        <v>167833</v>
      </c>
      <c r="L42">
        <v>-11.92</v>
      </c>
      <c r="M42">
        <v>2.85</v>
      </c>
      <c r="N42">
        <v>7.78</v>
      </c>
      <c r="O42">
        <v>13.23</v>
      </c>
      <c r="P42" t="b">
        <v>0</v>
      </c>
      <c r="Q42">
        <v>3</v>
      </c>
      <c r="R42">
        <v>20877</v>
      </c>
      <c r="S42">
        <v>32140</v>
      </c>
      <c r="T42">
        <v>53.9</v>
      </c>
      <c r="U42" t="s">
        <v>1091</v>
      </c>
      <c r="V42" t="s">
        <v>1462</v>
      </c>
      <c r="W42">
        <v>33.85174706183829</v>
      </c>
      <c r="X42">
        <v>125.4</v>
      </c>
      <c r="Y42" t="s">
        <v>1811</v>
      </c>
      <c r="Z42">
        <v>21.02941647712901</v>
      </c>
      <c r="AA42">
        <v>68250</v>
      </c>
      <c r="AB42">
        <v>186111</v>
      </c>
      <c r="AC42" t="s">
        <v>2175</v>
      </c>
      <c r="AD42">
        <v>50.34</v>
      </c>
      <c r="AE42" t="s">
        <v>2546</v>
      </c>
      <c r="AF42" t="s">
        <v>2912</v>
      </c>
      <c r="AG42">
        <v>217796</v>
      </c>
      <c r="AH42">
        <v>11262</v>
      </c>
      <c r="AJ42">
        <v>2.26</v>
      </c>
      <c r="AK42" t="b">
        <v>1</v>
      </c>
    </row>
    <row r="43" spans="1:37">
      <c r="A43" s="1" t="s">
        <v>205</v>
      </c>
      <c r="B43" t="s">
        <v>576</v>
      </c>
      <c r="C43">
        <f>HYPERLINK("https://finance.naver.com/item/coinfo.nhn?code=137310", "A137310")</f>
        <v>0</v>
      </c>
      <c r="D43">
        <f>HYPERLINK("http://comp.fnguide.com/SVO2/ASP/SVD_Consensus.asp?pGB=1&amp;gicode=A137310&amp;cID=&amp;MenuYn=Y&amp;ReportGB=&amp;NewMenuID=108&amp;stkGb=701", "에스디바이오센서")</f>
        <v>0</v>
      </c>
      <c r="E43">
        <v>3</v>
      </c>
      <c r="F43">
        <v>40300</v>
      </c>
      <c r="G43">
        <v>0.01</v>
      </c>
      <c r="H43">
        <v>5.14</v>
      </c>
      <c r="I43">
        <v>178431</v>
      </c>
      <c r="J43">
        <v>92382</v>
      </c>
      <c r="K43">
        <v>63603</v>
      </c>
      <c r="L43">
        <v>-342.76</v>
      </c>
      <c r="M43">
        <v>-129.23</v>
      </c>
      <c r="N43">
        <v>-57.82</v>
      </c>
      <c r="O43">
        <v>82.8</v>
      </c>
      <c r="P43" t="b">
        <v>1</v>
      </c>
      <c r="Q43">
        <v>0</v>
      </c>
      <c r="R43">
        <v>10867</v>
      </c>
      <c r="S43">
        <v>9325</v>
      </c>
      <c r="T43">
        <v>-14.2</v>
      </c>
      <c r="U43" t="s">
        <v>948</v>
      </c>
      <c r="V43" t="s">
        <v>1319</v>
      </c>
      <c r="W43">
        <v>526.0096655188138</v>
      </c>
      <c r="X43">
        <v>-2.7</v>
      </c>
      <c r="Y43" t="s">
        <v>1677</v>
      </c>
      <c r="Z43">
        <v>0</v>
      </c>
      <c r="AA43">
        <v>41618</v>
      </c>
      <c r="AB43">
        <v>531301</v>
      </c>
      <c r="AC43" t="s">
        <v>2032</v>
      </c>
      <c r="AD43">
        <v>63.87</v>
      </c>
      <c r="AE43" t="s">
        <v>2403</v>
      </c>
      <c r="AF43" t="s">
        <v>2773</v>
      </c>
      <c r="AG43">
        <v>29300</v>
      </c>
      <c r="AH43">
        <v>13640</v>
      </c>
      <c r="AI43">
        <v>2129887</v>
      </c>
      <c r="AJ43">
        <v>2.26</v>
      </c>
      <c r="AK43" t="b">
        <v>1</v>
      </c>
    </row>
    <row r="44" spans="1:37">
      <c r="A44" s="1" t="s">
        <v>142</v>
      </c>
      <c r="B44" t="s">
        <v>513</v>
      </c>
      <c r="C44">
        <f>HYPERLINK("https://finance.naver.com/item/coinfo.nhn?code=031980", "A031980")</f>
        <v>0</v>
      </c>
      <c r="D44">
        <f>HYPERLINK("http://comp.fnguide.com/SVO2/ASP/SVD_Consensus.asp?pGB=1&amp;gicode=A031980&amp;cID=&amp;MenuYn=Y&amp;ReportGB=&amp;NewMenuID=108&amp;stkGb=701", "피에스케이홀딩스")</f>
        <v>0</v>
      </c>
      <c r="E44">
        <v>3</v>
      </c>
      <c r="F44">
        <v>9230</v>
      </c>
      <c r="G44">
        <v>0</v>
      </c>
      <c r="H44">
        <v>8.279999999999999</v>
      </c>
      <c r="I44">
        <v>29348</v>
      </c>
      <c r="J44">
        <v>19946</v>
      </c>
      <c r="K44">
        <v>16801</v>
      </c>
      <c r="L44">
        <v>-217.96</v>
      </c>
      <c r="M44">
        <v>-116.1</v>
      </c>
      <c r="N44">
        <v>-82.03</v>
      </c>
      <c r="O44">
        <v>24.14</v>
      </c>
      <c r="P44" t="b">
        <v>1</v>
      </c>
      <c r="Q44">
        <v>0</v>
      </c>
      <c r="R44">
        <v>2162</v>
      </c>
      <c r="U44" t="s">
        <v>885</v>
      </c>
      <c r="V44" t="s">
        <v>1256</v>
      </c>
      <c r="W44">
        <v>0</v>
      </c>
      <c r="X44">
        <v>-53.6</v>
      </c>
      <c r="Y44" t="s">
        <v>1620</v>
      </c>
      <c r="Z44">
        <v>-12.33807827918958</v>
      </c>
      <c r="AA44">
        <v>1990</v>
      </c>
      <c r="AB44">
        <v>23601</v>
      </c>
      <c r="AC44" t="s">
        <v>1969</v>
      </c>
      <c r="AD44">
        <v>74.23</v>
      </c>
      <c r="AE44" t="s">
        <v>2340</v>
      </c>
      <c r="AF44" t="s">
        <v>2711</v>
      </c>
      <c r="AG44">
        <v>816</v>
      </c>
      <c r="AH44">
        <v>226</v>
      </c>
      <c r="AI44">
        <v>978369</v>
      </c>
      <c r="AJ44">
        <v>2.23</v>
      </c>
      <c r="AK44" t="b">
        <v>1</v>
      </c>
    </row>
    <row r="45" spans="1:37">
      <c r="A45" s="1" t="s">
        <v>343</v>
      </c>
      <c r="B45" t="s">
        <v>714</v>
      </c>
      <c r="C45">
        <f>HYPERLINK("https://finance.naver.com/item/coinfo.nhn?code=010050", "A010050")</f>
        <v>0</v>
      </c>
      <c r="D45">
        <f>HYPERLINK("http://comp.fnguide.com/SVO2/ASP/SVD_Consensus.asp?pGB=1&amp;gicode=A010050&amp;cID=&amp;MenuYn=Y&amp;ReportGB=&amp;NewMenuID=108&amp;stkGb=701", "우리종금")</f>
        <v>0</v>
      </c>
      <c r="E45">
        <v>1</v>
      </c>
      <c r="F45">
        <v>914</v>
      </c>
      <c r="G45">
        <v>0</v>
      </c>
      <c r="H45">
        <v>9.869999999999999</v>
      </c>
      <c r="I45">
        <v>981</v>
      </c>
      <c r="J45">
        <v>819</v>
      </c>
      <c r="K45">
        <v>765</v>
      </c>
      <c r="L45">
        <v>-7.35</v>
      </c>
      <c r="M45">
        <v>10.36</v>
      </c>
      <c r="N45">
        <v>16.28</v>
      </c>
      <c r="O45">
        <v>14.37</v>
      </c>
      <c r="P45" t="b">
        <v>0</v>
      </c>
      <c r="Q45">
        <v>0</v>
      </c>
      <c r="R45">
        <v>91</v>
      </c>
      <c r="U45" t="s">
        <v>1086</v>
      </c>
      <c r="V45" t="s">
        <v>1457</v>
      </c>
      <c r="W45">
        <v>0</v>
      </c>
      <c r="Y45" t="s">
        <v>1536</v>
      </c>
      <c r="Z45">
        <v>29.59684579379225</v>
      </c>
      <c r="AA45">
        <v>7990</v>
      </c>
      <c r="AB45">
        <v>1536870</v>
      </c>
      <c r="AC45" t="s">
        <v>2170</v>
      </c>
      <c r="AD45">
        <v>58.76</v>
      </c>
      <c r="AE45" t="s">
        <v>2541</v>
      </c>
      <c r="AF45" t="s">
        <v>2908</v>
      </c>
      <c r="AG45">
        <v>3033</v>
      </c>
      <c r="AH45">
        <v>1040</v>
      </c>
      <c r="AI45">
        <v>69076</v>
      </c>
      <c r="AJ45">
        <v>2.22</v>
      </c>
      <c r="AK45" t="b">
        <v>1</v>
      </c>
    </row>
    <row r="46" spans="1:37">
      <c r="A46" s="1" t="s">
        <v>221</v>
      </c>
      <c r="B46" t="s">
        <v>592</v>
      </c>
      <c r="C46">
        <f>HYPERLINK("https://finance.naver.com/item/coinfo.nhn?code=008260", "A008260")</f>
        <v>0</v>
      </c>
      <c r="D46">
        <f>HYPERLINK("http://comp.fnguide.com/SVO2/ASP/SVD_Consensus.asp?pGB=1&amp;gicode=A008260&amp;cID=&amp;MenuYn=Y&amp;ReportGB=&amp;NewMenuID=108&amp;stkGb=701", "NI스틸")</f>
        <v>0</v>
      </c>
      <c r="E46">
        <v>3</v>
      </c>
      <c r="F46">
        <v>4995</v>
      </c>
      <c r="G46">
        <v>0</v>
      </c>
      <c r="H46">
        <v>4.38</v>
      </c>
      <c r="I46">
        <v>6341</v>
      </c>
      <c r="J46">
        <v>5584</v>
      </c>
      <c r="K46">
        <v>5330</v>
      </c>
      <c r="L46">
        <v>-26.94</v>
      </c>
      <c r="M46">
        <v>-11.78</v>
      </c>
      <c r="N46">
        <v>-6.72</v>
      </c>
      <c r="O46">
        <v>12.84</v>
      </c>
      <c r="P46" t="b">
        <v>1</v>
      </c>
      <c r="Q46">
        <v>0</v>
      </c>
      <c r="R46">
        <v>771</v>
      </c>
      <c r="U46" t="s">
        <v>964</v>
      </c>
      <c r="V46" t="s">
        <v>1335</v>
      </c>
      <c r="W46">
        <v>0</v>
      </c>
      <c r="X46">
        <v>156.3</v>
      </c>
      <c r="Y46" t="s">
        <v>1692</v>
      </c>
      <c r="Z46">
        <v>38.6345018156312</v>
      </c>
      <c r="AA46">
        <v>1429</v>
      </c>
      <c r="AB46">
        <v>134594</v>
      </c>
      <c r="AC46" t="s">
        <v>2048</v>
      </c>
      <c r="AD46">
        <v>58.95</v>
      </c>
      <c r="AE46" t="s">
        <v>2419</v>
      </c>
      <c r="AF46" t="s">
        <v>2789</v>
      </c>
      <c r="AG46">
        <v>2482</v>
      </c>
      <c r="AH46">
        <v>312</v>
      </c>
      <c r="AJ46">
        <v>2.22</v>
      </c>
      <c r="AK46" t="b">
        <v>1</v>
      </c>
    </row>
    <row r="47" spans="1:37">
      <c r="A47" s="1" t="s">
        <v>319</v>
      </c>
      <c r="B47" t="s">
        <v>690</v>
      </c>
      <c r="C47">
        <f>HYPERLINK("https://finance.naver.com/item/coinfo.nhn?code=357230", "A357230")</f>
        <v>0</v>
      </c>
      <c r="D47">
        <f>HYPERLINK("http://comp.fnguide.com/SVO2/ASP/SVD_Consensus.asp?pGB=1&amp;gicode=A357230&amp;cID=&amp;MenuYn=Y&amp;ReportGB=&amp;NewMenuID=108&amp;stkGb=701", "에이치피오")</f>
        <v>0</v>
      </c>
      <c r="E47">
        <v>2</v>
      </c>
      <c r="F47">
        <v>10900</v>
      </c>
      <c r="G47">
        <v>0</v>
      </c>
      <c r="H47">
        <v>15.61</v>
      </c>
      <c r="I47">
        <v>17296</v>
      </c>
      <c r="J47">
        <v>11750</v>
      </c>
      <c r="K47">
        <v>9895</v>
      </c>
      <c r="L47">
        <v>-58.68</v>
      </c>
      <c r="M47">
        <v>-7.79</v>
      </c>
      <c r="N47">
        <v>9.220000000000001</v>
      </c>
      <c r="O47">
        <v>24.17</v>
      </c>
      <c r="P47" t="b">
        <v>1</v>
      </c>
      <c r="Q47">
        <v>0</v>
      </c>
      <c r="R47">
        <v>871</v>
      </c>
      <c r="U47" t="s">
        <v>1062</v>
      </c>
      <c r="V47" t="s">
        <v>1433</v>
      </c>
      <c r="W47">
        <v>0</v>
      </c>
      <c r="X47">
        <v>-45.6</v>
      </c>
      <c r="Y47" t="s">
        <v>1784</v>
      </c>
      <c r="Z47">
        <v>17.45295627702714</v>
      </c>
      <c r="AA47">
        <v>2173</v>
      </c>
      <c r="AB47">
        <v>30499</v>
      </c>
      <c r="AC47" t="s">
        <v>2146</v>
      </c>
      <c r="AD47">
        <v>70.19</v>
      </c>
      <c r="AE47" t="s">
        <v>2517</v>
      </c>
      <c r="AF47" t="s">
        <v>2884</v>
      </c>
      <c r="AG47">
        <v>1594</v>
      </c>
      <c r="AH47">
        <v>228</v>
      </c>
      <c r="AI47">
        <v>525349</v>
      </c>
      <c r="AJ47">
        <v>2.21</v>
      </c>
      <c r="AK47" t="b">
        <v>1</v>
      </c>
    </row>
    <row r="48" spans="1:37">
      <c r="A48" s="1" t="s">
        <v>332</v>
      </c>
      <c r="B48" t="s">
        <v>703</v>
      </c>
      <c r="C48">
        <f>HYPERLINK("https://finance.naver.com/item/coinfo.nhn?code=089600", "A089600")</f>
        <v>0</v>
      </c>
      <c r="D48">
        <f>HYPERLINK("http://comp.fnguide.com/SVO2/ASP/SVD_Consensus.asp?pGB=1&amp;gicode=A089600&amp;cID=&amp;MenuYn=Y&amp;ReportGB=&amp;NewMenuID=108&amp;stkGb=701", "나스미디어")</f>
        <v>0</v>
      </c>
      <c r="E48">
        <v>1</v>
      </c>
      <c r="F48">
        <v>24800</v>
      </c>
      <c r="G48">
        <v>1.19</v>
      </c>
      <c r="H48">
        <v>13.26</v>
      </c>
      <c r="I48">
        <v>26828</v>
      </c>
      <c r="J48">
        <v>22060</v>
      </c>
      <c r="K48">
        <v>20466</v>
      </c>
      <c r="L48">
        <v>-8.18</v>
      </c>
      <c r="M48">
        <v>11.05</v>
      </c>
      <c r="N48">
        <v>17.48</v>
      </c>
      <c r="O48">
        <v>14.86</v>
      </c>
      <c r="P48" t="b">
        <v>1</v>
      </c>
      <c r="Q48">
        <v>3</v>
      </c>
      <c r="R48">
        <v>2481</v>
      </c>
      <c r="S48">
        <v>2688</v>
      </c>
      <c r="T48">
        <v>8.300000000000001</v>
      </c>
      <c r="U48" t="s">
        <v>1075</v>
      </c>
      <c r="V48" t="s">
        <v>1446</v>
      </c>
      <c r="W48">
        <v>11.14054269742126</v>
      </c>
      <c r="X48">
        <v>-1.8</v>
      </c>
      <c r="Y48" t="s">
        <v>1796</v>
      </c>
      <c r="Z48">
        <v>0.8796481250032739</v>
      </c>
      <c r="AA48">
        <v>2614</v>
      </c>
      <c r="AB48">
        <v>21414</v>
      </c>
      <c r="AC48" t="s">
        <v>2159</v>
      </c>
      <c r="AD48">
        <v>59.56</v>
      </c>
      <c r="AE48" t="s">
        <v>2530</v>
      </c>
      <c r="AF48" t="s">
        <v>2897</v>
      </c>
      <c r="AG48">
        <v>1242</v>
      </c>
      <c r="AH48">
        <v>329</v>
      </c>
      <c r="AI48">
        <v>254383</v>
      </c>
      <c r="AJ48">
        <v>2.21</v>
      </c>
      <c r="AK48" t="b">
        <v>1</v>
      </c>
    </row>
    <row r="49" spans="1:38">
      <c r="A49" s="1" t="s">
        <v>287</v>
      </c>
      <c r="B49" t="s">
        <v>658</v>
      </c>
      <c r="C49">
        <f>HYPERLINK("https://finance.naver.com/item/coinfo.nhn?code=003070", "A003070")</f>
        <v>0</v>
      </c>
      <c r="D49">
        <f>HYPERLINK("http://comp.fnguide.com/SVO2/ASP/SVD_Consensus.asp?pGB=1&amp;gicode=A003070&amp;cID=&amp;MenuYn=Y&amp;ReportGB=&amp;NewMenuID=108&amp;stkGb=701", "코오롱글로벌")</f>
        <v>0</v>
      </c>
      <c r="E49">
        <v>3</v>
      </c>
      <c r="F49">
        <v>19600</v>
      </c>
      <c r="G49">
        <v>0.07000000000000001</v>
      </c>
      <c r="H49">
        <v>4.16</v>
      </c>
      <c r="I49">
        <v>47911</v>
      </c>
      <c r="J49">
        <v>34679</v>
      </c>
      <c r="K49">
        <v>30254</v>
      </c>
      <c r="L49">
        <v>-144.45</v>
      </c>
      <c r="M49">
        <v>-76.93000000000001</v>
      </c>
      <c r="N49">
        <v>-54.36</v>
      </c>
      <c r="O49">
        <v>20.23</v>
      </c>
      <c r="P49" t="b">
        <v>1</v>
      </c>
      <c r="Q49">
        <v>3</v>
      </c>
      <c r="R49">
        <v>5436</v>
      </c>
      <c r="S49">
        <v>6000</v>
      </c>
      <c r="T49">
        <v>10.4</v>
      </c>
      <c r="U49" t="s">
        <v>1030</v>
      </c>
      <c r="V49" t="s">
        <v>1401</v>
      </c>
      <c r="W49">
        <v>62.03201013549633</v>
      </c>
      <c r="X49">
        <v>24.3</v>
      </c>
      <c r="Y49" t="s">
        <v>1755</v>
      </c>
      <c r="Z49">
        <v>59.28530682293886</v>
      </c>
      <c r="AA49">
        <v>4941</v>
      </c>
      <c r="AB49">
        <v>195677</v>
      </c>
      <c r="AC49" t="s">
        <v>2114</v>
      </c>
      <c r="AD49">
        <v>76.23999999999999</v>
      </c>
      <c r="AE49" t="s">
        <v>2485</v>
      </c>
      <c r="AF49" t="s">
        <v>2854</v>
      </c>
      <c r="AG49">
        <v>47495</v>
      </c>
      <c r="AH49">
        <v>2415</v>
      </c>
      <c r="AI49">
        <v>84095</v>
      </c>
      <c r="AJ49">
        <v>2.21</v>
      </c>
      <c r="AK49" t="b">
        <v>1</v>
      </c>
    </row>
    <row r="50" spans="1:38">
      <c r="A50" s="1" t="s">
        <v>85</v>
      </c>
      <c r="B50" t="s">
        <v>456</v>
      </c>
      <c r="C50">
        <f>HYPERLINK("https://finance.naver.com/item/coinfo.nhn?code=021320", "A021320")</f>
        <v>0</v>
      </c>
      <c r="D50">
        <f>HYPERLINK("http://comp.fnguide.com/SVO2/ASP/SVD_Consensus.asp?pGB=1&amp;gicode=A021320&amp;cID=&amp;MenuYn=Y&amp;ReportGB=&amp;NewMenuID=108&amp;stkGb=701", "KCC건설")</f>
        <v>0</v>
      </c>
      <c r="E50">
        <v>3</v>
      </c>
      <c r="F50">
        <v>6940</v>
      </c>
      <c r="G50">
        <v>0</v>
      </c>
      <c r="H50">
        <v>3.71</v>
      </c>
      <c r="I50">
        <v>22325</v>
      </c>
      <c r="J50">
        <v>22249</v>
      </c>
      <c r="K50">
        <v>22223</v>
      </c>
      <c r="L50">
        <v>-221.69</v>
      </c>
      <c r="M50">
        <v>-220.58</v>
      </c>
      <c r="N50">
        <v>-220.22</v>
      </c>
      <c r="O50">
        <v>10.11</v>
      </c>
      <c r="P50" t="b">
        <v>1</v>
      </c>
      <c r="Q50">
        <v>0</v>
      </c>
      <c r="R50">
        <v>2205</v>
      </c>
      <c r="U50" t="s">
        <v>828</v>
      </c>
      <c r="V50" t="s">
        <v>1199</v>
      </c>
      <c r="W50">
        <v>0</v>
      </c>
      <c r="X50">
        <v>-64.09999999999999</v>
      </c>
      <c r="Y50" t="s">
        <v>1567</v>
      </c>
      <c r="Z50">
        <v>-5.505140113387375</v>
      </c>
      <c r="AA50">
        <v>1485</v>
      </c>
      <c r="AB50">
        <v>25436</v>
      </c>
      <c r="AC50" t="s">
        <v>1912</v>
      </c>
      <c r="AD50">
        <v>66.26000000000001</v>
      </c>
      <c r="AE50" t="s">
        <v>2283</v>
      </c>
      <c r="AF50" t="s">
        <v>2654</v>
      </c>
      <c r="AG50">
        <v>13640</v>
      </c>
      <c r="AH50">
        <v>319</v>
      </c>
      <c r="AI50">
        <v>1454564</v>
      </c>
      <c r="AJ50">
        <v>2.2</v>
      </c>
      <c r="AK50" t="b">
        <v>1</v>
      </c>
    </row>
    <row r="51" spans="1:38">
      <c r="A51" s="1" t="s">
        <v>192</v>
      </c>
      <c r="B51" t="s">
        <v>563</v>
      </c>
      <c r="C51">
        <f>HYPERLINK("https://finance.naver.com/item/coinfo.nhn?code=006040", "A006040")</f>
        <v>0</v>
      </c>
      <c r="D51">
        <f>HYPERLINK("http://comp.fnguide.com/SVO2/ASP/SVD_Consensus.asp?pGB=1&amp;gicode=A006040&amp;cID=&amp;MenuYn=Y&amp;ReportGB=&amp;NewMenuID=108&amp;stkGb=701", "동원산업")</f>
        <v>0</v>
      </c>
      <c r="E51">
        <v>3</v>
      </c>
      <c r="F51">
        <v>224500</v>
      </c>
      <c r="G51">
        <v>0</v>
      </c>
      <c r="H51">
        <v>4.93</v>
      </c>
      <c r="I51">
        <v>588530</v>
      </c>
      <c r="J51">
        <v>496728</v>
      </c>
      <c r="K51">
        <v>466026</v>
      </c>
      <c r="L51">
        <v>-162.15</v>
      </c>
      <c r="M51">
        <v>-121.26</v>
      </c>
      <c r="N51">
        <v>-107.58</v>
      </c>
      <c r="O51">
        <v>14.04</v>
      </c>
      <c r="P51" t="b">
        <v>0</v>
      </c>
      <c r="Q51">
        <v>0</v>
      </c>
      <c r="R51">
        <v>46009</v>
      </c>
      <c r="U51" t="s">
        <v>935</v>
      </c>
      <c r="V51" t="s">
        <v>1306</v>
      </c>
      <c r="W51">
        <v>0</v>
      </c>
      <c r="X51">
        <v>13.7</v>
      </c>
      <c r="Y51" t="s">
        <v>1665</v>
      </c>
      <c r="Z51">
        <v>1.061141947211586</v>
      </c>
      <c r="AA51">
        <v>8256</v>
      </c>
      <c r="AB51">
        <v>2603</v>
      </c>
      <c r="AC51" t="s">
        <v>2019</v>
      </c>
      <c r="AD51">
        <v>63.32</v>
      </c>
      <c r="AE51" t="s">
        <v>2390</v>
      </c>
      <c r="AF51" t="s">
        <v>2760</v>
      </c>
      <c r="AG51">
        <v>28022</v>
      </c>
      <c r="AH51">
        <v>2607</v>
      </c>
      <c r="AI51">
        <v>266581</v>
      </c>
      <c r="AJ51">
        <v>2.2</v>
      </c>
      <c r="AK51" t="b">
        <v>1</v>
      </c>
    </row>
    <row r="52" spans="1:38">
      <c r="A52" s="1" t="s">
        <v>331</v>
      </c>
      <c r="B52" t="s">
        <v>702</v>
      </c>
      <c r="C52">
        <f>HYPERLINK("https://finance.naver.com/item/coinfo.nhn?code=036670", "A036670")</f>
        <v>0</v>
      </c>
      <c r="D52">
        <f>HYPERLINK("http://comp.fnguide.com/SVO2/ASP/SVD_Consensus.asp?pGB=1&amp;gicode=A036670&amp;cID=&amp;MenuYn=Y&amp;ReportGB=&amp;NewMenuID=108&amp;stkGb=701", "KCI")</f>
        <v>0</v>
      </c>
      <c r="E52">
        <v>2</v>
      </c>
      <c r="F52">
        <v>9030</v>
      </c>
      <c r="G52">
        <v>0</v>
      </c>
      <c r="H52">
        <v>10.19</v>
      </c>
      <c r="I52">
        <v>11165</v>
      </c>
      <c r="J52">
        <v>9250</v>
      </c>
      <c r="K52">
        <v>8610</v>
      </c>
      <c r="L52">
        <v>-23.64</v>
      </c>
      <c r="M52">
        <v>-2.44</v>
      </c>
      <c r="N52">
        <v>4.65</v>
      </c>
      <c r="O52">
        <v>14.62</v>
      </c>
      <c r="P52" t="b">
        <v>1</v>
      </c>
      <c r="Q52">
        <v>0</v>
      </c>
      <c r="R52">
        <v>901</v>
      </c>
      <c r="U52" t="s">
        <v>1074</v>
      </c>
      <c r="V52" t="s">
        <v>1445</v>
      </c>
      <c r="W52">
        <v>0</v>
      </c>
      <c r="X52">
        <v>206.7</v>
      </c>
      <c r="Y52" t="s">
        <v>1795</v>
      </c>
      <c r="Z52">
        <v>50.95535287558259</v>
      </c>
      <c r="AA52">
        <v>1018</v>
      </c>
      <c r="AB52">
        <v>9417</v>
      </c>
      <c r="AC52" t="s">
        <v>2158</v>
      </c>
      <c r="AD52">
        <v>50.02</v>
      </c>
      <c r="AE52" t="s">
        <v>2529</v>
      </c>
      <c r="AF52" t="s">
        <v>2896</v>
      </c>
      <c r="AG52">
        <v>815</v>
      </c>
      <c r="AH52">
        <v>124</v>
      </c>
      <c r="AI52">
        <v>509800</v>
      </c>
      <c r="AJ52">
        <v>2.18</v>
      </c>
      <c r="AK52" t="b">
        <v>1</v>
      </c>
    </row>
    <row r="53" spans="1:38">
      <c r="A53" s="1" t="s">
        <v>200</v>
      </c>
      <c r="B53" t="s">
        <v>571</v>
      </c>
      <c r="C53">
        <f>HYPERLINK("https://finance.naver.com/item/coinfo.nhn?code=002170", "A002170")</f>
        <v>0</v>
      </c>
      <c r="D53">
        <f>HYPERLINK("http://comp.fnguide.com/SVO2/ASP/SVD_Consensus.asp?pGB=1&amp;gicode=A002170&amp;cID=&amp;MenuYn=Y&amp;ReportGB=&amp;NewMenuID=108&amp;stkGb=701", "삼양통상")</f>
        <v>0</v>
      </c>
      <c r="E53">
        <v>3</v>
      </c>
      <c r="F53">
        <v>53700</v>
      </c>
      <c r="G53">
        <v>0</v>
      </c>
      <c r="H53">
        <v>5.25</v>
      </c>
      <c r="I53">
        <v>160838</v>
      </c>
      <c r="J53">
        <v>150841</v>
      </c>
      <c r="K53">
        <v>147498</v>
      </c>
      <c r="L53">
        <v>-199.51</v>
      </c>
      <c r="M53">
        <v>-180.9</v>
      </c>
      <c r="N53">
        <v>-174.67</v>
      </c>
      <c r="O53">
        <v>11.33</v>
      </c>
      <c r="P53" t="b">
        <v>1</v>
      </c>
      <c r="Q53">
        <v>0</v>
      </c>
      <c r="R53">
        <v>11047</v>
      </c>
      <c r="U53" t="s">
        <v>943</v>
      </c>
      <c r="V53" t="s">
        <v>1314</v>
      </c>
      <c r="W53">
        <v>0</v>
      </c>
      <c r="X53">
        <v>-36.9</v>
      </c>
      <c r="Y53" t="s">
        <v>1672</v>
      </c>
      <c r="Z53">
        <v>-3.454938050248979</v>
      </c>
      <c r="AA53">
        <v>1611</v>
      </c>
      <c r="AB53">
        <v>1108</v>
      </c>
      <c r="AC53" t="s">
        <v>2027</v>
      </c>
      <c r="AD53">
        <v>56.92</v>
      </c>
      <c r="AE53" t="s">
        <v>2398</v>
      </c>
      <c r="AF53" t="s">
        <v>2768</v>
      </c>
      <c r="AG53">
        <v>1940</v>
      </c>
      <c r="AH53">
        <v>364</v>
      </c>
      <c r="AI53">
        <v>150575</v>
      </c>
      <c r="AJ53">
        <v>2.16</v>
      </c>
      <c r="AK53" t="b">
        <v>1</v>
      </c>
    </row>
    <row r="54" spans="1:38">
      <c r="A54" s="1" t="s">
        <v>390</v>
      </c>
      <c r="B54" t="s">
        <v>761</v>
      </c>
      <c r="C54">
        <f>HYPERLINK("https://finance.naver.com/item/coinfo.nhn?code=306040", "A306040")</f>
        <v>0</v>
      </c>
      <c r="D54">
        <f>HYPERLINK("http://comp.fnguide.com/SVO2/ASP/SVD_Consensus.asp?pGB=1&amp;gicode=A306040&amp;cID=&amp;MenuYn=Y&amp;ReportGB=&amp;NewMenuID=108&amp;stkGb=701", "에스제이그룹")</f>
        <v>0</v>
      </c>
      <c r="E54">
        <v>1</v>
      </c>
      <c r="F54">
        <v>21850</v>
      </c>
      <c r="G54">
        <v>0.51</v>
      </c>
      <c r="H54">
        <v>9.18</v>
      </c>
      <c r="I54">
        <v>26293</v>
      </c>
      <c r="J54">
        <v>17724</v>
      </c>
      <c r="K54">
        <v>14858</v>
      </c>
      <c r="L54">
        <v>-20.34</v>
      </c>
      <c r="M54">
        <v>18.88</v>
      </c>
      <c r="N54">
        <v>32</v>
      </c>
      <c r="O54">
        <v>24.74</v>
      </c>
      <c r="P54" t="b">
        <v>1</v>
      </c>
      <c r="Q54">
        <v>2</v>
      </c>
      <c r="R54">
        <v>2347</v>
      </c>
      <c r="S54">
        <v>2929</v>
      </c>
      <c r="T54">
        <v>24.8</v>
      </c>
      <c r="U54" t="s">
        <v>1133</v>
      </c>
      <c r="V54" t="s">
        <v>1504</v>
      </c>
      <c r="W54">
        <v>17.94915668453285</v>
      </c>
      <c r="X54">
        <v>38.8</v>
      </c>
      <c r="Y54" t="s">
        <v>1848</v>
      </c>
      <c r="Z54">
        <v>114.8554303910028</v>
      </c>
      <c r="AA54">
        <v>2156</v>
      </c>
      <c r="AB54">
        <v>17423</v>
      </c>
      <c r="AC54" t="s">
        <v>2217</v>
      </c>
      <c r="AD54">
        <v>51.58</v>
      </c>
      <c r="AE54" t="s">
        <v>2588</v>
      </c>
      <c r="AF54" t="s">
        <v>2954</v>
      </c>
      <c r="AG54">
        <v>1497</v>
      </c>
      <c r="AH54">
        <v>291</v>
      </c>
      <c r="AI54">
        <v>72094</v>
      </c>
      <c r="AJ54">
        <v>2.09</v>
      </c>
      <c r="AK54" t="b">
        <v>1</v>
      </c>
    </row>
    <row r="55" spans="1:38">
      <c r="A55" s="1" t="s">
        <v>128</v>
      </c>
      <c r="B55" t="s">
        <v>499</v>
      </c>
      <c r="C55">
        <f>HYPERLINK("https://finance.naver.com/item/coinfo.nhn?code=251970", "A251970")</f>
        <v>0</v>
      </c>
      <c r="D55">
        <f>HYPERLINK("http://comp.fnguide.com/SVO2/ASP/SVD_Consensus.asp?pGB=1&amp;gicode=A251970&amp;cID=&amp;MenuYn=Y&amp;ReportGB=&amp;NewMenuID=108&amp;stkGb=701", "펌텍코리아")</f>
        <v>0</v>
      </c>
      <c r="E55">
        <v>3</v>
      </c>
      <c r="F55">
        <v>15700</v>
      </c>
      <c r="G55">
        <v>0</v>
      </c>
      <c r="H55">
        <v>11.82</v>
      </c>
      <c r="I55">
        <v>18823</v>
      </c>
      <c r="J55">
        <v>17260</v>
      </c>
      <c r="K55">
        <v>16737</v>
      </c>
      <c r="L55">
        <v>-19.89</v>
      </c>
      <c r="M55">
        <v>-9.94</v>
      </c>
      <c r="N55">
        <v>-6.61</v>
      </c>
      <c r="O55">
        <v>11.84</v>
      </c>
      <c r="P55" t="b">
        <v>1</v>
      </c>
      <c r="Q55">
        <v>0</v>
      </c>
      <c r="R55">
        <v>1430</v>
      </c>
      <c r="U55" t="s">
        <v>871</v>
      </c>
      <c r="V55" t="s">
        <v>1242</v>
      </c>
      <c r="W55">
        <v>0</v>
      </c>
      <c r="X55">
        <v>-20.8</v>
      </c>
      <c r="Y55" t="s">
        <v>1607</v>
      </c>
      <c r="Z55">
        <v>-3.104494737094554</v>
      </c>
      <c r="AA55">
        <v>1947</v>
      </c>
      <c r="AB55">
        <v>3631</v>
      </c>
      <c r="AC55" t="s">
        <v>1955</v>
      </c>
      <c r="AD55">
        <v>61.38</v>
      </c>
      <c r="AE55" t="s">
        <v>2326</v>
      </c>
      <c r="AF55" t="s">
        <v>2697</v>
      </c>
      <c r="AG55">
        <v>2220</v>
      </c>
      <c r="AH55">
        <v>261</v>
      </c>
      <c r="AI55">
        <v>287382</v>
      </c>
      <c r="AJ55">
        <v>2.07</v>
      </c>
      <c r="AK55" t="b">
        <v>1</v>
      </c>
    </row>
    <row r="56" spans="1:38">
      <c r="A56" s="1" t="s">
        <v>106</v>
      </c>
      <c r="B56" t="s">
        <v>477</v>
      </c>
      <c r="C56">
        <f>HYPERLINK("https://finance.naver.com/item/coinfo.nhn?code=032190", "A032190")</f>
        <v>0</v>
      </c>
      <c r="D56">
        <f>HYPERLINK("http://comp.fnguide.com/SVO2/ASP/SVD_Consensus.asp?pGB=1&amp;gicode=A032190&amp;cID=&amp;MenuYn=Y&amp;ReportGB=&amp;NewMenuID=108&amp;stkGb=701", "다우데이타")</f>
        <v>0</v>
      </c>
      <c r="E56">
        <v>3</v>
      </c>
      <c r="F56">
        <v>11500</v>
      </c>
      <c r="G56">
        <v>0</v>
      </c>
      <c r="H56">
        <v>3.93</v>
      </c>
      <c r="I56">
        <v>37574</v>
      </c>
      <c r="J56">
        <v>30152</v>
      </c>
      <c r="K56">
        <v>27670</v>
      </c>
      <c r="L56">
        <v>-226.73</v>
      </c>
      <c r="M56">
        <v>-162.19</v>
      </c>
      <c r="N56">
        <v>-140.61</v>
      </c>
      <c r="O56">
        <v>15.7</v>
      </c>
      <c r="P56" t="b">
        <v>1</v>
      </c>
      <c r="Q56">
        <v>0</v>
      </c>
      <c r="R56">
        <v>3838</v>
      </c>
      <c r="U56" t="s">
        <v>849</v>
      </c>
      <c r="V56" t="s">
        <v>1220</v>
      </c>
      <c r="W56">
        <v>0</v>
      </c>
      <c r="X56">
        <v>-54</v>
      </c>
      <c r="Y56" t="s">
        <v>1586</v>
      </c>
      <c r="Z56">
        <v>13.53659701992991</v>
      </c>
      <c r="AA56">
        <v>4405</v>
      </c>
      <c r="AB56">
        <v>50802</v>
      </c>
      <c r="AC56" t="s">
        <v>1933</v>
      </c>
      <c r="AD56">
        <v>67.14</v>
      </c>
      <c r="AE56" t="s">
        <v>2304</v>
      </c>
      <c r="AF56" t="s">
        <v>2675</v>
      </c>
      <c r="AG56">
        <v>65801</v>
      </c>
      <c r="AH56">
        <v>13155</v>
      </c>
      <c r="AJ56">
        <v>1.99</v>
      </c>
      <c r="AK56" t="b">
        <v>1</v>
      </c>
    </row>
    <row r="57" spans="1:38">
      <c r="A57" s="1" t="s">
        <v>187</v>
      </c>
      <c r="B57" t="s">
        <v>558</v>
      </c>
      <c r="C57">
        <f>HYPERLINK("https://finance.naver.com/item/coinfo.nhn?code=008560", "A008560")</f>
        <v>0</v>
      </c>
      <c r="D57">
        <f>HYPERLINK("http://comp.fnguide.com/SVO2/ASP/SVD_Consensus.asp?pGB=1&amp;gicode=A008560&amp;cID=&amp;MenuYn=Y&amp;ReportGB=&amp;NewMenuID=108&amp;stkGb=701", "메리츠증권")</f>
        <v>0</v>
      </c>
      <c r="E57">
        <v>3</v>
      </c>
      <c r="F57">
        <v>4850</v>
      </c>
      <c r="G57">
        <v>0.42</v>
      </c>
      <c r="H57">
        <v>4.87</v>
      </c>
      <c r="I57">
        <v>14266</v>
      </c>
      <c r="J57">
        <v>11769</v>
      </c>
      <c r="K57">
        <v>10934</v>
      </c>
      <c r="L57">
        <v>-194.15</v>
      </c>
      <c r="M57">
        <v>-142.67</v>
      </c>
      <c r="N57">
        <v>-125.45</v>
      </c>
      <c r="O57">
        <v>14.76</v>
      </c>
      <c r="P57" t="b">
        <v>0</v>
      </c>
      <c r="Q57">
        <v>2</v>
      </c>
      <c r="R57">
        <v>1058</v>
      </c>
      <c r="S57">
        <v>1094</v>
      </c>
      <c r="T57">
        <v>3.4</v>
      </c>
      <c r="U57" t="s">
        <v>930</v>
      </c>
      <c r="V57" t="s">
        <v>1301</v>
      </c>
      <c r="W57">
        <v>11.52785619168652</v>
      </c>
      <c r="X57">
        <v>21.4</v>
      </c>
      <c r="Y57" t="s">
        <v>1660</v>
      </c>
      <c r="Z57">
        <v>15.64017058267462</v>
      </c>
      <c r="AA57">
        <v>31026</v>
      </c>
      <c r="AB57">
        <v>1157070</v>
      </c>
      <c r="AC57" t="s">
        <v>2014</v>
      </c>
      <c r="AD57">
        <v>52.39</v>
      </c>
      <c r="AE57" t="s">
        <v>2385</v>
      </c>
      <c r="AF57" t="s">
        <v>2755</v>
      </c>
      <c r="AG57">
        <v>17219</v>
      </c>
      <c r="AH57">
        <v>9489</v>
      </c>
      <c r="AI57">
        <v>103546493</v>
      </c>
      <c r="AJ57">
        <v>1.94</v>
      </c>
      <c r="AK57" t="b">
        <v>1</v>
      </c>
    </row>
    <row r="58" spans="1:38">
      <c r="A58" s="1" t="s">
        <v>365</v>
      </c>
      <c r="B58" t="s">
        <v>736</v>
      </c>
      <c r="C58">
        <f>HYPERLINK("https://finance.naver.com/item/coinfo.nhn?code=000060", "A000060")</f>
        <v>0</v>
      </c>
      <c r="D58">
        <f>HYPERLINK("http://comp.fnguide.com/SVO2/ASP/SVD_Consensus.asp?pGB=1&amp;gicode=A000060&amp;cID=&amp;MenuYn=Y&amp;ReportGB=&amp;NewMenuID=108&amp;stkGb=701", "메리츠화재")</f>
        <v>0</v>
      </c>
      <c r="E58">
        <v>1</v>
      </c>
      <c r="F58">
        <v>34500</v>
      </c>
      <c r="G58">
        <v>0</v>
      </c>
      <c r="H58">
        <v>6.13</v>
      </c>
      <c r="I58">
        <v>47214</v>
      </c>
      <c r="J58">
        <v>33824</v>
      </c>
      <c r="K58">
        <v>29346</v>
      </c>
      <c r="L58">
        <v>-36.85</v>
      </c>
      <c r="M58">
        <v>1.96</v>
      </c>
      <c r="N58">
        <v>14.94</v>
      </c>
      <c r="O58">
        <v>20.79</v>
      </c>
      <c r="P58" t="b">
        <v>0</v>
      </c>
      <c r="Q58">
        <v>0</v>
      </c>
      <c r="R58">
        <v>5471</v>
      </c>
      <c r="U58" t="s">
        <v>1108</v>
      </c>
      <c r="V58" t="s">
        <v>1479</v>
      </c>
      <c r="W58">
        <v>0</v>
      </c>
      <c r="X58">
        <v>43.3</v>
      </c>
      <c r="Y58" t="s">
        <v>1826</v>
      </c>
      <c r="Z58">
        <v>21.60454762428987</v>
      </c>
      <c r="AA58">
        <v>40297</v>
      </c>
      <c r="AB58">
        <v>176417</v>
      </c>
      <c r="AC58" t="s">
        <v>2192</v>
      </c>
      <c r="AD58">
        <v>58.15</v>
      </c>
      <c r="AE58" t="s">
        <v>2563</v>
      </c>
      <c r="AF58" t="s">
        <v>2929</v>
      </c>
      <c r="AG58">
        <v>100584</v>
      </c>
      <c r="AH58">
        <v>9076</v>
      </c>
      <c r="AI58">
        <v>12273952</v>
      </c>
      <c r="AJ58">
        <v>1.85</v>
      </c>
      <c r="AL58" t="b">
        <v>0</v>
      </c>
    </row>
    <row r="59" spans="1:38">
      <c r="A59" s="1" t="s">
        <v>267</v>
      </c>
      <c r="B59" t="s">
        <v>638</v>
      </c>
      <c r="C59">
        <f>HYPERLINK("https://finance.naver.com/item/coinfo.nhn?code=028670", "A028670")</f>
        <v>0</v>
      </c>
      <c r="D59">
        <f>HYPERLINK("http://comp.fnguide.com/SVO2/ASP/SVD_Consensus.asp?pGB=1&amp;gicode=A028670&amp;cID=&amp;MenuYn=Y&amp;ReportGB=&amp;NewMenuID=108&amp;stkGb=701", "팬오션")</f>
        <v>0</v>
      </c>
      <c r="E59">
        <v>3</v>
      </c>
      <c r="F59">
        <v>5650</v>
      </c>
      <c r="G59">
        <v>0.09</v>
      </c>
      <c r="H59">
        <v>5.26</v>
      </c>
      <c r="I59">
        <v>7082</v>
      </c>
      <c r="J59">
        <v>6888</v>
      </c>
      <c r="K59">
        <v>6823</v>
      </c>
      <c r="L59">
        <v>-25.35</v>
      </c>
      <c r="M59">
        <v>-21.91</v>
      </c>
      <c r="N59">
        <v>-20.76</v>
      </c>
      <c r="O59">
        <v>10.58</v>
      </c>
      <c r="P59" t="b">
        <v>1</v>
      </c>
      <c r="Q59">
        <v>2</v>
      </c>
      <c r="R59">
        <v>1028</v>
      </c>
      <c r="S59">
        <v>1187</v>
      </c>
      <c r="T59">
        <v>15.5</v>
      </c>
      <c r="U59" t="s">
        <v>1010</v>
      </c>
      <c r="V59" t="s">
        <v>1381</v>
      </c>
      <c r="W59">
        <v>61.08087304288872</v>
      </c>
      <c r="X59">
        <v>198.2</v>
      </c>
      <c r="Y59" t="s">
        <v>1736</v>
      </c>
      <c r="Z59">
        <v>62.80216851763654</v>
      </c>
      <c r="AA59">
        <v>30203</v>
      </c>
      <c r="AB59">
        <v>1834137</v>
      </c>
      <c r="AC59" t="s">
        <v>2094</v>
      </c>
      <c r="AD59">
        <v>54.77</v>
      </c>
      <c r="AE59" t="s">
        <v>2465</v>
      </c>
      <c r="AF59" t="s">
        <v>2834</v>
      </c>
      <c r="AG59">
        <v>46161</v>
      </c>
      <c r="AH59">
        <v>5729</v>
      </c>
      <c r="AJ59">
        <v>1.85</v>
      </c>
      <c r="AK59" t="b">
        <v>1</v>
      </c>
    </row>
    <row r="60" spans="1:38">
      <c r="A60" s="1" t="s">
        <v>268</v>
      </c>
      <c r="B60" t="s">
        <v>639</v>
      </c>
      <c r="C60">
        <f>HYPERLINK("https://finance.naver.com/item/coinfo.nhn?code=058430", "A058430")</f>
        <v>0</v>
      </c>
      <c r="D60">
        <f>HYPERLINK("http://comp.fnguide.com/SVO2/ASP/SVD_Consensus.asp?pGB=1&amp;gicode=A058430&amp;cID=&amp;MenuYn=Y&amp;ReportGB=&amp;NewMenuID=108&amp;stkGb=701", "포스코스틸리온")</f>
        <v>0</v>
      </c>
      <c r="E60">
        <v>3</v>
      </c>
      <c r="F60">
        <v>37100</v>
      </c>
      <c r="G60">
        <v>0</v>
      </c>
      <c r="H60">
        <v>3.22</v>
      </c>
      <c r="I60">
        <v>106460</v>
      </c>
      <c r="J60">
        <v>77455</v>
      </c>
      <c r="K60">
        <v>67755</v>
      </c>
      <c r="L60">
        <v>-186.95</v>
      </c>
      <c r="M60">
        <v>-108.77</v>
      </c>
      <c r="N60">
        <v>-82.63</v>
      </c>
      <c r="O60">
        <v>19.95</v>
      </c>
      <c r="P60" t="b">
        <v>1</v>
      </c>
      <c r="Q60">
        <v>0</v>
      </c>
      <c r="R60">
        <v>17070</v>
      </c>
      <c r="U60" t="s">
        <v>1011</v>
      </c>
      <c r="V60" t="s">
        <v>1382</v>
      </c>
      <c r="W60">
        <v>0</v>
      </c>
      <c r="X60">
        <v>92</v>
      </c>
      <c r="Y60" t="s">
        <v>1737</v>
      </c>
      <c r="Z60">
        <v>61.33913995321096</v>
      </c>
      <c r="AA60">
        <v>2226</v>
      </c>
      <c r="AB60">
        <v>80872</v>
      </c>
      <c r="AC60" t="s">
        <v>2095</v>
      </c>
      <c r="AD60">
        <v>56.87</v>
      </c>
      <c r="AE60" t="s">
        <v>2466</v>
      </c>
      <c r="AF60" t="s">
        <v>2835</v>
      </c>
      <c r="AG60">
        <v>13473</v>
      </c>
      <c r="AH60">
        <v>1433</v>
      </c>
      <c r="AJ60">
        <v>1.82</v>
      </c>
      <c r="AK60" t="b">
        <v>1</v>
      </c>
    </row>
    <row r="61" spans="1:38">
      <c r="A61" s="1" t="s">
        <v>384</v>
      </c>
      <c r="B61" t="s">
        <v>755</v>
      </c>
      <c r="C61">
        <f>HYPERLINK("https://finance.naver.com/item/coinfo.nhn?code=339770", "A339770")</f>
        <v>0</v>
      </c>
      <c r="D61">
        <f>HYPERLINK("http://comp.fnguide.com/SVO2/ASP/SVD_Consensus.asp?pGB=1&amp;gicode=A339770&amp;cID=&amp;MenuYn=Y&amp;ReportGB=&amp;NewMenuID=108&amp;stkGb=701", "교촌에프앤비")</f>
        <v>0</v>
      </c>
      <c r="E61">
        <v>1</v>
      </c>
      <c r="F61">
        <v>12300</v>
      </c>
      <c r="G61">
        <v>-4.95</v>
      </c>
      <c r="H61">
        <v>13.89</v>
      </c>
      <c r="I61">
        <v>16498</v>
      </c>
      <c r="J61">
        <v>11393</v>
      </c>
      <c r="K61">
        <v>9686</v>
      </c>
      <c r="L61">
        <v>-34.13</v>
      </c>
      <c r="M61">
        <v>7.37</v>
      </c>
      <c r="N61">
        <v>21.26</v>
      </c>
      <c r="O61">
        <v>23.04</v>
      </c>
      <c r="P61" t="b">
        <v>0</v>
      </c>
      <c r="Q61">
        <v>2</v>
      </c>
      <c r="R61">
        <v>1195</v>
      </c>
      <c r="S61">
        <v>1295</v>
      </c>
      <c r="T61">
        <v>8.4</v>
      </c>
      <c r="U61" t="s">
        <v>1127</v>
      </c>
      <c r="V61" t="s">
        <v>1498</v>
      </c>
      <c r="W61">
        <v>-2.805849590230247</v>
      </c>
      <c r="X61">
        <v>-15</v>
      </c>
      <c r="Y61" t="s">
        <v>1842</v>
      </c>
      <c r="Z61">
        <v>-42.81927181647711</v>
      </c>
      <c r="AA61">
        <v>3073</v>
      </c>
      <c r="AB61">
        <v>59890</v>
      </c>
      <c r="AC61" t="s">
        <v>2211</v>
      </c>
      <c r="AD61">
        <v>70.13</v>
      </c>
      <c r="AE61" t="s">
        <v>2582</v>
      </c>
      <c r="AF61" t="s">
        <v>2948</v>
      </c>
      <c r="AG61">
        <v>5076</v>
      </c>
      <c r="AH61">
        <v>410</v>
      </c>
      <c r="AJ61">
        <v>1.81</v>
      </c>
      <c r="AK61" t="b">
        <v>1</v>
      </c>
    </row>
    <row r="62" spans="1:38">
      <c r="A62" s="1" t="s">
        <v>91</v>
      </c>
      <c r="B62" t="s">
        <v>462</v>
      </c>
      <c r="C62">
        <f>HYPERLINK("https://finance.naver.com/item/coinfo.nhn?code=267980", "A267980")</f>
        <v>0</v>
      </c>
      <c r="D62">
        <f>HYPERLINK("http://comp.fnguide.com/SVO2/ASP/SVD_Consensus.asp?pGB=1&amp;gicode=A267980&amp;cID=&amp;MenuYn=Y&amp;ReportGB=&amp;NewMenuID=108&amp;stkGb=701", "매일유업")</f>
        <v>0</v>
      </c>
      <c r="E62">
        <v>3</v>
      </c>
      <c r="F62">
        <v>59400</v>
      </c>
      <c r="G62">
        <v>6.94</v>
      </c>
      <c r="H62">
        <v>7.26</v>
      </c>
      <c r="I62">
        <v>103906</v>
      </c>
      <c r="J62">
        <v>84255</v>
      </c>
      <c r="K62">
        <v>77682</v>
      </c>
      <c r="L62">
        <v>-74.93000000000001</v>
      </c>
      <c r="M62">
        <v>-41.84</v>
      </c>
      <c r="N62">
        <v>-30.78</v>
      </c>
      <c r="O62">
        <v>15.33</v>
      </c>
      <c r="P62" t="b">
        <v>1</v>
      </c>
      <c r="Q62">
        <v>0</v>
      </c>
      <c r="R62">
        <v>9466</v>
      </c>
      <c r="S62">
        <v>8461</v>
      </c>
      <c r="T62">
        <v>-10.6</v>
      </c>
      <c r="U62" t="s">
        <v>834</v>
      </c>
      <c r="V62" t="s">
        <v>1205</v>
      </c>
      <c r="W62">
        <v>1.046311212886253</v>
      </c>
      <c r="X62">
        <v>-45.1</v>
      </c>
      <c r="Y62" t="s">
        <v>1573</v>
      </c>
      <c r="Z62">
        <v>1.984580102364042</v>
      </c>
      <c r="AA62">
        <v>4659</v>
      </c>
      <c r="AB62">
        <v>10631</v>
      </c>
      <c r="AC62" t="s">
        <v>1918</v>
      </c>
      <c r="AD62">
        <v>56.51</v>
      </c>
      <c r="AE62" t="s">
        <v>2289</v>
      </c>
      <c r="AF62" t="s">
        <v>2660</v>
      </c>
      <c r="AG62">
        <v>15519</v>
      </c>
      <c r="AH62">
        <v>878</v>
      </c>
      <c r="AI62">
        <v>541507</v>
      </c>
      <c r="AJ62">
        <v>1.75</v>
      </c>
      <c r="AK62" t="b">
        <v>1</v>
      </c>
    </row>
    <row r="63" spans="1:38">
      <c r="A63" s="1" t="s">
        <v>261</v>
      </c>
      <c r="B63" t="s">
        <v>632</v>
      </c>
      <c r="C63">
        <f>HYPERLINK("https://finance.naver.com/item/coinfo.nhn?code=284740", "A284740")</f>
        <v>0</v>
      </c>
      <c r="D63">
        <f>HYPERLINK("http://comp.fnguide.com/SVO2/ASP/SVD_Consensus.asp?pGB=1&amp;gicode=A284740&amp;cID=&amp;MenuYn=Y&amp;ReportGB=&amp;NewMenuID=108&amp;stkGb=701", "쿠쿠홈시스")</f>
        <v>0</v>
      </c>
      <c r="E63">
        <v>3</v>
      </c>
      <c r="F63">
        <v>31500</v>
      </c>
      <c r="G63">
        <v>0</v>
      </c>
      <c r="H63">
        <v>5.78</v>
      </c>
      <c r="I63">
        <v>60904</v>
      </c>
      <c r="J63">
        <v>43276</v>
      </c>
      <c r="K63">
        <v>37381</v>
      </c>
      <c r="L63">
        <v>-93.34999999999999</v>
      </c>
      <c r="M63">
        <v>-37.39</v>
      </c>
      <c r="N63">
        <v>-18.67</v>
      </c>
      <c r="O63">
        <v>21.26</v>
      </c>
      <c r="P63" t="b">
        <v>1</v>
      </c>
      <c r="Q63">
        <v>0</v>
      </c>
      <c r="R63">
        <v>6780</v>
      </c>
      <c r="U63" t="s">
        <v>1004</v>
      </c>
      <c r="V63" t="s">
        <v>1375</v>
      </c>
      <c r="W63">
        <v>0</v>
      </c>
      <c r="X63">
        <v>-25.7</v>
      </c>
      <c r="Y63" t="s">
        <v>1730</v>
      </c>
      <c r="Z63">
        <v>118.7446140643382</v>
      </c>
      <c r="AA63">
        <v>7068</v>
      </c>
      <c r="AB63">
        <v>15456</v>
      </c>
      <c r="AC63" t="s">
        <v>2088</v>
      </c>
      <c r="AD63">
        <v>70.09</v>
      </c>
      <c r="AE63" t="s">
        <v>2459</v>
      </c>
      <c r="AF63" t="s">
        <v>2828</v>
      </c>
      <c r="AG63">
        <v>8932</v>
      </c>
      <c r="AH63">
        <v>1786</v>
      </c>
      <c r="AI63">
        <v>14950</v>
      </c>
      <c r="AJ63">
        <v>1.66</v>
      </c>
      <c r="AK63" t="b">
        <v>1</v>
      </c>
    </row>
    <row r="64" spans="1:38">
      <c r="A64" s="1" t="s">
        <v>259</v>
      </c>
      <c r="B64" t="s">
        <v>630</v>
      </c>
      <c r="C64">
        <f>HYPERLINK("https://finance.naver.com/item/coinfo.nhn?code=002020", "A002020")</f>
        <v>0</v>
      </c>
      <c r="D64">
        <f>HYPERLINK("http://comp.fnguide.com/SVO2/ASP/SVD_Consensus.asp?pGB=1&amp;gicode=A002020&amp;cID=&amp;MenuYn=Y&amp;ReportGB=&amp;NewMenuID=108&amp;stkGb=701", "코오롱")</f>
        <v>0</v>
      </c>
      <c r="E64">
        <v>3</v>
      </c>
      <c r="F64">
        <v>25050</v>
      </c>
      <c r="G64">
        <v>0</v>
      </c>
      <c r="H64">
        <v>3.26</v>
      </c>
      <c r="I64">
        <v>112646</v>
      </c>
      <c r="J64">
        <v>89037</v>
      </c>
      <c r="K64">
        <v>81140</v>
      </c>
      <c r="L64">
        <v>-349.69</v>
      </c>
      <c r="M64">
        <v>-255.44</v>
      </c>
      <c r="N64">
        <v>-223.91</v>
      </c>
      <c r="O64">
        <v>16.26</v>
      </c>
      <c r="P64" t="b">
        <v>1</v>
      </c>
      <c r="Q64">
        <v>0</v>
      </c>
      <c r="R64">
        <v>10129</v>
      </c>
      <c r="U64" t="s">
        <v>1002</v>
      </c>
      <c r="V64" t="s">
        <v>1373</v>
      </c>
      <c r="W64">
        <v>0</v>
      </c>
      <c r="X64">
        <v>46.6</v>
      </c>
      <c r="Y64" t="s">
        <v>1728</v>
      </c>
      <c r="Z64">
        <v>0</v>
      </c>
      <c r="AA64">
        <v>3163</v>
      </c>
      <c r="AB64">
        <v>12711</v>
      </c>
      <c r="AC64" t="s">
        <v>2086</v>
      </c>
      <c r="AD64">
        <v>52.14</v>
      </c>
      <c r="AE64" t="s">
        <v>2457</v>
      </c>
      <c r="AF64" t="s">
        <v>2826</v>
      </c>
      <c r="AG64">
        <v>54104</v>
      </c>
      <c r="AH64">
        <v>3322</v>
      </c>
      <c r="AJ64">
        <v>1.66</v>
      </c>
      <c r="AK64" t="b">
        <v>1</v>
      </c>
    </row>
    <row r="65" spans="1:37">
      <c r="A65" s="1" t="s">
        <v>125</v>
      </c>
      <c r="B65" t="s">
        <v>496</v>
      </c>
      <c r="C65">
        <f>HYPERLINK("https://finance.naver.com/item/coinfo.nhn?code=199820", "A199820")</f>
        <v>0</v>
      </c>
      <c r="D65">
        <f>HYPERLINK("http://comp.fnguide.com/SVO2/ASP/SVD_Consensus.asp?pGB=1&amp;gicode=A199820&amp;cID=&amp;MenuYn=Y&amp;ReportGB=&amp;NewMenuID=108&amp;stkGb=701", "제일전기공업")</f>
        <v>0</v>
      </c>
      <c r="E65">
        <v>3</v>
      </c>
      <c r="F65">
        <v>11650</v>
      </c>
      <c r="G65">
        <v>0</v>
      </c>
      <c r="H65">
        <v>15.71</v>
      </c>
      <c r="I65">
        <v>16401</v>
      </c>
      <c r="J65">
        <v>13135</v>
      </c>
      <c r="K65">
        <v>12042</v>
      </c>
      <c r="L65">
        <v>-40.78</v>
      </c>
      <c r="M65">
        <v>-12.74</v>
      </c>
      <c r="N65">
        <v>-3.37</v>
      </c>
      <c r="O65">
        <v>15.77</v>
      </c>
      <c r="P65" t="b">
        <v>1</v>
      </c>
      <c r="Q65">
        <v>0</v>
      </c>
      <c r="R65">
        <v>1162</v>
      </c>
      <c r="U65" t="s">
        <v>868</v>
      </c>
      <c r="V65" t="s">
        <v>1239</v>
      </c>
      <c r="W65">
        <v>0</v>
      </c>
      <c r="X65">
        <v>-33.7</v>
      </c>
      <c r="Y65" t="s">
        <v>1604</v>
      </c>
      <c r="Z65">
        <v>-13.46551913044499</v>
      </c>
      <c r="AA65">
        <v>1294</v>
      </c>
      <c r="AB65">
        <v>6764</v>
      </c>
      <c r="AC65" t="s">
        <v>1952</v>
      </c>
      <c r="AD65">
        <v>60.52</v>
      </c>
      <c r="AE65" t="s">
        <v>2323</v>
      </c>
      <c r="AF65" t="s">
        <v>2694</v>
      </c>
      <c r="AG65">
        <v>1472</v>
      </c>
      <c r="AH65">
        <v>129</v>
      </c>
      <c r="AJ65">
        <v>1.64</v>
      </c>
      <c r="AK65" t="b">
        <v>1</v>
      </c>
    </row>
    <row r="66" spans="1:37">
      <c r="A66" s="1" t="s">
        <v>227</v>
      </c>
      <c r="B66" t="s">
        <v>598</v>
      </c>
      <c r="C66">
        <f>HYPERLINK("https://finance.naver.com/item/coinfo.nhn?code=001390", "A001390")</f>
        <v>0</v>
      </c>
      <c r="D66">
        <f>HYPERLINK("http://comp.fnguide.com/SVO2/ASP/SVD_Consensus.asp?pGB=1&amp;gicode=A001390&amp;cID=&amp;MenuYn=Y&amp;ReportGB=&amp;NewMenuID=108&amp;stkGb=701", "KG케미칼")</f>
        <v>0</v>
      </c>
      <c r="E66">
        <v>3</v>
      </c>
      <c r="F66">
        <v>28100</v>
      </c>
      <c r="G66">
        <v>0</v>
      </c>
      <c r="H66">
        <v>5.71</v>
      </c>
      <c r="I66">
        <v>61915</v>
      </c>
      <c r="J66">
        <v>46782</v>
      </c>
      <c r="K66">
        <v>41720</v>
      </c>
      <c r="L66">
        <v>-120.34</v>
      </c>
      <c r="M66">
        <v>-66.48</v>
      </c>
      <c r="N66">
        <v>-48.47</v>
      </c>
      <c r="O66">
        <v>18.12</v>
      </c>
      <c r="P66" t="b">
        <v>1</v>
      </c>
      <c r="Q66">
        <v>0</v>
      </c>
      <c r="R66">
        <v>5389</v>
      </c>
      <c r="U66" t="s">
        <v>970</v>
      </c>
      <c r="V66" t="s">
        <v>1341</v>
      </c>
      <c r="W66">
        <v>0</v>
      </c>
      <c r="X66">
        <v>-39.1</v>
      </c>
      <c r="Y66" t="s">
        <v>1698</v>
      </c>
      <c r="Z66">
        <v>55.34070495148724</v>
      </c>
      <c r="AA66">
        <v>3896</v>
      </c>
      <c r="AB66">
        <v>640906</v>
      </c>
      <c r="AC66" t="s">
        <v>2054</v>
      </c>
      <c r="AD66">
        <v>50.17</v>
      </c>
      <c r="AE66" t="s">
        <v>2425</v>
      </c>
      <c r="AF66" t="s">
        <v>2795</v>
      </c>
      <c r="AG66">
        <v>49315</v>
      </c>
      <c r="AH66">
        <v>4672</v>
      </c>
      <c r="AI66">
        <v>70148</v>
      </c>
      <c r="AJ66">
        <v>1.63</v>
      </c>
      <c r="AK66" t="b">
        <v>1</v>
      </c>
    </row>
    <row r="67" spans="1:37">
      <c r="A67" s="1" t="s">
        <v>80</v>
      </c>
      <c r="B67" t="s">
        <v>451</v>
      </c>
      <c r="C67">
        <f>HYPERLINK("https://finance.naver.com/item/coinfo.nhn?code=066620", "A066620")</f>
        <v>0</v>
      </c>
      <c r="D67">
        <f>HYPERLINK("http://comp.fnguide.com/SVO2/ASP/SVD_Consensus.asp?pGB=1&amp;gicode=A066620&amp;cID=&amp;MenuYn=Y&amp;ReportGB=&amp;NewMenuID=108&amp;stkGb=701", "국보디자인")</f>
        <v>0</v>
      </c>
      <c r="E67">
        <v>3</v>
      </c>
      <c r="F67">
        <v>17100</v>
      </c>
      <c r="G67">
        <v>0</v>
      </c>
      <c r="H67">
        <v>8.06</v>
      </c>
      <c r="I67">
        <v>39134</v>
      </c>
      <c r="J67">
        <v>35815</v>
      </c>
      <c r="K67">
        <v>34705</v>
      </c>
      <c r="L67">
        <v>-128.86</v>
      </c>
      <c r="M67">
        <v>-109.45</v>
      </c>
      <c r="N67">
        <v>-102.96</v>
      </c>
      <c r="O67">
        <v>11.89</v>
      </c>
      <c r="P67" t="b">
        <v>1</v>
      </c>
      <c r="Q67">
        <v>0</v>
      </c>
      <c r="R67">
        <v>2606</v>
      </c>
      <c r="U67" t="s">
        <v>823</v>
      </c>
      <c r="V67" t="s">
        <v>1194</v>
      </c>
      <c r="W67">
        <v>0</v>
      </c>
      <c r="X67">
        <v>2.3</v>
      </c>
      <c r="Y67" t="s">
        <v>1562</v>
      </c>
      <c r="Z67">
        <v>8.423162489036894</v>
      </c>
      <c r="AA67">
        <v>1283</v>
      </c>
      <c r="AB67">
        <v>7564</v>
      </c>
      <c r="AC67" t="s">
        <v>1907</v>
      </c>
      <c r="AD67">
        <v>53.09</v>
      </c>
      <c r="AE67" t="s">
        <v>2278</v>
      </c>
      <c r="AF67" t="s">
        <v>2649</v>
      </c>
      <c r="AG67">
        <v>3230</v>
      </c>
      <c r="AH67">
        <v>257</v>
      </c>
      <c r="AI67">
        <v>627314</v>
      </c>
      <c r="AJ67">
        <v>1.62</v>
      </c>
      <c r="AK67" t="b">
        <v>1</v>
      </c>
    </row>
    <row r="68" spans="1:37">
      <c r="A68" s="1" t="s">
        <v>74</v>
      </c>
      <c r="B68" t="s">
        <v>445</v>
      </c>
      <c r="C68">
        <f>HYPERLINK("https://finance.naver.com/item/coinfo.nhn?code=121440", "A121440")</f>
        <v>0</v>
      </c>
      <c r="D68">
        <f>HYPERLINK("http://comp.fnguide.com/SVO2/ASP/SVD_Consensus.asp?pGB=1&amp;gicode=A121440&amp;cID=&amp;MenuYn=Y&amp;ReportGB=&amp;NewMenuID=108&amp;stkGb=701", "골프존뉴딘홀딩스")</f>
        <v>0</v>
      </c>
      <c r="E68">
        <v>3</v>
      </c>
      <c r="F68">
        <v>6990</v>
      </c>
      <c r="G68">
        <v>0</v>
      </c>
      <c r="H68">
        <v>2.84</v>
      </c>
      <c r="I68">
        <v>20458</v>
      </c>
      <c r="J68">
        <v>16921</v>
      </c>
      <c r="K68">
        <v>15738</v>
      </c>
      <c r="L68">
        <v>-192.67</v>
      </c>
      <c r="M68">
        <v>-142.07</v>
      </c>
      <c r="N68">
        <v>-125.14</v>
      </c>
      <c r="O68">
        <v>14.67</v>
      </c>
      <c r="P68" t="b">
        <v>1</v>
      </c>
      <c r="Q68">
        <v>0</v>
      </c>
      <c r="R68">
        <v>3146</v>
      </c>
      <c r="U68" t="s">
        <v>817</v>
      </c>
      <c r="V68" t="s">
        <v>1188</v>
      </c>
      <c r="W68">
        <v>0</v>
      </c>
      <c r="X68">
        <v>107.2</v>
      </c>
      <c r="Y68" t="s">
        <v>1558</v>
      </c>
      <c r="Z68">
        <v>0</v>
      </c>
      <c r="AA68">
        <v>2994</v>
      </c>
      <c r="AB68">
        <v>33692</v>
      </c>
      <c r="AC68" t="s">
        <v>1901</v>
      </c>
      <c r="AD68">
        <v>55.54</v>
      </c>
      <c r="AE68" t="s">
        <v>2272</v>
      </c>
      <c r="AF68" t="s">
        <v>2643</v>
      </c>
      <c r="AG68">
        <v>4177</v>
      </c>
      <c r="AH68">
        <v>732</v>
      </c>
      <c r="AI68">
        <v>77616</v>
      </c>
      <c r="AJ68">
        <v>1.57</v>
      </c>
      <c r="AK68" t="b">
        <v>1</v>
      </c>
    </row>
    <row r="69" spans="1:37">
      <c r="A69" s="1" t="s">
        <v>312</v>
      </c>
      <c r="B69" t="s">
        <v>683</v>
      </c>
      <c r="C69">
        <f>HYPERLINK("https://finance.naver.com/item/coinfo.nhn?code=033290", "A033290")</f>
        <v>0</v>
      </c>
      <c r="D69">
        <f>HYPERLINK("http://comp.fnguide.com/SVO2/ASP/SVD_Consensus.asp?pGB=1&amp;gicode=A033290&amp;cID=&amp;MenuYn=Y&amp;ReportGB=&amp;NewMenuID=108&amp;stkGb=701", "코웰패션")</f>
        <v>0</v>
      </c>
      <c r="E69">
        <v>2</v>
      </c>
      <c r="F69">
        <v>6740</v>
      </c>
      <c r="G69">
        <v>0</v>
      </c>
      <c r="H69">
        <v>11.76</v>
      </c>
      <c r="I69">
        <v>10326</v>
      </c>
      <c r="J69">
        <v>7470</v>
      </c>
      <c r="K69">
        <v>6515</v>
      </c>
      <c r="L69">
        <v>-53.21</v>
      </c>
      <c r="M69">
        <v>-10.83</v>
      </c>
      <c r="N69">
        <v>3.34</v>
      </c>
      <c r="O69">
        <v>20.26</v>
      </c>
      <c r="P69" t="b">
        <v>1</v>
      </c>
      <c r="Q69">
        <v>0</v>
      </c>
      <c r="R69">
        <v>719</v>
      </c>
      <c r="U69" t="s">
        <v>1055</v>
      </c>
      <c r="V69" t="s">
        <v>1426</v>
      </c>
      <c r="W69">
        <v>0</v>
      </c>
      <c r="X69">
        <v>7.9</v>
      </c>
      <c r="Y69" t="s">
        <v>1778</v>
      </c>
      <c r="Z69">
        <v>9.912718045087088</v>
      </c>
      <c r="AA69">
        <v>5965</v>
      </c>
      <c r="AB69">
        <v>245771</v>
      </c>
      <c r="AC69" t="s">
        <v>2139</v>
      </c>
      <c r="AD69">
        <v>70.98</v>
      </c>
      <c r="AE69" t="s">
        <v>2510</v>
      </c>
      <c r="AF69" t="s">
        <v>2878</v>
      </c>
      <c r="AG69">
        <v>6740</v>
      </c>
      <c r="AH69">
        <v>924</v>
      </c>
      <c r="AI69">
        <v>2955031</v>
      </c>
      <c r="AJ69">
        <v>1.54</v>
      </c>
      <c r="AK69" t="b">
        <v>1</v>
      </c>
    </row>
    <row r="70" spans="1:37">
      <c r="A70" s="1" t="s">
        <v>78</v>
      </c>
      <c r="B70" t="s">
        <v>449</v>
      </c>
      <c r="C70">
        <f>HYPERLINK("https://finance.naver.com/item/coinfo.nhn?code=293580", "A293580")</f>
        <v>0</v>
      </c>
      <c r="D70">
        <f>HYPERLINK("http://comp.fnguide.com/SVO2/ASP/SVD_Consensus.asp?pGB=1&amp;gicode=A293580&amp;cID=&amp;MenuYn=Y&amp;ReportGB=&amp;NewMenuID=108&amp;stkGb=701", "나우IB")</f>
        <v>0</v>
      </c>
      <c r="E70">
        <v>3</v>
      </c>
      <c r="F70">
        <v>8330</v>
      </c>
      <c r="G70">
        <v>0</v>
      </c>
      <c r="H70">
        <v>7.7</v>
      </c>
      <c r="I70">
        <v>10973</v>
      </c>
      <c r="J70">
        <v>10055</v>
      </c>
      <c r="K70">
        <v>9748</v>
      </c>
      <c r="L70">
        <v>-31.73</v>
      </c>
      <c r="M70">
        <v>-20.71</v>
      </c>
      <c r="N70">
        <v>-17.02</v>
      </c>
      <c r="O70">
        <v>11.86</v>
      </c>
      <c r="P70" t="b">
        <v>0</v>
      </c>
      <c r="Q70">
        <v>0</v>
      </c>
      <c r="R70">
        <v>1325</v>
      </c>
      <c r="U70" t="s">
        <v>821</v>
      </c>
      <c r="V70" t="s">
        <v>1192</v>
      </c>
      <c r="W70">
        <v>0</v>
      </c>
      <c r="Y70" t="s">
        <v>1536</v>
      </c>
      <c r="Z70">
        <v>0.8796481250032739</v>
      </c>
      <c r="AA70">
        <v>798</v>
      </c>
      <c r="AB70">
        <v>20750</v>
      </c>
      <c r="AC70" t="s">
        <v>1905</v>
      </c>
      <c r="AD70">
        <v>72</v>
      </c>
      <c r="AE70" t="s">
        <v>2276</v>
      </c>
      <c r="AF70" t="s">
        <v>2647</v>
      </c>
      <c r="AG70">
        <v>265</v>
      </c>
      <c r="AH70">
        <v>162</v>
      </c>
      <c r="AI70">
        <v>168405</v>
      </c>
      <c r="AJ70">
        <v>1.47</v>
      </c>
      <c r="AK70" t="b">
        <v>1</v>
      </c>
    </row>
    <row r="71" spans="1:37">
      <c r="A71" s="1" t="s">
        <v>210</v>
      </c>
      <c r="B71" t="s">
        <v>581</v>
      </c>
      <c r="C71">
        <f>HYPERLINK("https://finance.naver.com/item/coinfo.nhn?code=016590", "A016590")</f>
        <v>0</v>
      </c>
      <c r="D71">
        <f>HYPERLINK("http://comp.fnguide.com/SVO2/ASP/SVD_Consensus.asp?pGB=1&amp;gicode=A016590&amp;cID=&amp;MenuYn=Y&amp;ReportGB=&amp;NewMenuID=108&amp;stkGb=701", "신대양제지")</f>
        <v>0</v>
      </c>
      <c r="E71">
        <v>3</v>
      </c>
      <c r="F71">
        <v>88400</v>
      </c>
      <c r="G71">
        <v>0</v>
      </c>
      <c r="H71">
        <v>6.38</v>
      </c>
      <c r="I71">
        <v>156095</v>
      </c>
      <c r="J71">
        <v>146809</v>
      </c>
      <c r="K71">
        <v>143703</v>
      </c>
      <c r="L71">
        <v>-76.58</v>
      </c>
      <c r="M71">
        <v>-66.06999999999999</v>
      </c>
      <c r="N71">
        <v>-62.56</v>
      </c>
      <c r="O71">
        <v>11.27</v>
      </c>
      <c r="P71" t="b">
        <v>1</v>
      </c>
      <c r="Q71">
        <v>0</v>
      </c>
      <c r="R71">
        <v>13429</v>
      </c>
      <c r="U71" t="s">
        <v>953</v>
      </c>
      <c r="V71" t="s">
        <v>1324</v>
      </c>
      <c r="W71">
        <v>0</v>
      </c>
      <c r="X71">
        <v>-50.1</v>
      </c>
      <c r="Y71" t="s">
        <v>1682</v>
      </c>
      <c r="Z71">
        <v>-0.9695076142558934</v>
      </c>
      <c r="AA71">
        <v>3562</v>
      </c>
      <c r="AB71">
        <v>757</v>
      </c>
      <c r="AC71" t="s">
        <v>2037</v>
      </c>
      <c r="AD71">
        <v>54.34</v>
      </c>
      <c r="AE71" t="s">
        <v>2408</v>
      </c>
      <c r="AF71" t="s">
        <v>2778</v>
      </c>
      <c r="AG71">
        <v>6816</v>
      </c>
      <c r="AH71">
        <v>544</v>
      </c>
      <c r="AI71">
        <v>422855</v>
      </c>
      <c r="AJ71">
        <v>1.46</v>
      </c>
      <c r="AK71" t="b">
        <v>1</v>
      </c>
    </row>
    <row r="72" spans="1:37">
      <c r="A72" s="1" t="s">
        <v>101</v>
      </c>
      <c r="B72" t="s">
        <v>472</v>
      </c>
      <c r="C72">
        <f>HYPERLINK("https://finance.naver.com/item/coinfo.nhn?code=060380", "A060380")</f>
        <v>0</v>
      </c>
      <c r="D72">
        <f>HYPERLINK("http://comp.fnguide.com/SVO2/ASP/SVD_Consensus.asp?pGB=1&amp;gicode=A060380&amp;cID=&amp;MenuYn=Y&amp;ReportGB=&amp;NewMenuID=108&amp;stkGb=701", "동양에스텍")</f>
        <v>0</v>
      </c>
      <c r="E72">
        <v>3</v>
      </c>
      <c r="F72">
        <v>2730</v>
      </c>
      <c r="G72">
        <v>0</v>
      </c>
      <c r="H72">
        <v>3.8</v>
      </c>
      <c r="I72">
        <v>6739</v>
      </c>
      <c r="J72">
        <v>5102</v>
      </c>
      <c r="K72">
        <v>4555</v>
      </c>
      <c r="L72">
        <v>-146.86</v>
      </c>
      <c r="M72">
        <v>-86.89</v>
      </c>
      <c r="N72">
        <v>-66.83</v>
      </c>
      <c r="O72">
        <v>18.03</v>
      </c>
      <c r="P72" t="b">
        <v>1</v>
      </c>
      <c r="Q72">
        <v>0</v>
      </c>
      <c r="R72">
        <v>918</v>
      </c>
      <c r="U72" t="s">
        <v>844</v>
      </c>
      <c r="V72" t="s">
        <v>1215</v>
      </c>
      <c r="W72">
        <v>0</v>
      </c>
      <c r="X72">
        <v>-49.1</v>
      </c>
      <c r="Y72" t="s">
        <v>1581</v>
      </c>
      <c r="Z72">
        <v>0</v>
      </c>
      <c r="AA72">
        <v>538</v>
      </c>
      <c r="AB72">
        <v>178758</v>
      </c>
      <c r="AC72" t="s">
        <v>1928</v>
      </c>
      <c r="AD72">
        <v>54.83</v>
      </c>
      <c r="AE72" t="s">
        <v>2299</v>
      </c>
      <c r="AF72" t="s">
        <v>2670</v>
      </c>
      <c r="AG72">
        <v>2424</v>
      </c>
      <c r="AH72">
        <v>228</v>
      </c>
      <c r="AI72">
        <v>400000</v>
      </c>
      <c r="AJ72">
        <v>1.43</v>
      </c>
      <c r="AK72" t="b">
        <v>1</v>
      </c>
    </row>
    <row r="73" spans="1:37">
      <c r="A73" s="1" t="s">
        <v>133</v>
      </c>
      <c r="B73" t="s">
        <v>504</v>
      </c>
      <c r="C73">
        <f>HYPERLINK("https://finance.naver.com/item/coinfo.nhn?code=034810", "A034810")</f>
        <v>0</v>
      </c>
      <c r="D73">
        <f>HYPERLINK("http://comp.fnguide.com/SVO2/ASP/SVD_Consensus.asp?pGB=1&amp;gicode=A034810&amp;cID=&amp;MenuYn=Y&amp;ReportGB=&amp;NewMenuID=108&amp;stkGb=701", "해성산업")</f>
        <v>0</v>
      </c>
      <c r="E73">
        <v>3</v>
      </c>
      <c r="F73">
        <v>11450</v>
      </c>
      <c r="G73">
        <v>0</v>
      </c>
      <c r="H73">
        <v>6.95</v>
      </c>
      <c r="I73">
        <v>99499</v>
      </c>
      <c r="J73">
        <v>60586</v>
      </c>
      <c r="K73">
        <v>47572</v>
      </c>
      <c r="L73">
        <v>-768.99</v>
      </c>
      <c r="M73">
        <v>-429.13</v>
      </c>
      <c r="N73">
        <v>-315.47</v>
      </c>
      <c r="O73">
        <v>34.96</v>
      </c>
      <c r="P73" t="b">
        <v>0</v>
      </c>
      <c r="Q73">
        <v>0</v>
      </c>
      <c r="R73">
        <v>1987</v>
      </c>
      <c r="U73" t="s">
        <v>876</v>
      </c>
      <c r="V73" t="s">
        <v>1247</v>
      </c>
      <c r="W73">
        <v>0</v>
      </c>
      <c r="X73">
        <v>-68.09999999999999</v>
      </c>
      <c r="Y73" t="s">
        <v>1612</v>
      </c>
      <c r="Z73">
        <v>12.69022541811291</v>
      </c>
      <c r="AA73">
        <v>3018</v>
      </c>
      <c r="AB73">
        <v>29799</v>
      </c>
      <c r="AC73" t="s">
        <v>1960</v>
      </c>
      <c r="AD73">
        <v>63.76</v>
      </c>
      <c r="AE73" t="s">
        <v>2331</v>
      </c>
      <c r="AF73" t="s">
        <v>2702</v>
      </c>
      <c r="AG73">
        <v>18729</v>
      </c>
      <c r="AH73">
        <v>934</v>
      </c>
      <c r="AI73">
        <v>764637</v>
      </c>
      <c r="AJ73">
        <v>1.27</v>
      </c>
      <c r="AK73" t="b">
        <v>1</v>
      </c>
    </row>
    <row r="74" spans="1:37">
      <c r="A74" s="1" t="s">
        <v>347</v>
      </c>
      <c r="B74" t="s">
        <v>718</v>
      </c>
      <c r="C74">
        <f>HYPERLINK("https://finance.naver.com/item/coinfo.nhn?code=200130", "A200130")</f>
        <v>0</v>
      </c>
      <c r="D74">
        <f>HYPERLINK("http://comp.fnguide.com/SVO2/ASP/SVD_Consensus.asp?pGB=1&amp;gicode=A200130&amp;cID=&amp;MenuYn=Y&amp;ReportGB=&amp;NewMenuID=108&amp;stkGb=701", "콜마비앤에이치")</f>
        <v>0</v>
      </c>
      <c r="E74">
        <v>1</v>
      </c>
      <c r="F74">
        <v>27150</v>
      </c>
      <c r="G74">
        <v>1.47</v>
      </c>
      <c r="H74">
        <v>13.13</v>
      </c>
      <c r="I74">
        <v>29997</v>
      </c>
      <c r="J74">
        <v>20695</v>
      </c>
      <c r="K74">
        <v>17584</v>
      </c>
      <c r="L74">
        <v>-10.48</v>
      </c>
      <c r="M74">
        <v>23.78</v>
      </c>
      <c r="N74">
        <v>35.23</v>
      </c>
      <c r="O74">
        <v>23.1</v>
      </c>
      <c r="P74" t="b">
        <v>1</v>
      </c>
      <c r="Q74">
        <v>1</v>
      </c>
      <c r="R74">
        <v>2365</v>
      </c>
      <c r="S74">
        <v>2384</v>
      </c>
      <c r="T74">
        <v>0.8</v>
      </c>
      <c r="U74" t="s">
        <v>1090</v>
      </c>
      <c r="V74" t="s">
        <v>1461</v>
      </c>
      <c r="W74">
        <v>8.923164659362604</v>
      </c>
      <c r="X74">
        <v>-40.1</v>
      </c>
      <c r="Y74" t="s">
        <v>1810</v>
      </c>
      <c r="Z74">
        <v>-1.783834324195943</v>
      </c>
      <c r="AA74">
        <v>8021</v>
      </c>
      <c r="AB74">
        <v>46680</v>
      </c>
      <c r="AC74" t="s">
        <v>2174</v>
      </c>
      <c r="AD74">
        <v>52.78</v>
      </c>
      <c r="AE74" t="s">
        <v>2545</v>
      </c>
      <c r="AF74" t="s">
        <v>2911</v>
      </c>
      <c r="AG74">
        <v>5931</v>
      </c>
      <c r="AH74">
        <v>916</v>
      </c>
      <c r="AI74">
        <v>2166</v>
      </c>
      <c r="AJ74">
        <v>1.24</v>
      </c>
      <c r="AK74" t="b">
        <v>1</v>
      </c>
    </row>
    <row r="75" spans="1:37">
      <c r="A75" s="1" t="s">
        <v>82</v>
      </c>
      <c r="B75" t="s">
        <v>453</v>
      </c>
      <c r="C75">
        <f>HYPERLINK("https://finance.naver.com/item/coinfo.nhn?code=270870", "A270870")</f>
        <v>0</v>
      </c>
      <c r="D75">
        <f>HYPERLINK("http://comp.fnguide.com/SVO2/ASP/SVD_Consensus.asp?pGB=1&amp;gicode=A270870&amp;cID=&amp;MenuYn=Y&amp;ReportGB=&amp;NewMenuID=108&amp;stkGb=701", "뉴트리")</f>
        <v>0</v>
      </c>
      <c r="E75">
        <v>3</v>
      </c>
      <c r="F75">
        <v>12500</v>
      </c>
      <c r="G75">
        <v>0</v>
      </c>
      <c r="H75">
        <v>10.16</v>
      </c>
      <c r="I75">
        <v>25818</v>
      </c>
      <c r="J75">
        <v>17340</v>
      </c>
      <c r="K75">
        <v>14505</v>
      </c>
      <c r="L75">
        <v>-106.54</v>
      </c>
      <c r="M75">
        <v>-38.72</v>
      </c>
      <c r="N75">
        <v>-16.04</v>
      </c>
      <c r="O75">
        <v>25.02</v>
      </c>
      <c r="P75" t="b">
        <v>1</v>
      </c>
      <c r="Q75">
        <v>0</v>
      </c>
      <c r="R75">
        <v>2161</v>
      </c>
      <c r="U75" t="s">
        <v>825</v>
      </c>
      <c r="V75" t="s">
        <v>1196</v>
      </c>
      <c r="W75">
        <v>0</v>
      </c>
      <c r="X75">
        <v>-45.1</v>
      </c>
      <c r="Y75" t="s">
        <v>1564</v>
      </c>
      <c r="Z75">
        <v>28.69740777525431</v>
      </c>
      <c r="AA75">
        <v>1150</v>
      </c>
      <c r="AB75">
        <v>175468</v>
      </c>
      <c r="AC75" t="s">
        <v>1909</v>
      </c>
      <c r="AD75">
        <v>50.04</v>
      </c>
      <c r="AE75" t="s">
        <v>2280</v>
      </c>
      <c r="AF75" t="s">
        <v>2651</v>
      </c>
      <c r="AG75">
        <v>2475</v>
      </c>
      <c r="AH75">
        <v>208</v>
      </c>
      <c r="AI75">
        <v>205378</v>
      </c>
      <c r="AJ75">
        <v>1.14</v>
      </c>
      <c r="AK75" t="b">
        <v>1</v>
      </c>
    </row>
    <row r="76" spans="1:37">
      <c r="A76" s="1" t="s">
        <v>40</v>
      </c>
      <c r="B76" t="s">
        <v>411</v>
      </c>
      <c r="C76">
        <f>HYPERLINK("https://finance.naver.com/item/coinfo.nhn?code=140070", "A140070")</f>
        <v>0</v>
      </c>
      <c r="D76">
        <f>HYPERLINK("http://comp.fnguide.com/SVO2/ASP/SVD_Consensus.asp?pGB=1&amp;gicode=A140070&amp;cID=&amp;MenuYn=Y&amp;ReportGB=&amp;NewMenuID=108&amp;stkGb=701", "서플러스글로벌")</f>
        <v>0</v>
      </c>
      <c r="E76">
        <v>3</v>
      </c>
      <c r="F76">
        <v>3685</v>
      </c>
      <c r="G76">
        <v>0</v>
      </c>
      <c r="H76">
        <v>5.85</v>
      </c>
      <c r="I76">
        <v>5766</v>
      </c>
      <c r="J76">
        <v>5115</v>
      </c>
      <c r="K76">
        <v>4897</v>
      </c>
      <c r="L76">
        <v>-56.46</v>
      </c>
      <c r="M76">
        <v>-38.8</v>
      </c>
      <c r="N76">
        <v>-32.9</v>
      </c>
      <c r="O76">
        <v>12.65</v>
      </c>
      <c r="P76" t="b">
        <v>1</v>
      </c>
      <c r="Q76">
        <v>0</v>
      </c>
      <c r="R76">
        <v>749</v>
      </c>
      <c r="U76" t="s">
        <v>783</v>
      </c>
      <c r="V76" t="s">
        <v>1154</v>
      </c>
      <c r="W76">
        <v>0</v>
      </c>
      <c r="X76">
        <v>50</v>
      </c>
      <c r="Y76" t="s">
        <v>1525</v>
      </c>
      <c r="Z76">
        <v>15.66029191968097</v>
      </c>
      <c r="AA76">
        <v>1363</v>
      </c>
      <c r="AB76">
        <v>49782</v>
      </c>
      <c r="AC76" t="s">
        <v>1867</v>
      </c>
      <c r="AD76">
        <v>56.71</v>
      </c>
      <c r="AE76" t="s">
        <v>2238</v>
      </c>
      <c r="AF76" t="s">
        <v>2609</v>
      </c>
      <c r="AG76">
        <v>2066</v>
      </c>
      <c r="AH76">
        <v>308</v>
      </c>
      <c r="AI76">
        <v>1988516</v>
      </c>
      <c r="AJ76">
        <v>1.14</v>
      </c>
      <c r="AK76" t="b">
        <v>1</v>
      </c>
    </row>
    <row r="77" spans="1:37">
      <c r="A77" s="1" t="s">
        <v>216</v>
      </c>
      <c r="B77" t="s">
        <v>587</v>
      </c>
      <c r="C77">
        <f>HYPERLINK("https://finance.naver.com/item/coinfo.nhn?code=008490", "A008490")</f>
        <v>0</v>
      </c>
      <c r="D77">
        <f>HYPERLINK("http://comp.fnguide.com/SVO2/ASP/SVD_Consensus.asp?pGB=1&amp;gicode=A008490&amp;cID=&amp;MenuYn=Y&amp;ReportGB=&amp;NewMenuID=108&amp;stkGb=701", "서흥")</f>
        <v>0</v>
      </c>
      <c r="E77">
        <v>3</v>
      </c>
      <c r="F77">
        <v>36300</v>
      </c>
      <c r="G77">
        <v>0.54</v>
      </c>
      <c r="H77">
        <v>9.52</v>
      </c>
      <c r="I77">
        <v>51459</v>
      </c>
      <c r="J77">
        <v>42358</v>
      </c>
      <c r="K77">
        <v>39314</v>
      </c>
      <c r="L77">
        <v>-41.76</v>
      </c>
      <c r="M77">
        <v>-16.69</v>
      </c>
      <c r="N77">
        <v>-8.300000000000001</v>
      </c>
      <c r="O77">
        <v>14.83</v>
      </c>
      <c r="P77" t="b">
        <v>1</v>
      </c>
      <c r="Q77">
        <v>0</v>
      </c>
      <c r="R77">
        <v>4641</v>
      </c>
      <c r="S77">
        <v>4473</v>
      </c>
      <c r="T77">
        <v>-3.6</v>
      </c>
      <c r="U77" t="s">
        <v>959</v>
      </c>
      <c r="V77" t="s">
        <v>1330</v>
      </c>
      <c r="W77">
        <v>17.73013527978151</v>
      </c>
      <c r="X77">
        <v>-24.2</v>
      </c>
      <c r="Y77" t="s">
        <v>1687</v>
      </c>
      <c r="Z77">
        <v>12.0207842920985</v>
      </c>
      <c r="AA77">
        <v>4200</v>
      </c>
      <c r="AB77">
        <v>7874</v>
      </c>
      <c r="AC77" t="s">
        <v>2043</v>
      </c>
      <c r="AD77">
        <v>52.77</v>
      </c>
      <c r="AE77" t="s">
        <v>2414</v>
      </c>
      <c r="AF77" t="s">
        <v>2784</v>
      </c>
      <c r="AG77">
        <v>5967</v>
      </c>
      <c r="AH77">
        <v>696</v>
      </c>
      <c r="AI77">
        <v>450000</v>
      </c>
      <c r="AJ77">
        <v>1.13</v>
      </c>
      <c r="AK77" t="b">
        <v>1</v>
      </c>
    </row>
    <row r="78" spans="1:37">
      <c r="A78" s="1" t="s">
        <v>379</v>
      </c>
      <c r="B78" t="s">
        <v>750</v>
      </c>
      <c r="C78">
        <f>HYPERLINK("https://finance.naver.com/item/coinfo.nhn?code=239610", "A239610")</f>
        <v>0</v>
      </c>
      <c r="D78">
        <f>HYPERLINK("http://comp.fnguide.com/SVO2/ASP/SVD_Consensus.asp?pGB=1&amp;gicode=A239610&amp;cID=&amp;MenuYn=Y&amp;ReportGB=&amp;NewMenuID=108&amp;stkGb=701", "에이치엘사이언스")</f>
        <v>0</v>
      </c>
      <c r="E78">
        <v>1</v>
      </c>
      <c r="F78">
        <v>30400</v>
      </c>
      <c r="G78">
        <v>0</v>
      </c>
      <c r="H78">
        <v>14.22</v>
      </c>
      <c r="I78">
        <v>37902</v>
      </c>
      <c r="J78">
        <v>28324</v>
      </c>
      <c r="K78">
        <v>25120</v>
      </c>
      <c r="L78">
        <v>-24.68</v>
      </c>
      <c r="M78">
        <v>6.83</v>
      </c>
      <c r="N78">
        <v>17.37</v>
      </c>
      <c r="O78">
        <v>18.62</v>
      </c>
      <c r="P78" t="b">
        <v>1</v>
      </c>
      <c r="Q78">
        <v>0</v>
      </c>
      <c r="R78">
        <v>2511</v>
      </c>
      <c r="U78" t="s">
        <v>1122</v>
      </c>
      <c r="V78" t="s">
        <v>1493</v>
      </c>
      <c r="W78">
        <v>0</v>
      </c>
      <c r="X78">
        <v>-43</v>
      </c>
      <c r="Y78" t="s">
        <v>1838</v>
      </c>
      <c r="Z78">
        <v>9.319959719571379</v>
      </c>
      <c r="AA78">
        <v>1639</v>
      </c>
      <c r="AB78">
        <v>4487</v>
      </c>
      <c r="AC78" t="s">
        <v>2206</v>
      </c>
      <c r="AD78">
        <v>63.25</v>
      </c>
      <c r="AE78" t="s">
        <v>2577</v>
      </c>
      <c r="AF78" t="s">
        <v>2943</v>
      </c>
      <c r="AG78">
        <v>1044</v>
      </c>
      <c r="AH78">
        <v>148</v>
      </c>
      <c r="AI78">
        <v>145575</v>
      </c>
      <c r="AJ78">
        <v>1.12</v>
      </c>
      <c r="AK78" t="b">
        <v>1</v>
      </c>
    </row>
    <row r="79" spans="1:37">
      <c r="A79" s="1" t="s">
        <v>45</v>
      </c>
      <c r="B79" t="s">
        <v>416</v>
      </c>
      <c r="C79">
        <f>HYPERLINK("https://finance.naver.com/item/coinfo.nhn?code=023600", "A023600")</f>
        <v>0</v>
      </c>
      <c r="D79">
        <f>HYPERLINK("http://comp.fnguide.com/SVO2/ASP/SVD_Consensus.asp?pGB=1&amp;gicode=A023600&amp;cID=&amp;MenuYn=Y&amp;ReportGB=&amp;NewMenuID=108&amp;stkGb=701", "삼보판지")</f>
        <v>0</v>
      </c>
      <c r="E79">
        <v>3</v>
      </c>
      <c r="F79">
        <v>9980</v>
      </c>
      <c r="G79">
        <v>0</v>
      </c>
      <c r="H79">
        <v>4.85</v>
      </c>
      <c r="I79">
        <v>30208</v>
      </c>
      <c r="J79">
        <v>28831</v>
      </c>
      <c r="K79">
        <v>28371</v>
      </c>
      <c r="L79">
        <v>-202.68</v>
      </c>
      <c r="M79">
        <v>-188.89</v>
      </c>
      <c r="N79">
        <v>-184.27</v>
      </c>
      <c r="O79">
        <v>10.96</v>
      </c>
      <c r="P79" t="b">
        <v>1</v>
      </c>
      <c r="Q79">
        <v>0</v>
      </c>
      <c r="R79">
        <v>3286</v>
      </c>
      <c r="U79" t="s">
        <v>788</v>
      </c>
      <c r="V79" t="s">
        <v>1159</v>
      </c>
      <c r="W79">
        <v>0</v>
      </c>
      <c r="X79">
        <v>-33.3</v>
      </c>
      <c r="Y79" t="s">
        <v>1530</v>
      </c>
      <c r="Z79">
        <v>37.7097706589887</v>
      </c>
      <c r="AA79">
        <v>1614</v>
      </c>
      <c r="AB79">
        <v>22425</v>
      </c>
      <c r="AC79" t="s">
        <v>1872</v>
      </c>
      <c r="AD79">
        <v>63.47</v>
      </c>
      <c r="AE79" t="s">
        <v>2243</v>
      </c>
      <c r="AF79" t="s">
        <v>2614</v>
      </c>
      <c r="AG79">
        <v>5340</v>
      </c>
      <c r="AH79">
        <v>702</v>
      </c>
      <c r="AI79">
        <v>202211</v>
      </c>
      <c r="AJ79">
        <v>1.1</v>
      </c>
      <c r="AK79" t="b">
        <v>1</v>
      </c>
    </row>
    <row r="80" spans="1:37">
      <c r="A80" s="1" t="s">
        <v>157</v>
      </c>
      <c r="B80" t="s">
        <v>528</v>
      </c>
      <c r="C80">
        <f>HYPERLINK("https://finance.naver.com/item/coinfo.nhn?code=009780", "A009780")</f>
        <v>0</v>
      </c>
      <c r="D80">
        <f>HYPERLINK("http://comp.fnguide.com/SVO2/ASP/SVD_Consensus.asp?pGB=1&amp;gicode=A009780&amp;cID=&amp;MenuYn=Y&amp;ReportGB=&amp;NewMenuID=108&amp;stkGb=701", "엠에스씨")</f>
        <v>0</v>
      </c>
      <c r="E80">
        <v>3</v>
      </c>
      <c r="F80">
        <v>6020</v>
      </c>
      <c r="G80">
        <v>0</v>
      </c>
      <c r="H80">
        <v>6.78</v>
      </c>
      <c r="I80">
        <v>8152</v>
      </c>
      <c r="J80">
        <v>7286</v>
      </c>
      <c r="K80">
        <v>6996</v>
      </c>
      <c r="L80">
        <v>-35.42</v>
      </c>
      <c r="M80">
        <v>-21.03</v>
      </c>
      <c r="N80">
        <v>-16.22</v>
      </c>
      <c r="O80">
        <v>12.46</v>
      </c>
      <c r="P80" t="b">
        <v>1</v>
      </c>
      <c r="Q80">
        <v>0</v>
      </c>
      <c r="R80">
        <v>874</v>
      </c>
      <c r="U80" t="s">
        <v>900</v>
      </c>
      <c r="V80" t="s">
        <v>1271</v>
      </c>
      <c r="W80">
        <v>0</v>
      </c>
      <c r="X80">
        <v>42.3</v>
      </c>
      <c r="Y80" t="s">
        <v>1633</v>
      </c>
      <c r="Z80">
        <v>14.26379300279719</v>
      </c>
      <c r="AA80">
        <v>1060</v>
      </c>
      <c r="AB80">
        <v>6979</v>
      </c>
      <c r="AC80" t="s">
        <v>1984</v>
      </c>
      <c r="AD80">
        <v>73.22</v>
      </c>
      <c r="AE80" t="s">
        <v>2355</v>
      </c>
      <c r="AF80" t="s">
        <v>2726</v>
      </c>
      <c r="AG80">
        <v>1620</v>
      </c>
      <c r="AH80">
        <v>213</v>
      </c>
      <c r="AJ80">
        <v>1.01</v>
      </c>
      <c r="AK80" t="b">
        <v>1</v>
      </c>
    </row>
    <row r="81" spans="1:37">
      <c r="A81" s="1" t="s">
        <v>51</v>
      </c>
      <c r="B81" t="s">
        <v>422</v>
      </c>
      <c r="C81">
        <f>HYPERLINK("https://finance.naver.com/item/coinfo.nhn?code=100790", "A100790")</f>
        <v>0</v>
      </c>
      <c r="D81">
        <f>HYPERLINK("http://comp.fnguide.com/SVO2/ASP/SVD_Consensus.asp?pGB=1&amp;gicode=A100790&amp;cID=&amp;MenuYn=Y&amp;ReportGB=&amp;NewMenuID=108&amp;stkGb=701", "미래에셋벤처투자")</f>
        <v>0</v>
      </c>
      <c r="E81">
        <v>3</v>
      </c>
      <c r="F81">
        <v>6220</v>
      </c>
      <c r="G81">
        <v>0.05</v>
      </c>
      <c r="H81">
        <v>4.86</v>
      </c>
      <c r="I81">
        <v>13556</v>
      </c>
      <c r="J81">
        <v>8930</v>
      </c>
      <c r="K81">
        <v>7383</v>
      </c>
      <c r="L81">
        <v>-117.95</v>
      </c>
      <c r="M81">
        <v>-43.57</v>
      </c>
      <c r="N81">
        <v>-18.69</v>
      </c>
      <c r="O81">
        <v>26.57</v>
      </c>
      <c r="P81" t="b">
        <v>0</v>
      </c>
      <c r="Q81">
        <v>3</v>
      </c>
      <c r="R81">
        <v>1657</v>
      </c>
      <c r="S81">
        <v>1960</v>
      </c>
      <c r="T81">
        <v>18.3</v>
      </c>
      <c r="U81" t="s">
        <v>794</v>
      </c>
      <c r="V81" t="s">
        <v>1165</v>
      </c>
      <c r="W81">
        <v>100.5525468540621</v>
      </c>
      <c r="Y81" t="s">
        <v>1536</v>
      </c>
      <c r="Z81">
        <v>0</v>
      </c>
      <c r="AA81">
        <v>3015</v>
      </c>
      <c r="AB81">
        <v>71697</v>
      </c>
      <c r="AC81" t="s">
        <v>1878</v>
      </c>
      <c r="AD81">
        <v>63.51</v>
      </c>
      <c r="AE81" t="s">
        <v>2249</v>
      </c>
      <c r="AF81" t="s">
        <v>2620</v>
      </c>
      <c r="AG81">
        <v>2748</v>
      </c>
      <c r="AH81">
        <v>964</v>
      </c>
      <c r="AI81">
        <v>505050</v>
      </c>
      <c r="AJ81">
        <v>0.98</v>
      </c>
      <c r="AK81" t="b">
        <v>1</v>
      </c>
    </row>
    <row r="82" spans="1:37">
      <c r="A82" s="1" t="s">
        <v>352</v>
      </c>
      <c r="B82" t="s">
        <v>723</v>
      </c>
      <c r="C82">
        <f>HYPERLINK("https://finance.naver.com/item/coinfo.nhn?code=016380", "A016380")</f>
        <v>0</v>
      </c>
      <c r="D82">
        <f>HYPERLINK("http://comp.fnguide.com/SVO2/ASP/SVD_Consensus.asp?pGB=1&amp;gicode=A016380&amp;cID=&amp;MenuYn=Y&amp;ReportGB=&amp;NewMenuID=108&amp;stkGb=701", "KG스틸")</f>
        <v>0</v>
      </c>
      <c r="E82">
        <v>1</v>
      </c>
      <c r="F82">
        <v>12250</v>
      </c>
      <c r="G82">
        <v>0</v>
      </c>
      <c r="H82">
        <v>5.55</v>
      </c>
      <c r="I82">
        <v>13036</v>
      </c>
      <c r="J82">
        <v>12195</v>
      </c>
      <c r="K82">
        <v>11914</v>
      </c>
      <c r="L82">
        <v>-6.41</v>
      </c>
      <c r="M82">
        <v>0.45</v>
      </c>
      <c r="N82">
        <v>2.75</v>
      </c>
      <c r="O82">
        <v>11.39</v>
      </c>
      <c r="P82" t="b">
        <v>0</v>
      </c>
      <c r="Q82">
        <v>0</v>
      </c>
      <c r="R82">
        <v>1908</v>
      </c>
      <c r="U82" t="s">
        <v>1095</v>
      </c>
      <c r="V82" t="s">
        <v>1466</v>
      </c>
      <c r="W82">
        <v>0</v>
      </c>
      <c r="X82">
        <v>144</v>
      </c>
      <c r="Y82" t="s">
        <v>1815</v>
      </c>
      <c r="Z82">
        <v>0</v>
      </c>
      <c r="AA82">
        <v>12251</v>
      </c>
      <c r="AB82">
        <v>467832</v>
      </c>
      <c r="AC82" t="s">
        <v>2179</v>
      </c>
      <c r="AD82">
        <v>71.98999999999999</v>
      </c>
      <c r="AE82" t="s">
        <v>2550</v>
      </c>
      <c r="AF82" t="s">
        <v>2916</v>
      </c>
      <c r="AG82">
        <v>33548</v>
      </c>
      <c r="AH82">
        <v>2969</v>
      </c>
      <c r="AI82">
        <v>6585</v>
      </c>
      <c r="AJ82">
        <v>0.9399999999999999</v>
      </c>
      <c r="AK82" t="b">
        <v>1</v>
      </c>
    </row>
    <row r="83" spans="1:37">
      <c r="A83" s="1" t="s">
        <v>289</v>
      </c>
      <c r="B83" t="s">
        <v>660</v>
      </c>
      <c r="C83">
        <f>HYPERLINK("https://finance.naver.com/item/coinfo.nhn?code=281820", "A281820")</f>
        <v>0</v>
      </c>
      <c r="D83">
        <f>HYPERLINK("http://comp.fnguide.com/SVO2/ASP/SVD_Consensus.asp?pGB=1&amp;gicode=A281820&amp;cID=&amp;MenuYn=Y&amp;ReportGB=&amp;NewMenuID=108&amp;stkGb=701", "케이씨텍")</f>
        <v>0</v>
      </c>
      <c r="E83">
        <v>3</v>
      </c>
      <c r="F83">
        <v>17800</v>
      </c>
      <c r="G83">
        <v>0</v>
      </c>
      <c r="H83">
        <v>11.96</v>
      </c>
      <c r="I83">
        <v>23491</v>
      </c>
      <c r="J83">
        <v>21013</v>
      </c>
      <c r="K83">
        <v>20184</v>
      </c>
      <c r="L83">
        <v>-31.97</v>
      </c>
      <c r="M83">
        <v>-18.05</v>
      </c>
      <c r="N83">
        <v>-13.39</v>
      </c>
      <c r="O83">
        <v>12.44</v>
      </c>
      <c r="P83" t="b">
        <v>0</v>
      </c>
      <c r="Q83">
        <v>0</v>
      </c>
      <c r="R83">
        <v>2011</v>
      </c>
      <c r="U83" t="s">
        <v>1032</v>
      </c>
      <c r="V83" t="s">
        <v>1403</v>
      </c>
      <c r="W83">
        <v>0</v>
      </c>
      <c r="X83">
        <v>47.5</v>
      </c>
      <c r="Y83" t="s">
        <v>1757</v>
      </c>
      <c r="Z83">
        <v>39.43287199002987</v>
      </c>
      <c r="AA83">
        <v>3713</v>
      </c>
      <c r="AB83">
        <v>13498</v>
      </c>
      <c r="AC83" t="s">
        <v>2116</v>
      </c>
      <c r="AD83">
        <v>51.51</v>
      </c>
      <c r="AE83" t="s">
        <v>2487</v>
      </c>
      <c r="AF83" t="s">
        <v>2856</v>
      </c>
      <c r="AG83">
        <v>3445</v>
      </c>
      <c r="AH83">
        <v>521</v>
      </c>
      <c r="AI83">
        <v>561795</v>
      </c>
      <c r="AJ83">
        <v>0.91</v>
      </c>
      <c r="AK83" t="b">
        <v>1</v>
      </c>
    </row>
    <row r="84" spans="1:37">
      <c r="A84" s="1" t="s">
        <v>215</v>
      </c>
      <c r="B84" t="s">
        <v>586</v>
      </c>
      <c r="C84">
        <f>HYPERLINK("https://finance.naver.com/item/coinfo.nhn?code=136490", "A136490")</f>
        <v>0</v>
      </c>
      <c r="D84">
        <f>HYPERLINK("http://comp.fnguide.com/SVO2/ASP/SVD_Consensus.asp?pGB=1&amp;gicode=A136490&amp;cID=&amp;MenuYn=Y&amp;ReportGB=&amp;NewMenuID=108&amp;stkGb=701", "선진")</f>
        <v>0</v>
      </c>
      <c r="E84">
        <v>3</v>
      </c>
      <c r="F84">
        <v>10800</v>
      </c>
      <c r="G84">
        <v>0</v>
      </c>
      <c r="H84">
        <v>6.38</v>
      </c>
      <c r="I84">
        <v>25381</v>
      </c>
      <c r="J84">
        <v>20985</v>
      </c>
      <c r="K84">
        <v>19515</v>
      </c>
      <c r="L84">
        <v>-135.01</v>
      </c>
      <c r="M84">
        <v>-94.31</v>
      </c>
      <c r="N84">
        <v>-80.7</v>
      </c>
      <c r="O84">
        <v>14.68</v>
      </c>
      <c r="P84" t="b">
        <v>1</v>
      </c>
      <c r="Q84">
        <v>0</v>
      </c>
      <c r="R84">
        <v>1804</v>
      </c>
      <c r="U84" t="s">
        <v>958</v>
      </c>
      <c r="V84" t="s">
        <v>1329</v>
      </c>
      <c r="W84">
        <v>0</v>
      </c>
      <c r="X84">
        <v>1</v>
      </c>
      <c r="Y84" t="s">
        <v>1686</v>
      </c>
      <c r="Z84">
        <v>-9.288499876908041</v>
      </c>
      <c r="AA84">
        <v>2568</v>
      </c>
      <c r="AB84">
        <v>46514</v>
      </c>
      <c r="AC84" t="s">
        <v>2042</v>
      </c>
      <c r="AD84">
        <v>50.04</v>
      </c>
      <c r="AE84" t="s">
        <v>2413</v>
      </c>
      <c r="AF84" t="s">
        <v>2783</v>
      </c>
      <c r="AG84">
        <v>17183</v>
      </c>
      <c r="AH84">
        <v>863</v>
      </c>
      <c r="AI84">
        <v>396</v>
      </c>
      <c r="AJ84">
        <v>0.87</v>
      </c>
      <c r="AK84" t="b">
        <v>1</v>
      </c>
    </row>
    <row r="85" spans="1:37">
      <c r="A85" s="1" t="s">
        <v>340</v>
      </c>
      <c r="B85" t="s">
        <v>711</v>
      </c>
      <c r="C85">
        <f>HYPERLINK("https://finance.naver.com/item/coinfo.nhn?code=009450", "A009450")</f>
        <v>0</v>
      </c>
      <c r="D85">
        <f>HYPERLINK("http://comp.fnguide.com/SVO2/ASP/SVD_Consensus.asp?pGB=1&amp;gicode=A009450&amp;cID=&amp;MenuYn=Y&amp;ReportGB=&amp;NewMenuID=108&amp;stkGb=701", "경동나비엔")</f>
        <v>0</v>
      </c>
      <c r="E85">
        <v>1</v>
      </c>
      <c r="F85">
        <v>39900</v>
      </c>
      <c r="G85">
        <v>0</v>
      </c>
      <c r="H85">
        <v>9.43</v>
      </c>
      <c r="I85">
        <v>49536</v>
      </c>
      <c r="J85">
        <v>39451</v>
      </c>
      <c r="K85">
        <v>36079</v>
      </c>
      <c r="L85">
        <v>-24.15</v>
      </c>
      <c r="M85">
        <v>1.12</v>
      </c>
      <c r="N85">
        <v>9.58</v>
      </c>
      <c r="O85">
        <v>15.97</v>
      </c>
      <c r="P85" t="b">
        <v>1</v>
      </c>
      <c r="Q85">
        <v>0</v>
      </c>
      <c r="R85">
        <v>5825</v>
      </c>
      <c r="U85" t="s">
        <v>1083</v>
      </c>
      <c r="V85" t="s">
        <v>1454</v>
      </c>
      <c r="W85">
        <v>0</v>
      </c>
      <c r="X85">
        <v>-26.9</v>
      </c>
      <c r="Y85" t="s">
        <v>1804</v>
      </c>
      <c r="Z85">
        <v>15.46430404035779</v>
      </c>
      <c r="AA85">
        <v>5813</v>
      </c>
      <c r="AB85">
        <v>19624</v>
      </c>
      <c r="AC85" t="s">
        <v>2167</v>
      </c>
      <c r="AD85">
        <v>57.61</v>
      </c>
      <c r="AE85" t="s">
        <v>2538</v>
      </c>
      <c r="AF85" t="s">
        <v>2905</v>
      </c>
      <c r="AG85">
        <v>11029</v>
      </c>
      <c r="AH85">
        <v>643</v>
      </c>
      <c r="AI85">
        <v>115660</v>
      </c>
      <c r="AJ85">
        <v>0.82</v>
      </c>
      <c r="AK85" t="b">
        <v>1</v>
      </c>
    </row>
    <row r="86" spans="1:37">
      <c r="A86" s="1" t="s">
        <v>180</v>
      </c>
      <c r="B86" t="s">
        <v>551</v>
      </c>
      <c r="C86">
        <f>HYPERLINK("https://finance.naver.com/item/coinfo.nhn?code=023460", "A023460")</f>
        <v>0</v>
      </c>
      <c r="D86">
        <f>HYPERLINK("http://comp.fnguide.com/SVO2/ASP/SVD_Consensus.asp?pGB=1&amp;gicode=A023460&amp;cID=&amp;MenuYn=Y&amp;ReportGB=&amp;NewMenuID=108&amp;stkGb=701", "CNH")</f>
        <v>0</v>
      </c>
      <c r="E86">
        <v>3</v>
      </c>
      <c r="F86">
        <v>1910</v>
      </c>
      <c r="G86">
        <v>0</v>
      </c>
      <c r="H86">
        <v>58.68</v>
      </c>
      <c r="I86">
        <v>4374</v>
      </c>
      <c r="J86">
        <v>4084</v>
      </c>
      <c r="K86">
        <v>3986</v>
      </c>
      <c r="L86">
        <v>-129</v>
      </c>
      <c r="M86">
        <v>-113.8</v>
      </c>
      <c r="N86">
        <v>-108.71</v>
      </c>
      <c r="O86">
        <v>11.43</v>
      </c>
      <c r="P86" t="b">
        <v>0</v>
      </c>
      <c r="Q86">
        <v>0</v>
      </c>
      <c r="R86">
        <v>43</v>
      </c>
      <c r="U86" t="s">
        <v>923</v>
      </c>
      <c r="V86" t="s">
        <v>1294</v>
      </c>
      <c r="W86">
        <v>0</v>
      </c>
      <c r="Y86" t="s">
        <v>1536</v>
      </c>
      <c r="Z86">
        <v>0</v>
      </c>
      <c r="AA86">
        <v>711</v>
      </c>
      <c r="AB86">
        <v>13197</v>
      </c>
      <c r="AC86" t="s">
        <v>2007</v>
      </c>
      <c r="AD86">
        <v>66.59</v>
      </c>
      <c r="AE86" t="s">
        <v>2378</v>
      </c>
      <c r="AF86" t="s">
        <v>2748</v>
      </c>
      <c r="AG86">
        <v>328</v>
      </c>
      <c r="AH86">
        <v>-18</v>
      </c>
      <c r="AI86">
        <v>2763619</v>
      </c>
      <c r="AJ86">
        <v>0.79</v>
      </c>
      <c r="AK86" t="b">
        <v>1</v>
      </c>
    </row>
    <row r="87" spans="1:37">
      <c r="A87" s="1" t="s">
        <v>134</v>
      </c>
      <c r="B87" t="s">
        <v>505</v>
      </c>
      <c r="C87">
        <f>HYPERLINK("https://finance.naver.com/item/coinfo.nhn?code=007770", "A007770")</f>
        <v>0</v>
      </c>
      <c r="D87">
        <f>HYPERLINK("http://comp.fnguide.com/SVO2/ASP/SVD_Consensus.asp?pGB=1&amp;gicode=A007770&amp;cID=&amp;MenuYn=Y&amp;ReportGB=&amp;NewMenuID=108&amp;stkGb=701", "한일화학")</f>
        <v>0</v>
      </c>
      <c r="E87">
        <v>3</v>
      </c>
      <c r="F87">
        <v>20650</v>
      </c>
      <c r="G87">
        <v>0</v>
      </c>
      <c r="H87">
        <v>2.47</v>
      </c>
      <c r="I87">
        <v>36519</v>
      </c>
      <c r="J87">
        <v>34160</v>
      </c>
      <c r="K87">
        <v>33372</v>
      </c>
      <c r="L87">
        <v>-76.84999999999999</v>
      </c>
      <c r="M87">
        <v>-65.43000000000001</v>
      </c>
      <c r="N87">
        <v>-61.61</v>
      </c>
      <c r="O87">
        <v>11.39</v>
      </c>
      <c r="P87" t="b">
        <v>1</v>
      </c>
      <c r="Q87">
        <v>0</v>
      </c>
      <c r="R87">
        <v>6465</v>
      </c>
      <c r="U87" t="s">
        <v>877</v>
      </c>
      <c r="V87" t="s">
        <v>1248</v>
      </c>
      <c r="W87">
        <v>0</v>
      </c>
      <c r="X87">
        <v>-69.3</v>
      </c>
      <c r="Y87" t="s">
        <v>1613</v>
      </c>
      <c r="Z87">
        <v>0</v>
      </c>
      <c r="AA87">
        <v>725</v>
      </c>
      <c r="AB87">
        <v>70630</v>
      </c>
      <c r="AC87" t="s">
        <v>1961</v>
      </c>
      <c r="AD87">
        <v>65.92</v>
      </c>
      <c r="AE87" t="s">
        <v>2332</v>
      </c>
      <c r="AF87" t="s">
        <v>2703</v>
      </c>
      <c r="AG87">
        <v>1139</v>
      </c>
      <c r="AH87">
        <v>5</v>
      </c>
      <c r="AJ87">
        <v>0.75</v>
      </c>
      <c r="AK87" t="b">
        <v>1</v>
      </c>
    </row>
    <row r="88" spans="1:37">
      <c r="A88" s="1" t="s">
        <v>211</v>
      </c>
      <c r="B88" t="s">
        <v>582</v>
      </c>
      <c r="C88">
        <f>HYPERLINK("https://finance.naver.com/item/coinfo.nhn?code=134790", "A134790")</f>
        <v>0</v>
      </c>
      <c r="D88">
        <f>HYPERLINK("http://comp.fnguide.com/SVO2/ASP/SVD_Consensus.asp?pGB=1&amp;gicode=A134790&amp;cID=&amp;MenuYn=Y&amp;ReportGB=&amp;NewMenuID=108&amp;stkGb=701", "시디즈")</f>
        <v>0</v>
      </c>
      <c r="E88">
        <v>3</v>
      </c>
      <c r="F88">
        <v>50500</v>
      </c>
      <c r="G88">
        <v>0</v>
      </c>
      <c r="H88">
        <v>9.48</v>
      </c>
      <c r="I88">
        <v>111524</v>
      </c>
      <c r="J88">
        <v>70416</v>
      </c>
      <c r="K88">
        <v>56668</v>
      </c>
      <c r="L88">
        <v>-120.84</v>
      </c>
      <c r="M88">
        <v>-39.44</v>
      </c>
      <c r="N88">
        <v>-12.21</v>
      </c>
      <c r="O88">
        <v>30.6</v>
      </c>
      <c r="P88" t="b">
        <v>1</v>
      </c>
      <c r="Q88">
        <v>0</v>
      </c>
      <c r="R88">
        <v>6468</v>
      </c>
      <c r="U88" t="s">
        <v>954</v>
      </c>
      <c r="V88" t="s">
        <v>1325</v>
      </c>
      <c r="W88">
        <v>0</v>
      </c>
      <c r="X88">
        <v>-68.59999999999999</v>
      </c>
      <c r="Y88" t="s">
        <v>1683</v>
      </c>
      <c r="Z88">
        <v>67.49573559230217</v>
      </c>
      <c r="AA88">
        <v>1010</v>
      </c>
      <c r="AB88">
        <v>23076</v>
      </c>
      <c r="AC88" t="s">
        <v>2038</v>
      </c>
      <c r="AD88">
        <v>60.72</v>
      </c>
      <c r="AE88" t="s">
        <v>2409</v>
      </c>
      <c r="AF88" t="s">
        <v>2779</v>
      </c>
      <c r="AG88">
        <v>2519</v>
      </c>
      <c r="AH88">
        <v>127</v>
      </c>
      <c r="AI88">
        <v>321042</v>
      </c>
      <c r="AJ88">
        <v>0.65</v>
      </c>
      <c r="AK88" t="b">
        <v>1</v>
      </c>
    </row>
    <row r="89" spans="1:37">
      <c r="A89" s="1" t="s">
        <v>380</v>
      </c>
      <c r="B89" t="s">
        <v>751</v>
      </c>
      <c r="C89">
        <f>HYPERLINK("https://finance.naver.com/item/coinfo.nhn?code=068290", "A068290")</f>
        <v>0</v>
      </c>
      <c r="D89">
        <f>HYPERLINK("http://comp.fnguide.com/SVO2/ASP/SVD_Consensus.asp?pGB=1&amp;gicode=A068290&amp;cID=&amp;MenuYn=Y&amp;ReportGB=&amp;NewMenuID=108&amp;stkGb=701", "삼성출판사")</f>
        <v>0</v>
      </c>
      <c r="E89">
        <v>1</v>
      </c>
      <c r="F89">
        <v>26450</v>
      </c>
      <c r="G89">
        <v>0</v>
      </c>
      <c r="H89">
        <v>104.93</v>
      </c>
      <c r="I89">
        <v>32216</v>
      </c>
      <c r="J89">
        <v>24951</v>
      </c>
      <c r="K89">
        <v>22521</v>
      </c>
      <c r="L89">
        <v>-21.8</v>
      </c>
      <c r="M89">
        <v>5.67</v>
      </c>
      <c r="N89">
        <v>14.85</v>
      </c>
      <c r="O89">
        <v>17.06</v>
      </c>
      <c r="P89" t="b">
        <v>0</v>
      </c>
      <c r="Q89">
        <v>0</v>
      </c>
      <c r="R89">
        <v>316</v>
      </c>
      <c r="U89" t="s">
        <v>1123</v>
      </c>
      <c r="V89" t="s">
        <v>1494</v>
      </c>
      <c r="W89">
        <v>0</v>
      </c>
      <c r="X89">
        <v>188.5</v>
      </c>
      <c r="Y89" t="s">
        <v>1839</v>
      </c>
      <c r="Z89">
        <v>21.7964077472413</v>
      </c>
      <c r="AA89">
        <v>2645</v>
      </c>
      <c r="AB89">
        <v>22255</v>
      </c>
      <c r="AC89" t="s">
        <v>2207</v>
      </c>
      <c r="AD89">
        <v>64.48999999999999</v>
      </c>
      <c r="AE89" t="s">
        <v>2578</v>
      </c>
      <c r="AF89" t="s">
        <v>2944</v>
      </c>
      <c r="AG89">
        <v>1875</v>
      </c>
      <c r="AH89">
        <v>80</v>
      </c>
      <c r="AJ89">
        <v>0.6</v>
      </c>
      <c r="AK89" t="b">
        <v>1</v>
      </c>
    </row>
    <row r="90" spans="1:37">
      <c r="A90" s="1" t="s">
        <v>231</v>
      </c>
      <c r="B90" t="s">
        <v>602</v>
      </c>
      <c r="C90">
        <f>HYPERLINK("https://finance.naver.com/item/coinfo.nhn?code=007700", "A007700")</f>
        <v>0</v>
      </c>
      <c r="D90">
        <f>HYPERLINK("http://comp.fnguide.com/SVO2/ASP/SVD_Consensus.asp?pGB=1&amp;gicode=A007700&amp;cID=&amp;MenuYn=Y&amp;ReportGB=&amp;NewMenuID=108&amp;stkGb=701", "F&amp;F홀딩스")</f>
        <v>0</v>
      </c>
      <c r="E90">
        <v>3</v>
      </c>
      <c r="F90">
        <v>18950</v>
      </c>
      <c r="G90">
        <v>0</v>
      </c>
      <c r="H90">
        <v>0.38</v>
      </c>
      <c r="I90">
        <v>426789</v>
      </c>
      <c r="J90">
        <v>219701</v>
      </c>
      <c r="K90">
        <v>150442</v>
      </c>
      <c r="L90">
        <v>-2152.19</v>
      </c>
      <c r="M90">
        <v>-1059.37</v>
      </c>
      <c r="N90">
        <v>-693.89</v>
      </c>
      <c r="O90">
        <v>86.66</v>
      </c>
      <c r="P90" t="b">
        <v>1</v>
      </c>
      <c r="Q90">
        <v>0</v>
      </c>
      <c r="R90">
        <v>87636</v>
      </c>
      <c r="U90" t="s">
        <v>974</v>
      </c>
      <c r="V90" t="s">
        <v>1345</v>
      </c>
      <c r="W90">
        <v>0</v>
      </c>
      <c r="X90">
        <v>-80.40000000000001</v>
      </c>
      <c r="Y90" t="s">
        <v>1702</v>
      </c>
      <c r="Z90">
        <v>28.68506253367267</v>
      </c>
      <c r="AA90">
        <v>7412</v>
      </c>
      <c r="AB90">
        <v>17884</v>
      </c>
      <c r="AC90" t="s">
        <v>2058</v>
      </c>
      <c r="AD90">
        <v>91.70999999999999</v>
      </c>
      <c r="AE90" t="s">
        <v>2429</v>
      </c>
      <c r="AF90" t="s">
        <v>2799</v>
      </c>
      <c r="AG90">
        <v>7271</v>
      </c>
      <c r="AH90">
        <v>2231</v>
      </c>
      <c r="AI90">
        <v>44474</v>
      </c>
      <c r="AJ90">
        <v>0.51</v>
      </c>
      <c r="AK90" t="b">
        <v>1</v>
      </c>
    </row>
    <row r="91" spans="1:37">
      <c r="A91" s="1" t="s">
        <v>188</v>
      </c>
      <c r="B91" t="s">
        <v>559</v>
      </c>
      <c r="C91">
        <f>HYPERLINK("https://finance.naver.com/item/coinfo.nhn?code=138040", "A138040")</f>
        <v>0</v>
      </c>
      <c r="D91">
        <f>HYPERLINK("http://comp.fnguide.com/SVO2/ASP/SVD_Consensus.asp?pGB=1&amp;gicode=A138040&amp;cID=&amp;MenuYn=Y&amp;ReportGB=&amp;NewMenuID=108&amp;stkGb=701", "메리츠금융지주")</f>
        <v>0</v>
      </c>
      <c r="E91">
        <v>3</v>
      </c>
      <c r="F91">
        <v>26250</v>
      </c>
      <c r="G91">
        <v>0.23</v>
      </c>
      <c r="H91">
        <v>7.47</v>
      </c>
      <c r="I91">
        <v>57597</v>
      </c>
      <c r="J91">
        <v>42651</v>
      </c>
      <c r="K91">
        <v>37653</v>
      </c>
      <c r="L91">
        <v>-119.42</v>
      </c>
      <c r="M91">
        <v>-62.48</v>
      </c>
      <c r="N91">
        <v>-43.44</v>
      </c>
      <c r="O91">
        <v>19.06</v>
      </c>
      <c r="P91" t="b">
        <v>0</v>
      </c>
      <c r="Q91">
        <v>3</v>
      </c>
      <c r="R91">
        <v>5889</v>
      </c>
      <c r="S91">
        <v>6578</v>
      </c>
      <c r="T91">
        <v>11.7</v>
      </c>
      <c r="U91" t="s">
        <v>931</v>
      </c>
      <c r="V91" t="s">
        <v>1302</v>
      </c>
      <c r="W91">
        <v>32.31524709026359</v>
      </c>
      <c r="X91">
        <v>6.3</v>
      </c>
      <c r="Y91" t="s">
        <v>1661</v>
      </c>
      <c r="Z91">
        <v>4.676459438216662</v>
      </c>
      <c r="AA91">
        <v>33820</v>
      </c>
      <c r="AB91">
        <v>152908</v>
      </c>
      <c r="AC91" t="s">
        <v>2015</v>
      </c>
      <c r="AD91">
        <v>75.16</v>
      </c>
      <c r="AE91" t="s">
        <v>2386</v>
      </c>
      <c r="AF91" t="s">
        <v>2756</v>
      </c>
      <c r="AG91">
        <v>19127</v>
      </c>
      <c r="AH91">
        <v>18006</v>
      </c>
      <c r="AI91">
        <v>6308142</v>
      </c>
      <c r="AJ91">
        <v>0.48</v>
      </c>
      <c r="AK91" t="b">
        <v>1</v>
      </c>
    </row>
    <row r="92" spans="1:37">
      <c r="A92" s="1" t="s">
        <v>217</v>
      </c>
      <c r="B92" t="s">
        <v>588</v>
      </c>
      <c r="C92">
        <f>HYPERLINK("https://finance.naver.com/item/coinfo.nhn?code=248170", "A248170")</f>
        <v>0</v>
      </c>
      <c r="D92">
        <f>HYPERLINK("http://comp.fnguide.com/SVO2/ASP/SVD_Consensus.asp?pGB=1&amp;gicode=A248170&amp;cID=&amp;MenuYn=Y&amp;ReportGB=&amp;NewMenuID=108&amp;stkGb=701", "샘표식품")</f>
        <v>0</v>
      </c>
      <c r="E92">
        <v>3</v>
      </c>
      <c r="F92">
        <v>37050</v>
      </c>
      <c r="G92">
        <v>0</v>
      </c>
      <c r="H92">
        <v>8.630000000000001</v>
      </c>
      <c r="I92">
        <v>74010</v>
      </c>
      <c r="J92">
        <v>59229</v>
      </c>
      <c r="K92">
        <v>54286</v>
      </c>
      <c r="L92">
        <v>-99.76000000000001</v>
      </c>
      <c r="M92">
        <v>-59.86</v>
      </c>
      <c r="N92">
        <v>-46.52</v>
      </c>
      <c r="O92">
        <v>15.8</v>
      </c>
      <c r="P92" t="b">
        <v>1</v>
      </c>
      <c r="Q92">
        <v>0</v>
      </c>
      <c r="R92">
        <v>5186</v>
      </c>
      <c r="U92" t="s">
        <v>960</v>
      </c>
      <c r="V92" t="s">
        <v>1331</v>
      </c>
      <c r="W92">
        <v>0</v>
      </c>
      <c r="X92">
        <v>-25.7</v>
      </c>
      <c r="Y92" t="s">
        <v>1688</v>
      </c>
      <c r="Z92">
        <v>8.890273211110422</v>
      </c>
      <c r="AA92">
        <v>1693</v>
      </c>
      <c r="AB92">
        <v>11349</v>
      </c>
      <c r="AC92" t="s">
        <v>2044</v>
      </c>
      <c r="AD92">
        <v>60.02</v>
      </c>
      <c r="AE92" t="s">
        <v>2415</v>
      </c>
      <c r="AF92" t="s">
        <v>2785</v>
      </c>
      <c r="AG92">
        <v>3487</v>
      </c>
      <c r="AH92">
        <v>235</v>
      </c>
      <c r="AI92">
        <v>1690</v>
      </c>
      <c r="AJ92">
        <v>0.45</v>
      </c>
      <c r="AK92" t="b">
        <v>1</v>
      </c>
    </row>
    <row r="93" spans="1:37">
      <c r="A93" s="1" t="s">
        <v>55</v>
      </c>
      <c r="B93" t="s">
        <v>426</v>
      </c>
      <c r="C93">
        <f>HYPERLINK("https://finance.naver.com/item/coinfo.nhn?code=036830", "A036830")</f>
        <v>0</v>
      </c>
      <c r="D93">
        <f>HYPERLINK("http://comp.fnguide.com/SVO2/ASP/SVD_Consensus.asp?pGB=1&amp;gicode=A036830&amp;cID=&amp;MenuYn=Y&amp;ReportGB=&amp;NewMenuID=108&amp;stkGb=701", "솔브레인홀딩스")</f>
        <v>0</v>
      </c>
      <c r="E93">
        <v>3</v>
      </c>
      <c r="F93">
        <v>21200</v>
      </c>
      <c r="G93">
        <v>0</v>
      </c>
      <c r="H93">
        <v>23.06</v>
      </c>
      <c r="I93">
        <v>289647</v>
      </c>
      <c r="J93">
        <v>159447</v>
      </c>
      <c r="K93">
        <v>115902</v>
      </c>
      <c r="L93">
        <v>-1266.26</v>
      </c>
      <c r="M93">
        <v>-652.11</v>
      </c>
      <c r="N93">
        <v>-446.71</v>
      </c>
      <c r="O93">
        <v>55.52</v>
      </c>
      <c r="P93" t="b">
        <v>1</v>
      </c>
      <c r="Q93">
        <v>0</v>
      </c>
      <c r="R93">
        <v>1501</v>
      </c>
      <c r="U93" t="s">
        <v>798</v>
      </c>
      <c r="V93" t="s">
        <v>1169</v>
      </c>
      <c r="W93">
        <v>0</v>
      </c>
      <c r="X93">
        <v>-60.6</v>
      </c>
      <c r="Y93" t="s">
        <v>1540</v>
      </c>
      <c r="Z93">
        <v>-25.35323800885012</v>
      </c>
      <c r="AA93">
        <v>4444</v>
      </c>
      <c r="AB93">
        <v>50983</v>
      </c>
      <c r="AC93" t="s">
        <v>1882</v>
      </c>
      <c r="AD93">
        <v>73.34999999999999</v>
      </c>
      <c r="AE93" t="s">
        <v>2253</v>
      </c>
      <c r="AF93" t="s">
        <v>2624</v>
      </c>
      <c r="AG93">
        <v>4172</v>
      </c>
      <c r="AH93">
        <v>544</v>
      </c>
      <c r="AI93">
        <v>302463</v>
      </c>
      <c r="AJ93">
        <v>0.43</v>
      </c>
      <c r="AK93" t="b">
        <v>1</v>
      </c>
    </row>
    <row r="94" spans="1:37">
      <c r="A94" s="1" t="s">
        <v>54</v>
      </c>
      <c r="B94" t="s">
        <v>425</v>
      </c>
      <c r="C94">
        <f>HYPERLINK("https://finance.naver.com/item/coinfo.nhn?code=024830", "A024830")</f>
        <v>0</v>
      </c>
      <c r="D94">
        <f>HYPERLINK("http://comp.fnguide.com/SVO2/ASP/SVD_Consensus.asp?pGB=1&amp;gicode=A024830&amp;cID=&amp;MenuYn=Y&amp;ReportGB=&amp;NewMenuID=108&amp;stkGb=701", "세원물산")</f>
        <v>0</v>
      </c>
      <c r="E94">
        <v>3</v>
      </c>
      <c r="F94">
        <v>6280</v>
      </c>
      <c r="G94">
        <v>0</v>
      </c>
      <c r="H94">
        <v>1.94</v>
      </c>
      <c r="I94">
        <v>29005</v>
      </c>
      <c r="J94">
        <v>28447</v>
      </c>
      <c r="K94">
        <v>28260</v>
      </c>
      <c r="L94">
        <v>-361.86</v>
      </c>
      <c r="M94">
        <v>-352.97</v>
      </c>
      <c r="N94">
        <v>-350</v>
      </c>
      <c r="O94">
        <v>10.41</v>
      </c>
      <c r="P94" t="b">
        <v>1</v>
      </c>
      <c r="Q94">
        <v>0</v>
      </c>
      <c r="R94">
        <v>3231</v>
      </c>
      <c r="U94" t="s">
        <v>797</v>
      </c>
      <c r="V94" t="s">
        <v>1168</v>
      </c>
      <c r="W94">
        <v>0</v>
      </c>
      <c r="X94">
        <v>3.7</v>
      </c>
      <c r="Y94" t="s">
        <v>1539</v>
      </c>
      <c r="Z94">
        <v>33.98784066465051</v>
      </c>
      <c r="AA94">
        <v>524</v>
      </c>
      <c r="AB94">
        <v>0</v>
      </c>
      <c r="AC94" t="s">
        <v>1881</v>
      </c>
      <c r="AD94">
        <v>78.43000000000001</v>
      </c>
      <c r="AE94" t="s">
        <v>2252</v>
      </c>
      <c r="AF94" t="s">
        <v>2623</v>
      </c>
      <c r="AG94">
        <v>2101</v>
      </c>
      <c r="AH94">
        <v>152</v>
      </c>
      <c r="AJ94">
        <v>0.4</v>
      </c>
      <c r="AK94" t="b">
        <v>1</v>
      </c>
    </row>
    <row r="95" spans="1:37">
      <c r="A95" s="1" t="s">
        <v>60</v>
      </c>
      <c r="B95" t="s">
        <v>431</v>
      </c>
      <c r="C95">
        <f>HYPERLINK("https://finance.naver.com/item/coinfo.nhn?code=030960", "A030960")</f>
        <v>0</v>
      </c>
      <c r="D95">
        <f>HYPERLINK("http://comp.fnguide.com/SVO2/ASP/SVD_Consensus.asp?pGB=1&amp;gicode=A030960&amp;cID=&amp;MenuYn=Y&amp;ReportGB=&amp;NewMenuID=108&amp;stkGb=701", "양지사")</f>
        <v>0</v>
      </c>
      <c r="E95">
        <v>3</v>
      </c>
      <c r="F95">
        <v>12300</v>
      </c>
      <c r="G95">
        <v>0</v>
      </c>
      <c r="H95">
        <v>161.78</v>
      </c>
      <c r="I95">
        <v>44252</v>
      </c>
      <c r="J95">
        <v>27535</v>
      </c>
      <c r="K95">
        <v>21944</v>
      </c>
      <c r="L95">
        <v>-259.77</v>
      </c>
      <c r="M95">
        <v>-123.86</v>
      </c>
      <c r="N95">
        <v>-78.41</v>
      </c>
      <c r="O95">
        <v>32.24</v>
      </c>
      <c r="P95" t="b">
        <v>0</v>
      </c>
      <c r="Q95">
        <v>0</v>
      </c>
      <c r="R95">
        <v>83</v>
      </c>
      <c r="U95" t="s">
        <v>803</v>
      </c>
      <c r="V95" t="s">
        <v>1174</v>
      </c>
      <c r="W95">
        <v>0</v>
      </c>
      <c r="X95">
        <v>-50.7</v>
      </c>
      <c r="Y95" t="s">
        <v>1544</v>
      </c>
      <c r="Z95">
        <v>-28.81332933249396</v>
      </c>
      <c r="AA95">
        <v>1966</v>
      </c>
      <c r="AB95">
        <v>129271</v>
      </c>
      <c r="AC95" t="s">
        <v>1887</v>
      </c>
      <c r="AD95">
        <v>75.53</v>
      </c>
      <c r="AE95" t="s">
        <v>2258</v>
      </c>
      <c r="AF95" t="s">
        <v>2629</v>
      </c>
      <c r="AG95">
        <v>444</v>
      </c>
      <c r="AH95">
        <v>-21</v>
      </c>
      <c r="AI95">
        <v>2243930</v>
      </c>
      <c r="AJ95">
        <v>0.37</v>
      </c>
      <c r="AK95" t="b">
        <v>1</v>
      </c>
    </row>
    <row r="96" spans="1:37">
      <c r="A96" s="1" t="s">
        <v>389</v>
      </c>
      <c r="B96" t="s">
        <v>760</v>
      </c>
      <c r="C96">
        <f>HYPERLINK("https://finance.naver.com/item/coinfo.nhn?code=285490", "A285490")</f>
        <v>0</v>
      </c>
      <c r="D96">
        <f>HYPERLINK("http://comp.fnguide.com/SVO2/ASP/SVD_Consensus.asp?pGB=1&amp;gicode=A285490&amp;cID=&amp;MenuYn=Y&amp;ReportGB=&amp;NewMenuID=108&amp;stkGb=701", "노바텍")</f>
        <v>0</v>
      </c>
      <c r="E96">
        <v>1</v>
      </c>
      <c r="F96">
        <v>32450</v>
      </c>
      <c r="G96">
        <v>0.12</v>
      </c>
      <c r="H96">
        <v>11</v>
      </c>
      <c r="I96">
        <v>44757</v>
      </c>
      <c r="J96">
        <v>26534</v>
      </c>
      <c r="K96">
        <v>20440</v>
      </c>
      <c r="L96">
        <v>-37.93</v>
      </c>
      <c r="M96">
        <v>18.23</v>
      </c>
      <c r="N96">
        <v>37.01</v>
      </c>
      <c r="O96">
        <v>38.92</v>
      </c>
      <c r="P96" t="b">
        <v>1</v>
      </c>
      <c r="Q96">
        <v>0</v>
      </c>
      <c r="R96">
        <v>3836</v>
      </c>
      <c r="S96">
        <v>3309</v>
      </c>
      <c r="T96">
        <v>-13.7</v>
      </c>
      <c r="U96" t="s">
        <v>1132</v>
      </c>
      <c r="V96" t="s">
        <v>1503</v>
      </c>
      <c r="W96">
        <v>89.30635103307031</v>
      </c>
      <c r="X96">
        <v>-21.7</v>
      </c>
      <c r="Y96" t="s">
        <v>1847</v>
      </c>
      <c r="Z96">
        <v>41.70989248030046</v>
      </c>
      <c r="AA96">
        <v>3432</v>
      </c>
      <c r="AB96">
        <v>37264</v>
      </c>
      <c r="AC96" t="s">
        <v>2216</v>
      </c>
      <c r="AD96">
        <v>55.7</v>
      </c>
      <c r="AE96" t="s">
        <v>2587</v>
      </c>
      <c r="AF96" t="s">
        <v>2953</v>
      </c>
      <c r="AG96">
        <v>905</v>
      </c>
      <c r="AH96">
        <v>329</v>
      </c>
      <c r="AI96">
        <v>400000</v>
      </c>
      <c r="AJ96">
        <v>0.34</v>
      </c>
      <c r="AK96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rim</vt:lpstr>
      <vt:lpstr>dividend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2022-08-01T11:23:02Z</dcterms:created>
  <dcterms:modified xsi:type="dcterms:W3CDTF">2022-08-01T11:23:02Z</dcterms:modified>
</cp:coreProperties>
</file>