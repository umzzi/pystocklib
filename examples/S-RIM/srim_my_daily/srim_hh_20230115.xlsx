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<sst xmlns="http://schemas.openxmlformats.org/spreadsheetml/2006/main" count="3350" uniqueCount="2574">
  <si>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</si>
  <si>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</si>
  <si>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</si>
  <si>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</si>
  <si>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</si>
  <si>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</si>
  <si>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</si>
  <si>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</si>
  <si>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</si>
  <si>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</si>
  <si>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</si>
  <si>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</si>
  <si>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</si>
  <si>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</si>
  <si>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</si>
  <si>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</si>
  <si>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</si>
  <si>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</si>
  <si>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</si>
  <si>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</si>
  <si>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</si>
  <si>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</si>
  <si>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</si>
  <si>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</si>
  <si>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</si>
  <si>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</si>
  <si>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</si>
  <si>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</si>
  <si>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</si>
  <si>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</si>
  <si>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</si>
  <si>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</si>
  <si>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</si>
  <si>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</si>
  <si>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</si>
  <si>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</si>
  <si>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</si>
  <si>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A041190</t>
  </si>
  <si>
    <t>A065710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</si>
  <si>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</si>
  <si>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</si>
  <si>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</si>
  <si>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</si>
  <si>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</si>
  <si>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</si>
  <si>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</si>
  <si>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</si>
  <si>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</si>
  <si>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</si>
  <si>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</si>
  <si>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</si>
  <si>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</si>
  <si>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</si>
  <si>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</si>
  <si>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</si>
  <si>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</si>
  <si>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</si>
  <si>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</si>
  <si>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</si>
  <si>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</si>
  <si>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</si>
  <si>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</si>
  <si>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</si>
  <si>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</si>
  <si>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</si>
  <si>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A143540</t>
  </si>
  <si>
    <t>A232140</t>
  </si>
  <si>
    <t>A140070</t>
  </si>
  <si>
    <t>A038540</t>
  </si>
  <si>
    <t>A032750</t>
  </si>
  <si>
    <t>A084650</t>
  </si>
  <si>
    <t>A042420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</si>
  <si>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</si>
  <si>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</si>
  <si>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</si>
  <si>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</si>
  <si>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</si>
  <si>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</si>
  <si>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</si>
  <si>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</si>
  <si>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</si>
  <si>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</si>
  <si>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</si>
  <si>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</si>
  <si>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A377450</t>
  </si>
  <si>
    <t>A037460</t>
  </si>
  <si>
    <t>A042500</t>
  </si>
  <si>
    <t>A147760</t>
  </si>
  <si>
    <t>A038290</t>
  </si>
  <si>
    <t>A267980</t>
  </si>
  <si>
    <t>A093520</t>
  </si>
  <si>
    <t>A016610</t>
  </si>
  <si>
    <t>A014100</t>
  </si>
  <si>
    <t>A058110</t>
  </si>
  <si>
    <t>A100790</t>
  </si>
  <si>
    <t>A950190</t>
  </si>
  <si>
    <t>A066410</t>
  </si>
  <si>
    <t>A121800</t>
  </si>
  <si>
    <t>A318410</t>
  </si>
  <si>
    <t>A067900</t>
  </si>
  <si>
    <t>A046970</t>
  </si>
  <si>
    <t>A066620</t>
  </si>
  <si>
    <t>A082850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</si>
  <si>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</si>
  <si>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</si>
  <si>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</si>
  <si>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</si>
  <si>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</si>
  <si>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</si>
  <si>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</si>
  <si>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</si>
  <si>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</si>
  <si>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</si>
  <si>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</si>
  <si>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</si>
  <si>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</si>
  <si>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</si>
  <si>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</si>
  <si>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</si>
  <si>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</si>
  <si>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</si>
  <si>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</si>
  <si>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</si>
  <si>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</si>
  <si>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</si>
  <si>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</si>
  <si>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</si>
  <si>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</si>
  <si>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</si>
  <si>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</si>
  <si>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</si>
  <si>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</si>
  <si>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A052300</t>
  </si>
  <si>
    <t>A064800</t>
  </si>
  <si>
    <t>A199820</t>
  </si>
  <si>
    <t>A084440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</si>
  <si>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</si>
  <si>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</si>
  <si>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</si>
  <si>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</si>
  <si>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</si>
  <si>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</si>
  <si>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</si>
  <si>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</si>
  <si>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</si>
  <si>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</si>
  <si>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</si>
  <si>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</si>
  <si>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A089850</t>
  </si>
  <si>
    <t>A264450</t>
  </si>
  <si>
    <t>A094970</t>
  </si>
  <si>
    <t>A024800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</si>
  <si>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</si>
  <si>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</si>
  <si>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</si>
  <si>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</si>
  <si>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</si>
  <si>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</si>
  <si>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</si>
  <si>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</si>
  <si>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</si>
  <si>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</si>
  <si>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A033320</t>
  </si>
  <si>
    <t>A026040</t>
  </si>
  <si>
    <t>A036800</t>
  </si>
  <si>
    <t>A010240</t>
  </si>
  <si>
    <t>A077500</t>
  </si>
  <si>
    <t>A072130</t>
  </si>
  <si>
    <t>A007690</t>
  </si>
  <si>
    <t>A111770</t>
  </si>
  <si>
    <t>A009970</t>
  </si>
  <si>
    <t>A002630</t>
  </si>
  <si>
    <t>A002990</t>
  </si>
  <si>
    <t>A034120</t>
  </si>
  <si>
    <t>A049800</t>
  </si>
  <si>
    <t>A010060</t>
  </si>
  <si>
    <t>A014830</t>
  </si>
  <si>
    <t>A030210</t>
  </si>
  <si>
    <t>A000700</t>
  </si>
  <si>
    <t>A008260</t>
  </si>
  <si>
    <t>A192400</t>
  </si>
  <si>
    <t>A000760</t>
  </si>
  <si>
    <t>A005940</t>
  </si>
  <si>
    <t>A035420</t>
  </si>
  <si>
    <t>A004000</t>
  </si>
  <si>
    <t>A101140</t>
  </si>
  <si>
    <t>A317400</t>
  </si>
  <si>
    <t>A194370</t>
  </si>
  <si>
    <t>A002780</t>
  </si>
  <si>
    <t>A281820</t>
  </si>
  <si>
    <t>A002020</t>
  </si>
  <si>
    <t>A210540</t>
  </si>
  <si>
    <t>A004060</t>
  </si>
  <si>
    <t>A244920</t>
  </si>
  <si>
    <t>A009160</t>
  </si>
  <si>
    <t>A137310</t>
  </si>
  <si>
    <t>A013580</t>
  </si>
  <si>
    <t>A002170</t>
  </si>
  <si>
    <t>A248170</t>
  </si>
  <si>
    <t>A008490</t>
  </si>
  <si>
    <t>A003960</t>
  </si>
  <si>
    <t>A136490</t>
  </si>
  <si>
    <t>A027970</t>
  </si>
  <si>
    <t>A009450</t>
  </si>
  <si>
    <t>A134790</t>
  </si>
  <si>
    <t>A016590</t>
  </si>
  <si>
    <t>A005390</t>
  </si>
  <si>
    <t>A035510</t>
  </si>
  <si>
    <t>A002310</t>
  </si>
  <si>
    <t>A001270</t>
  </si>
  <si>
    <t>A000660</t>
  </si>
  <si>
    <t>A285130</t>
  </si>
  <si>
    <t>A377740</t>
  </si>
  <si>
    <t>A161000</t>
  </si>
  <si>
    <t>A210980</t>
  </si>
  <si>
    <t>A008420</t>
  </si>
  <si>
    <t>A008560</t>
  </si>
  <si>
    <t>A006120</t>
  </si>
  <si>
    <t>A018670</t>
  </si>
  <si>
    <t>A003070</t>
  </si>
  <si>
    <t>A024090</t>
  </si>
  <si>
    <t>A001120</t>
  </si>
  <si>
    <t>A241520</t>
  </si>
  <si>
    <t>A011760</t>
  </si>
  <si>
    <t>A011200</t>
  </si>
  <si>
    <t>A298020</t>
  </si>
  <si>
    <t>A298000</t>
  </si>
  <si>
    <t>A014790</t>
  </si>
  <si>
    <t>A007070</t>
  </si>
  <si>
    <t>A005880</t>
  </si>
  <si>
    <t>A023460</t>
  </si>
  <si>
    <t>A068790</t>
  </si>
  <si>
    <t>A007700</t>
  </si>
  <si>
    <t>A001880</t>
  </si>
  <si>
    <t>A009460</t>
  </si>
  <si>
    <t>A036640</t>
  </si>
  <si>
    <t>A084010</t>
  </si>
  <si>
    <t>A001260</t>
  </si>
  <si>
    <t>A047040</t>
  </si>
  <si>
    <t>A035600</t>
  </si>
  <si>
    <t>A003540</t>
  </si>
  <si>
    <t>A246690</t>
  </si>
  <si>
    <t>A001680</t>
  </si>
  <si>
    <t>A023590</t>
  </si>
  <si>
    <t>A121440</t>
  </si>
  <si>
    <t>A000880</t>
  </si>
  <si>
    <t>A192080</t>
  </si>
  <si>
    <t>A006390</t>
  </si>
  <si>
    <t>A001750</t>
  </si>
  <si>
    <t>A284740</t>
  </si>
  <si>
    <t>A259960</t>
  </si>
  <si>
    <t>A005960</t>
  </si>
  <si>
    <t>A039490</t>
  </si>
  <si>
    <t>A019180</t>
  </si>
  <si>
    <t>A004720</t>
  </si>
  <si>
    <t>A058430</t>
  </si>
  <si>
    <t>A044450</t>
  </si>
  <si>
    <t>A005810</t>
  </si>
  <si>
    <t>A071050</t>
  </si>
  <si>
    <t>A123890</t>
  </si>
  <si>
    <t>A011780</t>
  </si>
  <si>
    <t>A000970</t>
  </si>
  <si>
    <t>A034830</t>
  </si>
  <si>
    <t>A001390</t>
  </si>
  <si>
    <t>A007280</t>
  </si>
  <si>
    <t>A001230</t>
  </si>
  <si>
    <t>A016450</t>
  </si>
  <si>
    <t>A009180</t>
  </si>
  <si>
    <t>A016380</t>
  </si>
  <si>
    <t>A175330</t>
  </si>
  <si>
    <t>A004960</t>
  </si>
  <si>
    <t>A016360</t>
  </si>
  <si>
    <t>A002410</t>
  </si>
  <si>
    <t>A036930</t>
  </si>
  <si>
    <t>A007370</t>
  </si>
  <si>
    <t>A137950</t>
  </si>
  <si>
    <t>A339770</t>
  </si>
  <si>
    <t>A112040</t>
  </si>
  <si>
    <t>A041920</t>
  </si>
  <si>
    <t>A052400</t>
  </si>
  <si>
    <t>A376980</t>
  </si>
  <si>
    <t>A040300</t>
  </si>
  <si>
    <t>A092730</t>
  </si>
  <si>
    <t>A285490</t>
  </si>
  <si>
    <t>A151860</t>
  </si>
  <si>
    <t>A036670</t>
  </si>
  <si>
    <t>A000990</t>
  </si>
  <si>
    <t>A083450</t>
  </si>
  <si>
    <t>A265520</t>
  </si>
  <si>
    <t>A214180</t>
  </si>
  <si>
    <t>A256150</t>
  </si>
  <si>
    <t>A206640</t>
  </si>
  <si>
    <t>A054220</t>
  </si>
  <si>
    <t>A108320</t>
  </si>
  <si>
    <t>A128660</t>
  </si>
  <si>
    <t>A010050</t>
  </si>
  <si>
    <t>A089970</t>
  </si>
  <si>
    <t>A009780</t>
  </si>
  <si>
    <t>A065150</t>
  </si>
  <si>
    <t>A014940</t>
  </si>
  <si>
    <t>A323280</t>
  </si>
  <si>
    <t>A139990</t>
  </si>
  <si>
    <t>A089790</t>
  </si>
  <si>
    <t>A293490</t>
  </si>
  <si>
    <t>A126700</t>
  </si>
  <si>
    <t>A347770</t>
  </si>
  <si>
    <t>A382800</t>
  </si>
  <si>
    <t>A170790</t>
  </si>
  <si>
    <t>A089010</t>
  </si>
  <si>
    <t>A243070</t>
  </si>
  <si>
    <t>A137080</t>
  </si>
  <si>
    <t>A122310</t>
  </si>
  <si>
    <t>A348030</t>
  </si>
  <si>
    <t>A114840</t>
  </si>
  <si>
    <t>A372800</t>
  </si>
  <si>
    <t>A262840</t>
  </si>
  <si>
    <t>A243840</t>
  </si>
  <si>
    <t>A021240</t>
  </si>
  <si>
    <t>A253840</t>
  </si>
  <si>
    <t>A290690</t>
  </si>
  <si>
    <t>A038070</t>
  </si>
  <si>
    <t>A365900</t>
  </si>
  <si>
    <t>A363260</t>
  </si>
  <si>
    <t>A071200</t>
  </si>
  <si>
    <t>A086280</t>
  </si>
  <si>
    <t>A094280</t>
  </si>
  <si>
    <t>A068930</t>
  </si>
  <si>
    <t>A263690</t>
  </si>
  <si>
    <t>A081660</t>
  </si>
  <si>
    <t>A298540</t>
  </si>
  <si>
    <t>A389260</t>
  </si>
  <si>
    <t>A340360</t>
  </si>
  <si>
    <t>A019550</t>
  </si>
  <si>
    <t>A361570</t>
  </si>
  <si>
    <t>A306040</t>
  </si>
  <si>
    <t>A187660</t>
  </si>
  <si>
    <t>A097520</t>
  </si>
  <si>
    <t>A064290</t>
  </si>
  <si>
    <t>A216050</t>
  </si>
  <si>
    <t>A277410</t>
  </si>
  <si>
    <t>A041830</t>
  </si>
  <si>
    <t>A272290</t>
  </si>
  <si>
    <t>A138040</t>
  </si>
  <si>
    <t>A069330</t>
  </si>
  <si>
    <t>A107590</t>
  </si>
  <si>
    <t>A348350</t>
  </si>
  <si>
    <t>A068290</t>
  </si>
  <si>
    <t>A126720</t>
  </si>
  <si>
    <t>A138080</t>
  </si>
  <si>
    <t>A130580</t>
  </si>
  <si>
    <t>A053980</t>
  </si>
  <si>
    <t>A060850</t>
  </si>
  <si>
    <t>A169330</t>
  </si>
  <si>
    <t>A058630</t>
  </si>
  <si>
    <t>A061970</t>
  </si>
  <si>
    <t>A333620</t>
  </si>
  <si>
    <t>A241790</t>
  </si>
  <si>
    <t>AJ네트웍스</t>
  </si>
  <si>
    <t>우리기술투자</t>
  </si>
  <si>
    <t>서호전기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</si>
  <si>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</si>
  <si>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</si>
  <si>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</si>
  <si>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</si>
  <si>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</si>
  <si>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</si>
  <si>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</si>
  <si>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</si>
  <si>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</si>
  <si>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</si>
  <si>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</si>
  <si>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</si>
  <si>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</si>
  <si>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</si>
  <si>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</si>
  <si>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</si>
  <si>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</si>
  <si>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</si>
  <si>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</si>
  <si>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</si>
  <si>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</si>
  <si>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</si>
  <si>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</si>
  <si>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</si>
  <si>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</si>
  <si>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</si>
  <si>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영우디에스피</t>
  </si>
  <si>
    <t>와이아이케이</t>
  </si>
  <si>
    <t>서플러스글로벌</t>
  </si>
  <si>
    <t>상상인</t>
  </si>
  <si>
    <t>삼진</t>
  </si>
  <si>
    <t>랩지노믹스</t>
  </si>
  <si>
    <t>네오위즈홀딩스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</si>
  <si>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</si>
  <si>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</si>
  <si>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</si>
  <si>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</si>
  <si>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</si>
  <si>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</si>
  <si>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</si>
  <si>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</si>
  <si>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</si>
  <si>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</si>
  <si>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</si>
  <si>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</si>
  <si>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리파인</t>
  </si>
  <si>
    <t>삼지전자</t>
  </si>
  <si>
    <t>링네트</t>
  </si>
  <si>
    <t>마이크로프랜드</t>
  </si>
  <si>
    <t>마크로젠</t>
  </si>
  <si>
    <t>매일유업</t>
  </si>
  <si>
    <t>매커스</t>
  </si>
  <si>
    <t>DB금융투자</t>
  </si>
  <si>
    <t>메디앙스</t>
  </si>
  <si>
    <t>멕아이씨에스</t>
  </si>
  <si>
    <t>미래에셋벤처투자</t>
  </si>
  <si>
    <t>미투젠</t>
  </si>
  <si>
    <t>버킷스튜디오</t>
  </si>
  <si>
    <t>비덴트</t>
  </si>
  <si>
    <t>비비씨</t>
  </si>
  <si>
    <t>와이엔텍</t>
  </si>
  <si>
    <t>우리로</t>
  </si>
  <si>
    <t>국보디자인</t>
  </si>
  <si>
    <t>우리바이오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</si>
  <si>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</si>
  <si>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</si>
  <si>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</si>
  <si>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</si>
  <si>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</si>
  <si>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</si>
  <si>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</si>
  <si>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</si>
  <si>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</si>
  <si>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</si>
  <si>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</si>
  <si>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</si>
  <si>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</si>
  <si>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</si>
  <si>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</si>
  <si>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</si>
  <si>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</si>
  <si>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</si>
  <si>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</si>
  <si>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</si>
  <si>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</si>
  <si>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</si>
  <si>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</si>
  <si>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</si>
  <si>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</si>
  <si>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</si>
  <si>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</si>
  <si>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</si>
  <si>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</si>
  <si>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초록뱀컴퍼니</t>
  </si>
  <si>
    <t>젬백스링크</t>
  </si>
  <si>
    <t>제일전기공업</t>
  </si>
  <si>
    <t>유비온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</si>
  <si>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</si>
  <si>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</si>
  <si>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</si>
  <si>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</si>
  <si>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</si>
  <si>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</si>
  <si>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</si>
  <si>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</si>
  <si>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</si>
  <si>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</si>
  <si>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</si>
  <si>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</si>
  <si>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유비벨록스</t>
  </si>
  <si>
    <t>유비쿼스</t>
  </si>
  <si>
    <t>제이엠티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</si>
  <si>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</si>
  <si>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</si>
  <si>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</si>
  <si>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</si>
  <si>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</si>
  <si>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</si>
  <si>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</si>
  <si>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</si>
  <si>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</si>
  <si>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</si>
  <si>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</si>
  <si>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제이씨현시스템</t>
  </si>
  <si>
    <t>제이에스티나</t>
  </si>
  <si>
    <t>나이스정보통신</t>
  </si>
  <si>
    <t>흥국</t>
  </si>
  <si>
    <t>유니퀘스트</t>
  </si>
  <si>
    <t>유엔젤</t>
  </si>
  <si>
    <t>국도화학</t>
  </si>
  <si>
    <t>영원무역</t>
  </si>
  <si>
    <t>영원무역홀딩스</t>
  </si>
  <si>
    <t>오리엔트바이오</t>
  </si>
  <si>
    <t>금호건설</t>
  </si>
  <si>
    <t>SBS</t>
  </si>
  <si>
    <t>우진플라임</t>
  </si>
  <si>
    <t>OCI</t>
  </si>
  <si>
    <t>유니드</t>
  </si>
  <si>
    <t>다올투자증권</t>
  </si>
  <si>
    <t>유수홀딩스</t>
  </si>
  <si>
    <t>NI스틸</t>
  </si>
  <si>
    <t>쿠쿠홀딩스</t>
  </si>
  <si>
    <t>이화산업</t>
  </si>
  <si>
    <t>NH투자증권</t>
  </si>
  <si>
    <t>NAVER</t>
  </si>
  <si>
    <t>롯데정밀화학</t>
  </si>
  <si>
    <t>인바이오젠</t>
  </si>
  <si>
    <t>자이에스앤디</t>
  </si>
  <si>
    <t>제이에스코퍼레이션</t>
  </si>
  <si>
    <t>진흥기업</t>
  </si>
  <si>
    <t>케이씨텍</t>
  </si>
  <si>
    <t>코오롱</t>
  </si>
  <si>
    <t>디와이파워</t>
  </si>
  <si>
    <t>SG세계물산</t>
  </si>
  <si>
    <t>에이플러스에셋</t>
  </si>
  <si>
    <t>SIMPAC</t>
  </si>
  <si>
    <t>에스디바이오센서</t>
  </si>
  <si>
    <t>계룡건설</t>
  </si>
  <si>
    <t>삼양통상</t>
  </si>
  <si>
    <t>샘표식품</t>
  </si>
  <si>
    <t>서흥</t>
  </si>
  <si>
    <t>사조대림</t>
  </si>
  <si>
    <t>선진</t>
  </si>
  <si>
    <t>세하</t>
  </si>
  <si>
    <t>경동나비엔</t>
  </si>
  <si>
    <t>시디즈</t>
  </si>
  <si>
    <t>신대양제지</t>
  </si>
  <si>
    <t>신성통상</t>
  </si>
  <si>
    <t>신세계 I&amp;C</t>
  </si>
  <si>
    <t>아세아제지</t>
  </si>
  <si>
    <t>부국증권</t>
  </si>
  <si>
    <t>SK하이닉스</t>
  </si>
  <si>
    <t>SK케미칼</t>
  </si>
  <si>
    <t>바이오노트</t>
  </si>
  <si>
    <t>애경케미칼</t>
  </si>
  <si>
    <t>SK디앤디</t>
  </si>
  <si>
    <t>문배철강</t>
  </si>
  <si>
    <t>메리츠증권</t>
  </si>
  <si>
    <t>SK디스커버리</t>
  </si>
  <si>
    <t>SK가스</t>
  </si>
  <si>
    <t>코오롱글로벌</t>
  </si>
  <si>
    <t>디씨엠</t>
  </si>
  <si>
    <t>LX인터내셔널</t>
  </si>
  <si>
    <t>DSC인베스트먼트</t>
  </si>
  <si>
    <t>현대코퍼레이션</t>
  </si>
  <si>
    <t>HMM</t>
  </si>
  <si>
    <t>효성티앤씨</t>
  </si>
  <si>
    <t>효성화학</t>
  </si>
  <si>
    <t>HL D&amp;I</t>
  </si>
  <si>
    <t>GS리테일</t>
  </si>
  <si>
    <t>대한해운</t>
  </si>
  <si>
    <t>CNH</t>
  </si>
  <si>
    <t>DMS</t>
  </si>
  <si>
    <t>F&amp;F홀딩스</t>
  </si>
  <si>
    <t>DL건설</t>
  </si>
  <si>
    <t>한창제지</t>
  </si>
  <si>
    <t>HRS</t>
  </si>
  <si>
    <t>대한제강</t>
  </si>
  <si>
    <t>남광토건</t>
  </si>
  <si>
    <t>대우건설</t>
  </si>
  <si>
    <t>KG이니시스</t>
  </si>
  <si>
    <t>대신증권</t>
  </si>
  <si>
    <t>TS인베스트먼트</t>
  </si>
  <si>
    <t>대상</t>
  </si>
  <si>
    <t>다우기술</t>
  </si>
  <si>
    <t>골프존뉴딘홀딩스</t>
  </si>
  <si>
    <t>한화</t>
  </si>
  <si>
    <t>더블유게임즈</t>
  </si>
  <si>
    <t>한일현대시멘트</t>
  </si>
  <si>
    <t>한양증권</t>
  </si>
  <si>
    <t>쿠쿠홈시스</t>
  </si>
  <si>
    <t>크래프톤</t>
  </si>
  <si>
    <t>동부건설</t>
  </si>
  <si>
    <t>키움증권</t>
  </si>
  <si>
    <t>티에이치엔</t>
  </si>
  <si>
    <t>팜젠사이언스</t>
  </si>
  <si>
    <t>포스코스틸리온</t>
  </si>
  <si>
    <t>KSS해운</t>
  </si>
  <si>
    <t>풍산홀딩스</t>
  </si>
  <si>
    <t>한국금융지주</t>
  </si>
  <si>
    <t>한국자산신탁</t>
  </si>
  <si>
    <t>금호석유</t>
  </si>
  <si>
    <t>한국주철관</t>
  </si>
  <si>
    <t>한국토지신탁</t>
  </si>
  <si>
    <t>KG케미칼</t>
  </si>
  <si>
    <t>한국특강</t>
  </si>
  <si>
    <t>동국제강</t>
  </si>
  <si>
    <t>한세예스24홀딩스</t>
  </si>
  <si>
    <t>한솔로지스틱스</t>
  </si>
  <si>
    <t>KG스틸</t>
  </si>
  <si>
    <t>JB금융지주</t>
  </si>
  <si>
    <t>한신공영</t>
  </si>
  <si>
    <t>삼성증권</t>
  </si>
  <si>
    <t>범양건영</t>
  </si>
  <si>
    <t>주성엔지니어링</t>
  </si>
  <si>
    <t>진양제약</t>
  </si>
  <si>
    <t>제이씨케미칼</t>
  </si>
  <si>
    <t>교촌에프앤비</t>
  </si>
  <si>
    <t>위메이드</t>
  </si>
  <si>
    <t>메디아나</t>
  </si>
  <si>
    <t>코나아이</t>
  </si>
  <si>
    <t>원티드랩</t>
  </si>
  <si>
    <t>YTN</t>
  </si>
  <si>
    <t>네오팜</t>
  </si>
  <si>
    <t>노바텍</t>
  </si>
  <si>
    <t>KG ETS</t>
  </si>
  <si>
    <t>KCI</t>
  </si>
  <si>
    <t>DB하이텍</t>
  </si>
  <si>
    <t>GST</t>
  </si>
  <si>
    <t>AP시스템</t>
  </si>
  <si>
    <t>헥토이노베이션</t>
  </si>
  <si>
    <t>한독크린텍</t>
  </si>
  <si>
    <t>바디텍메드</t>
  </si>
  <si>
    <t>비츠로시스</t>
  </si>
  <si>
    <t>LX세미콘</t>
  </si>
  <si>
    <t>피제이메탈</t>
  </si>
  <si>
    <t>우리종금</t>
  </si>
  <si>
    <t>에이피티씨</t>
  </si>
  <si>
    <t>엠에스씨</t>
  </si>
  <si>
    <t>엠피대산</t>
  </si>
  <si>
    <t>오리엔탈정공</t>
  </si>
  <si>
    <t>태성</t>
  </si>
  <si>
    <t>아주스틸</t>
  </si>
  <si>
    <t>제이티</t>
  </si>
  <si>
    <t>카카오게임즈</t>
  </si>
  <si>
    <t>하이비젼시스템</t>
  </si>
  <si>
    <t>핌스</t>
  </si>
  <si>
    <t>지앤비에스엔지니어링</t>
  </si>
  <si>
    <t>파이오링크</t>
  </si>
  <si>
    <t>켐트로닉스</t>
  </si>
  <si>
    <t>휴온스</t>
  </si>
  <si>
    <t>나래나노텍</t>
  </si>
  <si>
    <t>제노레이</t>
  </si>
  <si>
    <t>모비릭스</t>
  </si>
  <si>
    <t>아이패밀리에스씨</t>
  </si>
  <si>
    <t>아이티아이즈</t>
  </si>
  <si>
    <t>아이퀘스트</t>
  </si>
  <si>
    <t>신흥에스이씨</t>
  </si>
  <si>
    <t>코웨이</t>
  </si>
  <si>
    <t>수젠텍</t>
  </si>
  <si>
    <t>소룩스</t>
  </si>
  <si>
    <t>서린바이오</t>
  </si>
  <si>
    <t>브이씨</t>
  </si>
  <si>
    <t>모비데이즈</t>
  </si>
  <si>
    <t>인피니트헬스케어</t>
  </si>
  <si>
    <t>현대글로비스</t>
  </si>
  <si>
    <t>효성ITX</t>
  </si>
  <si>
    <t>디지털대성</t>
  </si>
  <si>
    <t>디알젬</t>
  </si>
  <si>
    <t>휠라홀딩스</t>
  </si>
  <si>
    <t>더네이쳐홀딩스</t>
  </si>
  <si>
    <t>대명에너지</t>
  </si>
  <si>
    <t>다보링크</t>
  </si>
  <si>
    <t>SBI인베스트먼트</t>
  </si>
  <si>
    <t>알비더블유</t>
  </si>
  <si>
    <t>에스제이그룹</t>
  </si>
  <si>
    <t>에이디엠코리아</t>
  </si>
  <si>
    <t>엠씨넥스</t>
  </si>
  <si>
    <t>인텍플러스</t>
  </si>
  <si>
    <t>인크로스</t>
  </si>
  <si>
    <t>인산가</t>
  </si>
  <si>
    <t>인바디</t>
  </si>
  <si>
    <t>이녹스첨단소재</t>
  </si>
  <si>
    <t>메리츠금융지주</t>
  </si>
  <si>
    <t>유아이디</t>
  </si>
  <si>
    <t>미원홀딩스</t>
  </si>
  <si>
    <t>위드텍</t>
  </si>
  <si>
    <t>삼성출판사</t>
  </si>
  <si>
    <t>수산인더스트리</t>
  </si>
  <si>
    <t>오이솔루션</t>
  </si>
  <si>
    <t>나이스디앤비</t>
  </si>
  <si>
    <t>오상자이엘</t>
  </si>
  <si>
    <t>영림원소프트랩</t>
  </si>
  <si>
    <t>엠브레인</t>
  </si>
  <si>
    <t>엠게임</t>
  </si>
  <si>
    <t>엘비세미콘</t>
  </si>
  <si>
    <t>엔시스</t>
  </si>
  <si>
    <t>오션브릿지</t>
  </si>
  <si>
    <t>[982.0, -84.0, 1640.0, 869.0]</t>
  </si>
  <si>
    <t>[127.0, 341.0, 7374.0, nan]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</si>
  <si>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</si>
  <si>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</si>
  <si>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</si>
  <si>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</si>
  <si>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</si>
  <si>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</si>
  <si>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</si>
  <si>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</si>
  <si>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</si>
  <si>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</si>
  <si>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</si>
  <si>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</si>
  <si>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</si>
  <si>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</si>
  <si>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</si>
  <si>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</si>
  <si>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</si>
  <si>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</si>
  <si>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</si>
  <si>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</si>
  <si>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</si>
  <si>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</si>
  <si>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627.0]</t>
  </si>
  <si>
    <t>[141.0, 305.0, 1375.0, nan]</t>
  </si>
  <si>
    <t>[-602.0, 1330.0, 5223.0, nan]</t>
  </si>
  <si>
    <t>[-515.0, 1152.0, 3169.0, 1304.0]</t>
  </si>
  <si>
    <t>[753.0, 830.0, 817.0, nan]</t>
  </si>
  <si>
    <t>[-53.0, 181.0, 198.0, nan]</t>
  </si>
  <si>
    <t>[-200.0, 240.0, 548.0, nan]</t>
  </si>
  <si>
    <t>[43.0, 311.0, 749.0, 681.0]</t>
  </si>
  <si>
    <t>[2254.0, 1121.0, 1828.0, nan]</t>
  </si>
  <si>
    <t>[1683.0, 918.0, 1337.0, nan]</t>
  </si>
  <si>
    <t>[33.0, 1246.0, 2441.0, nan]</t>
  </si>
  <si>
    <t>[2345.0, 5841.0, 7343.0,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</si>
  <si>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</si>
  <si>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</si>
  <si>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</si>
  <si>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</si>
  <si>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</si>
  <si>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</si>
  <si>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</si>
  <si>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</si>
  <si>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</si>
  <si>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</si>
  <si>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</si>
  <si>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</si>
  <si>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[416.0, 1236.0, 1224.0, nan]</t>
  </si>
  <si>
    <t>[849.0, 1649.0, 1874.0, nan]</t>
  </si>
  <si>
    <t>[466.0, 498.0, 565.0, nan]</t>
  </si>
  <si>
    <t>[-429.0, 595.0, 726.0, nan]</t>
  </si>
  <si>
    <t>[-330.0, 8324.0, 103.0, nan]</t>
  </si>
  <si>
    <t>[8202.0, 7350.0, 9466.0, 3557.0]</t>
  </si>
  <si>
    <t>[296.0, 493.0, 1545.0, 1346.0]</t>
  </si>
  <si>
    <t>[1144.0, 2271.0, 2763.0, nan]</t>
  </si>
  <si>
    <t>[2765.0, 342.0, 370.0, nan]</t>
  </si>
  <si>
    <t>[-134.0, 1751.0, 603.0, nan]</t>
  </si>
  <si>
    <t>[243.0, 626.0, 1657.0, nan]</t>
  </si>
  <si>
    <t>[3166.0, 3271.0, 2243.0, nan]</t>
  </si>
  <si>
    <t>[-118.0, -147.0, 947.0, nan]</t>
  </si>
  <si>
    <t>[-258.0, 465.0, 4405.0, nan]</t>
  </si>
  <si>
    <t>[1183.0, 1829.0, 686.0, nan]</t>
  </si>
  <si>
    <t>[1012.0, 1203.0, 1277.0, nan]</t>
  </si>
  <si>
    <t>[-338.0, -300.0, 428.0, nan]</t>
  </si>
  <si>
    <t>[2126.0, 2680.0, 2606.0, nan]</t>
  </si>
  <si>
    <t>[101.0, 375.0, 709.0,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</si>
  <si>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</si>
  <si>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</si>
  <si>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</si>
  <si>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</si>
  <si>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</si>
  <si>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</si>
  <si>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</si>
  <si>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</si>
  <si>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[104.0, -15.0, 3860.0, nan]</t>
  </si>
  <si>
    <t>[7.0, 125.0, 1131.0, nan]</t>
  </si>
  <si>
    <t>[1126.0, 404.0, 1334.0, 743.0]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</si>
  <si>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</si>
  <si>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</si>
  <si>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</si>
  <si>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</si>
  <si>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</si>
  <si>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</si>
  <si>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</si>
  <si>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</si>
  <si>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</si>
  <si>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</si>
  <si>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</si>
  <si>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</si>
  <si>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</si>
  <si>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</si>
  <si>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</si>
  <si>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</si>
  <si>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</si>
  <si>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</si>
  <si>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[-471.0, 284.0, 772.0, nan]</t>
  </si>
  <si>
    <t>[47.0, 127.0, 415.0, nan]</t>
  </si>
  <si>
    <t>[1472.0, 1473.0, 1162.0, nan]</t>
  </si>
  <si>
    <t>[2.0, 94.0, 128.0,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</si>
  <si>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</si>
  <si>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</si>
  <si>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</si>
  <si>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</si>
  <si>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</si>
  <si>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</si>
  <si>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1137.0]</t>
  </si>
  <si>
    <t>[2266.0, 2373.0, 1118.0, nan]</t>
  </si>
  <si>
    <t>[1207.0, 1499.0, 1340.0, nan]</t>
  </si>
  <si>
    <t>[236.0, 272.0, 396.0, nan]</t>
  </si>
  <si>
    <t>[718.0, 686.0, 1244.0, nan]</t>
  </si>
  <si>
    <t>[237.0, 414.0, 377.0, nan]</t>
  </si>
  <si>
    <t>[805.0, 1001.0, 1651.0, nan]</t>
  </si>
  <si>
    <t>[1087.0, 1571.0, 2811.0, nan]</t>
  </si>
  <si>
    <t>[57.0, 317.0, 906.0,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</si>
  <si>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</si>
  <si>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</si>
  <si>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</si>
  <si>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</si>
  <si>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</si>
  <si>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</si>
  <si>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</si>
  <si>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</si>
  <si>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5826.0]</t>
  </si>
  <si>
    <t>[-907.0, 3410.0, 1636.0, nan]</t>
  </si>
  <si>
    <t>[-41.0, 3927.0, 3595.0, nan]</t>
  </si>
  <si>
    <t>[37.0, 546.0, 792.0, nan]</t>
  </si>
  <si>
    <t>[-2026.0, -836.0, 1067.0, nan]</t>
  </si>
  <si>
    <t>[3011.0, 1351.0, 3980.0, 4320.0]</t>
  </si>
  <si>
    <t>[568.0, 954.0, 963.0, nan]</t>
  </si>
  <si>
    <t>[935.0, 878.0, 2289.0, 2065.0]</t>
  </si>
  <si>
    <t>[-377.0, -46.0, 1113.0, nan]</t>
  </si>
  <si>
    <t>[4833.0, 4058.0, 19980.0, nan]</t>
  </si>
  <si>
    <t>[3753.0, 3332.0, 6727.0, 13281.0]</t>
  </si>
  <si>
    <t>[8870.0, 7690.0, 16192.0, 27960.0]</t>
  </si>
  <si>
    <t>[-118.0, -139.0, 288.0, nan]</t>
  </si>
  <si>
    <t>[323.0, 719.0, 4011.0, 1029.0]</t>
  </si>
  <si>
    <t>[1079.0, -3459.0, 7456.0, 8714.0]</t>
  </si>
  <si>
    <t>[-680.0, 389.0, 1126.0, nan]</t>
  </si>
  <si>
    <t>[-33308.0, -10321.0, 27156.0, 31480.0]</t>
  </si>
  <si>
    <t>[7600.0, 8656.0, 20535.0, nan]</t>
  </si>
  <si>
    <t>[710.0, 1103.0, 2459.0, nan]</t>
  </si>
  <si>
    <t>[156.0, 3071.0, 923.0, nan]</t>
  </si>
  <si>
    <t>[224.0, 424.0, 771.0, nan]</t>
  </si>
  <si>
    <t>[2234.0, 3001.0, 4073.0, nan]</t>
  </si>
  <si>
    <t>[-1615.0, -951.0, 16817.0, nan]</t>
  </si>
  <si>
    <t>[1584.0, 1921.0, 3067.0, 973.0]</t>
  </si>
  <si>
    <t>[3538.0, 6097.0, 100400.0, 5648.0]</t>
  </si>
  <si>
    <t>[6526.0, 7705.0, 22692.0, 7355.0]</t>
  </si>
  <si>
    <t>[397.0, -874.0, 1612.0, nan]</t>
  </si>
  <si>
    <t>[636.0, 735.0, 1036.0, 1183.0]</t>
  </si>
  <si>
    <t>[615.0, 177.0, 3619.0, nan]</t>
  </si>
  <si>
    <t>[139.0, 139.0, 364.0, nan]</t>
  </si>
  <si>
    <t>[1858.0, 2133.0, 2011.0, nan]</t>
  </si>
  <si>
    <t>[-1625.0, 10013.0, 9369.0, nan]</t>
  </si>
  <si>
    <t>[1728.0, 2301.0, 2813.0, nan]</t>
  </si>
  <si>
    <t>[48.0, -51.0, 232.0, nan]</t>
  </si>
  <si>
    <t>[610.0, 977.0, 535.0, 2123.0]</t>
  </si>
  <si>
    <t>[145.0, 522.0, 1388.0, nan]</t>
  </si>
  <si>
    <t>[38.0, 6597.0, 10867.0, 12645.0]</t>
  </si>
  <si>
    <t>[8013.0, 10532.0, 17457.0, nan]</t>
  </si>
  <si>
    <t>[14733.0, 16637.0, 11047.0, nan]</t>
  </si>
  <si>
    <t>[5870.0, 7892.0, 5186.0, nan]</t>
  </si>
  <si>
    <t>[2742.0, 4581.0, 4641.0, 4261.0]</t>
  </si>
  <si>
    <t>[10553.0, 3691.0, 6840.0, nan]</t>
  </si>
  <si>
    <t>[899.0, 3516.0, 1804.0, nan]</t>
  </si>
  <si>
    <t>[347.0, 310.0, 178.0, nan]</t>
  </si>
  <si>
    <t>[2186.0, 3232.0, 5825.0, nan]</t>
  </si>
  <si>
    <t>[3907.0, 8672.0, 6468.0, nan]</t>
  </si>
  <si>
    <t>[13849.0, 10529.0, 13429.0, nan]</t>
  </si>
  <si>
    <t>[2.0, 200.0, 533.0, nan]</t>
  </si>
  <si>
    <t>[620.0, 4045.0, 2268.0, nan]</t>
  </si>
  <si>
    <t>[6860.0, 6057.0, 10160.0, nan]</t>
  </si>
  <si>
    <t>[2055.0, 4529.0, 5786.0, nan]</t>
  </si>
  <si>
    <t>[2755.0, 6532.0, 13190.0, 7310.0]</t>
  </si>
  <si>
    <t>[540.0, 12896.0, 8521.0, nan]</t>
  </si>
  <si>
    <t>[244.0, 5646.0, 7178.0, 5850.0]</t>
  </si>
  <si>
    <t>[952.0, 1386.0, 2225.0, nan]</t>
  </si>
  <si>
    <t>[2365.0, 2974.0, 5510.0, 4542.0]</t>
  </si>
  <si>
    <t>[116.0, 420.0, 1238.0, nan]</t>
  </si>
  <si>
    <t>[789.0, 773.0, 1058.0, 1189.0]</t>
  </si>
  <si>
    <t>[8844.0, 13091.0, 10438.0, nan]</t>
  </si>
  <si>
    <t>[17212.0, 28748.0, 27005.0, 20294.0]</t>
  </si>
  <si>
    <t>[1402.0, 3217.0, 5402.0, 8057.0]</t>
  </si>
  <si>
    <t>[2005.0, 1706.0, 4338.0, nan]</t>
  </si>
  <si>
    <t>[737.0, 7678.0, 9032.0, 15102.0]</t>
  </si>
  <si>
    <t>[312.0, 870.0, 575.0, nan]</t>
  </si>
  <si>
    <t>[1236.0, 3727.0, 2857.0, 8988.0]</t>
  </si>
  <si>
    <t>[-1853.0, 384.0, 10913.0, 20294.0]</t>
  </si>
  <si>
    <t>[21510.0, 31610.0, 178008.0, -121.0]</t>
  </si>
  <si>
    <t>[27530.0, -3641.0, 22073.0, -92269.0]</t>
  </si>
  <si>
    <t>[51.0, 2241.0, 2022.0, 619.0]</t>
  </si>
  <si>
    <t>[1729.0, 2187.0, 8961.0, 1111.0]</t>
  </si>
  <si>
    <t>[343.0, 33.0, 838.0, 724.0]</t>
  </si>
  <si>
    <t>[383.0, 785.0, 43.0, nan]</t>
  </si>
  <si>
    <t>[749.0, 1653.0, 1347.0, nan]</t>
  </si>
  <si>
    <t>[7156.0, 5571.0, 87636.0, nan]</t>
  </si>
  <si>
    <t>[6265.0, 7750.0, 7532.0, nan]</t>
  </si>
  <si>
    <t>[124.0, 177.0, 252.0, nan]</t>
  </si>
  <si>
    <t>[60.0, 563.0, 1273.0, nan]</t>
  </si>
  <si>
    <t>[1223.0, 1977.0, 5744.0, 4934.0]</t>
  </si>
  <si>
    <t>[393.0, 1400.0, 2206.0, nan]</t>
  </si>
  <si>
    <t>[502.0, 683.0, 1166.0, 1240.0]</t>
  </si>
  <si>
    <t>[1792.0, 1521.0, 1725.0, 2294.0]</t>
  </si>
  <si>
    <t>[1092.0, 1707.0, 7106.0, 2570.0]</t>
  </si>
  <si>
    <t>[135.0, 213.0, 254.0, nan]</t>
  </si>
  <si>
    <t>[2976.0, 3473.0, 4002.0, 2426.0]</t>
  </si>
  <si>
    <t>[4130.0, 6143.0, 8383.0, nan]</t>
  </si>
  <si>
    <t>[-733.0, 658.0, 3146.0, nan]</t>
  </si>
  <si>
    <t>[919.0, 2009.0, 9203.0, 12274.0]</t>
  </si>
  <si>
    <t>[6040.0, 6127.0, 6828.0, 1472.0]</t>
  </si>
  <si>
    <t>[2458.0, 3732.0, 2310.0, nan]</t>
  </si>
  <si>
    <t>[1672.0, 3465.0, 5994.0, nan]</t>
  </si>
  <si>
    <t>[2890.0, 3321.0, 6780.0, nan]</t>
  </si>
  <si>
    <t>[7198.0, 13710.0, 11446.0, 15614.0]</t>
  </si>
  <si>
    <t>[2803.0, 1973.0, 5102.0, nan]</t>
  </si>
  <si>
    <t>[14287.0, 27556.0, 32682.0, 17058.0]</t>
  </si>
  <si>
    <t>[959.0, -901.0, 955.0, nan]</t>
  </si>
  <si>
    <t>[26.0, 627.0, 2200.0, nan]</t>
  </si>
  <si>
    <t>[446.0, 1056.0, 17070.0, nan]</t>
  </si>
  <si>
    <t>[1009.0, 566.0, 2418.0, nan]</t>
  </si>
  <si>
    <t>[2108.0, 1205.0, 16510.0, 7954.0]</t>
  </si>
  <si>
    <t>[13724.0, 14021.0, 28650.0, 11682.0]</t>
  </si>
  <si>
    <t>[716.0, 1049.0, 867.0, 952.0]</t>
  </si>
  <si>
    <t>[8796.0, 17405.0, 58694.0, 32003.0]</t>
  </si>
  <si>
    <t>[552.0, 484.0, 2883.0, nan]</t>
  </si>
  <si>
    <t>[428.0, 336.0, 552.0, nan]</t>
  </si>
  <si>
    <t>[7569.0, 3319.0, 5389.0, nan]</t>
  </si>
  <si>
    <t>[-665.0, 95.0, 691.0, nan]</t>
  </si>
  <si>
    <t>[-718.0, 682.0, 5769.0, 6780.0]</t>
  </si>
  <si>
    <t>[504.0, 1359.0, 1007.0, nan]</t>
  </si>
  <si>
    <t>[215.0, 316.0, 855.0, nan]</t>
  </si>
  <si>
    <t>[-939.0, 668.0, 1908.0, nan]</t>
  </si>
  <si>
    <t>[1736.0, 1845.0, 2572.0, 2954.0]</t>
  </si>
  <si>
    <t>[6210.0, 9152.0, 4186.0, 2160.0]</t>
  </si>
  <si>
    <t>[4388.0, 5686.0, 10810.0, 5729.0]</t>
  </si>
  <si>
    <t>[794.0, 442.0, 195.0, nan]</t>
  </si>
  <si>
    <t>[561.0, -170.0, 3016.0, 2301.0]</t>
  </si>
  <si>
    <t>[137.0, 436.0, 795.0, nan]</t>
  </si>
  <si>
    <t>[513.0, 352.0, 1471.0, nan]</t>
  </si>
  <si>
    <t>[1411.0, 1107.0, 1195.0, 628.0]</t>
  </si>
  <si>
    <t>[-301.0, -209.0, 9218.0, -2656.0]</t>
  </si>
  <si>
    <t>[422.0, 703.0, 548.0, nan]</t>
  </si>
  <si>
    <t>[-591.0, 1223.0, 3378.0, nan]</t>
  </si>
  <si>
    <t>[-1500.0, -1596.0, 382.0, 999.0]</t>
  </si>
  <si>
    <t>[-78.0, 186.0, 1228.0, nan]</t>
  </si>
  <si>
    <t>[2438.0, 2209.0, 2158.0, nan]</t>
  </si>
  <si>
    <t>[488.0, 2087.0, 3836.0, 1957.0]</t>
  </si>
  <si>
    <t>[2716.0, 741.0, 1331.0, nan]</t>
  </si>
  <si>
    <t>[1013.0, 942.0, 901.0, nan]</t>
  </si>
  <si>
    <t>[2351.0, 3730.0, 7119.0, 14118.0]</t>
  </si>
  <si>
    <t>[1918.0, 1696.0, 4051.0, 4915.0]</t>
  </si>
  <si>
    <t>[618.0, 1633.0, 3741.0, 6040.0]</t>
  </si>
  <si>
    <t>[1329.0, 1532.0, 1600.0, 1946.0]</t>
  </si>
  <si>
    <t>[679.0, 1017.0, 559.0, nan]</t>
  </si>
  <si>
    <t>[497.0, 1938.0, 1889.0, nan]</t>
  </si>
  <si>
    <t>[-11292.0, -288.0, 218.0, nan]</t>
  </si>
  <si>
    <t>[2370.0, 4459.0, 18225.0, 17139.0]</t>
  </si>
  <si>
    <t>[85.0, 191.0, 740.0, nan]</t>
  </si>
  <si>
    <t>[78.0, 89.0, 91.0, nan]</t>
  </si>
  <si>
    <t>[609.0, 1003.0, 1968.0, nan]</t>
  </si>
  <si>
    <t>[659.0, 508.0, 874.0, 1222.0]</t>
  </si>
  <si>
    <t>[10.0, -187.0, 104.0, nan]</t>
  </si>
  <si>
    <t>[77.0, 644.0, 100.0, nan]</t>
  </si>
  <si>
    <t>[-220.0, 4.0, 524.0, nan]</t>
  </si>
  <si>
    <t>[800.0, 625.0, 1413.0, nan]</t>
  </si>
  <si>
    <t>[367.0, 505.0, 1349.0, nan]</t>
  </si>
  <si>
    <t>[197.0, 1380.0, 7062.0, 788.0]</t>
  </si>
  <si>
    <t>[560.0, 701.0, 2896.0, 1128.0]</t>
  </si>
  <si>
    <t>[1043.0, 787.0, 977.0, nan]</t>
  </si>
  <si>
    <t>[723.0, 837.0, 1729.0, nan]</t>
  </si>
  <si>
    <t>[820.0, 1557.0, 1629.0, nan]</t>
  </si>
  <si>
    <t>[1109.0, 1146.0, 1918.0, nan]</t>
  </si>
  <si>
    <t>[3201.0, 4657.0, 2577.0, 2258.0]</t>
  </si>
  <si>
    <t>[-1244.0, 259.0, 2028.0, nan]</t>
  </si>
  <si>
    <t>[950.0, 699.0, 984.0, nan]</t>
  </si>
  <si>
    <t>[834.0, 1098.0, 1082.0, nan]</t>
  </si>
  <si>
    <t>[680.0, 1335.0, 530.0, nan]</t>
  </si>
  <si>
    <t>[638.0, 745.0, -576.0, nan]</t>
  </si>
  <si>
    <t>[375.0, 524.0, 358.0, nan]</t>
  </si>
  <si>
    <t>[2439.0, 2627.0, 3341.0, 3571.0]</t>
  </si>
  <si>
    <t>[4511.0, 5486.0, 6310.0, 6782.0]</t>
  </si>
  <si>
    <t>[-756.0, -2709.0, 2301.0, nan]</t>
  </si>
  <si>
    <t>[935.0, 670.0, 505.0, nan]</t>
  </si>
  <si>
    <t>[1059.0, 576.0, 1834.0, nan]</t>
  </si>
  <si>
    <t>[374.0, 789.0, 1177.0, nan]</t>
  </si>
  <si>
    <t>[-9.0, 28.0, 55.0, nan]</t>
  </si>
  <si>
    <t>[297.0, 274.0, 929.0, nan]</t>
  </si>
  <si>
    <t>[13395.0, 16165.0, 20877.0, 31911.0]</t>
  </si>
  <si>
    <t>[871.0, 1026.0, 1158.0, nan]</t>
  </si>
  <si>
    <t>[662.0, 383.0, 589.0, 694.0]</t>
  </si>
  <si>
    <t>[483.0, 1765.0, 1108.0, nan]</t>
  </si>
  <si>
    <t>[4365.0, 2286.0, 3872.0, 3777.0]</t>
  </si>
  <si>
    <t>[1498.0, 2879.0, 4009.0, 5821.0]</t>
  </si>
  <si>
    <t>[937.0, 2066.0, 1583.0, nan]</t>
  </si>
  <si>
    <t>[21.0, 157.0, -333.0, nan]</t>
  </si>
  <si>
    <t>[71.0, 86.0, 137.0, nan]</t>
  </si>
  <si>
    <t>[747.0, 659.0, 1002.0, nan]</t>
  </si>
  <si>
    <t>[1785.0, 1587.0, 2347.0, 3188.0]</t>
  </si>
  <si>
    <t>[46.0, 219.0, 96.0, nan]</t>
  </si>
  <si>
    <t>[4731.0, 2152.0, 2206.0, 2268.0]</t>
  </si>
  <si>
    <t>[434.0, 733.0, 1787.0, 1748.0]</t>
  </si>
  <si>
    <t>[726.0, 958.0, 1644.0, 1173.0]</t>
  </si>
  <si>
    <t>[119.0, 177.0, 197.0, nan]</t>
  </si>
  <si>
    <t>[1493.0, 1280.0, 2487.0, 2631.0]</t>
  </si>
  <si>
    <t>[1767.0, 1290.0, 4091.0, 4963.0]</t>
  </si>
  <si>
    <t>[2841.0, 3587.0, 5889.0, 8190.0]</t>
  </si>
  <si>
    <t>[-1126.0, -691.0, 349.0, nan]</t>
  </si>
  <si>
    <t>[6591.0, 7556.0, 14283.0, nan]</t>
  </si>
  <si>
    <t>[1484.0, 1009.0, 1070.0, nan]</t>
  </si>
  <si>
    <t>[487.0, 5322.0, 316.0, nan]</t>
  </si>
  <si>
    <t>[3125.0, 2514.0, 5286.0, nan]</t>
  </si>
  <si>
    <t>[4614.0, 1163.0, 1353.0, -179.0]</t>
  </si>
  <si>
    <t>[686.0, 698.0, 863.0, 922.0]</t>
  </si>
  <si>
    <t>[-833.0, 1104.0, 258.0, nan]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</si>
  <si>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</si>
  <si>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</si>
  <si>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</si>
  <si>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</si>
  <si>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</si>
  <si>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[1030.0, 1422.0, 1332.0, nan]</t>
  </si>
  <si>
    <t>[-108.6, -2052.4, -47.0]</t>
  </si>
  <si>
    <t>[168.5, 2062.5, nan]</t>
  </si>
  <si>
    <t>[-55.7, 156.2, nan]</t>
  </si>
  <si>
    <t>[83.4, 16.2,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</si>
  <si>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</si>
  <si>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</si>
  <si>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</si>
  <si>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</si>
  <si>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</si>
  <si>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</si>
  <si>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</si>
  <si>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</si>
  <si>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</si>
  <si>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</si>
  <si>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</si>
  <si>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</si>
  <si>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</si>
  <si>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</si>
  <si>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[-80.3, -183.9, nan]</t>
  </si>
  <si>
    <t>[48.4, -4.7, nan]</t>
  </si>
  <si>
    <t>[15.4, 38.5, nan]</t>
  </si>
  <si>
    <t>[-28.1, -33.4, nan]</t>
  </si>
  <si>
    <t>[68.3, 1.0, -43.5]</t>
  </si>
  <si>
    <t>[-0.5, -31.1, nan]</t>
  </si>
  <si>
    <t>[82.9, -15.3, -28.0]</t>
  </si>
  <si>
    <t>[116.3, 350.8, nan]</t>
  </si>
  <si>
    <t>[-320.9, 292.7, nan]</t>
  </si>
  <si>
    <t>[-323.7, 175.1, -58.9]</t>
  </si>
  <si>
    <t>[10.2, -1.6, nan]</t>
  </si>
  <si>
    <t>[-441.5, 9.4, nan]</t>
  </si>
  <si>
    <t>[-220.0, 128.3, nan]</t>
  </si>
  <si>
    <t>[623.3, 140.8, -9.1]</t>
  </si>
  <si>
    <t>[-50.3, 63.1, nan]</t>
  </si>
  <si>
    <t>[-45.5, 45.6, nan]</t>
  </si>
  <si>
    <t>[3675.8, 95.9, nan]</t>
  </si>
  <si>
    <t>[149.1, 25.7,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</si>
  <si>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</si>
  <si>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</si>
  <si>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</si>
  <si>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</si>
  <si>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</si>
  <si>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</si>
  <si>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</si>
  <si>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</si>
  <si>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</si>
  <si>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</si>
  <si>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</si>
  <si>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</si>
  <si>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[197.1, -1.0, nan]</t>
  </si>
  <si>
    <t>[94.2, 13.6, nan]</t>
  </si>
  <si>
    <t>[6.9, 13.5, nan]</t>
  </si>
  <si>
    <t>[-238.7, 22.0, nan]</t>
  </si>
  <si>
    <t>[-2622.4, -98.8, nan]</t>
  </si>
  <si>
    <t>[-10.4, 28.8, -62.4]</t>
  </si>
  <si>
    <t>[66.6, 213.4, -12.9]</t>
  </si>
  <si>
    <t>[98.5, 21.7, nan]</t>
  </si>
  <si>
    <t>[-87.6, 8.2, nan]</t>
  </si>
  <si>
    <t>[-1406.7, -65.6, nan]</t>
  </si>
  <si>
    <t>[157.6, 164.7, nan]</t>
  </si>
  <si>
    <t>[3.3, -31.4, nan]</t>
  </si>
  <si>
    <t>[24.6, -744.2, nan]</t>
  </si>
  <si>
    <t>[-280.2, 847.3, nan]</t>
  </si>
  <si>
    <t>[54.6, -62.5, nan]</t>
  </si>
  <si>
    <t>[18.9, 6.2, nan]</t>
  </si>
  <si>
    <t>[-11.2, -242.7, nan]</t>
  </si>
  <si>
    <t>[26.1, -2.8, nan]</t>
  </si>
  <si>
    <t>[271.3, 89.1, nan]</t>
  </si>
  <si>
    <t>[-8.9, 10.0,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</si>
  <si>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</si>
  <si>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</si>
  <si>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</si>
  <si>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</si>
  <si>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</si>
  <si>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</si>
  <si>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</si>
  <si>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[-114.4, -25833.3, nan]</t>
  </si>
  <si>
    <t>[1685.7, 804.8, nan]</t>
  </si>
  <si>
    <t>[-64.1, 230.2, -44.3]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</si>
  <si>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</si>
  <si>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</si>
  <si>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</si>
  <si>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</si>
  <si>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</si>
  <si>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</si>
  <si>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</si>
  <si>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</si>
  <si>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</si>
  <si>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</si>
  <si>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</si>
  <si>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</si>
  <si>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</si>
  <si>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</si>
  <si>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</si>
  <si>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</si>
  <si>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</si>
  <si>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</si>
  <si>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[-160.3, 171.8, nan]</t>
  </si>
  <si>
    <t>[170.2, 226.8, nan]</t>
  </si>
  <si>
    <t>[0.1, -21.1, nan]</t>
  </si>
  <si>
    <t>[4600.0, 36.2,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</si>
  <si>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</si>
  <si>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</si>
  <si>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</si>
  <si>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</si>
  <si>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</si>
  <si>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</si>
  <si>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-54.5]</t>
  </si>
  <si>
    <t>[4.7, -52.9, nan]</t>
  </si>
  <si>
    <t>[24.2, -10.6, nan]</t>
  </si>
  <si>
    <t>[15.3, 45.6, nan]</t>
  </si>
  <si>
    <t>[-4.5, 81.3, nan]</t>
  </si>
  <si>
    <t>[74.7, -8.9, nan]</t>
  </si>
  <si>
    <t>[24.3, 64.9, nan]</t>
  </si>
  <si>
    <t>[44.5, 78.9, nan]</t>
  </si>
  <si>
    <t>[456.1, 185.8,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</si>
  <si>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</si>
  <si>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</si>
  <si>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</si>
  <si>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</si>
  <si>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</si>
  <si>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</si>
  <si>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</si>
  <si>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</si>
  <si>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33.3]</t>
  </si>
  <si>
    <t>[-476.0, -52.0, nan]</t>
  </si>
  <si>
    <t>[-9678.0, -8.5, nan]</t>
  </si>
  <si>
    <t>[1375.7, 45.1, nan]</t>
  </si>
  <si>
    <t>[-58.7, -227.6, nan]</t>
  </si>
  <si>
    <t>[-55.1, 194.6, 8.5]</t>
  </si>
  <si>
    <t>[68.0, 0.9, nan]</t>
  </si>
  <si>
    <t>[-6.1, 160.7, -9.8]</t>
  </si>
  <si>
    <t>[-87.8, -2519.6, nan]</t>
  </si>
  <si>
    <t>[-16.0, 392.4, nan]</t>
  </si>
  <si>
    <t>[-11.2, 101.9, 97.4]</t>
  </si>
  <si>
    <t>[-13.3, 110.6, 72.7]</t>
  </si>
  <si>
    <t>[17.8, -307.2, nan]</t>
  </si>
  <si>
    <t>[122.6, 457.9, -74.3]</t>
  </si>
  <si>
    <t>[-420.6, -315.6, 16.9]</t>
  </si>
  <si>
    <t>[-157.2, 189.5, nan]</t>
  </si>
  <si>
    <t>[-69.0, -363.1, 15.9]</t>
  </si>
  <si>
    <t>[13.9, 137.2, nan]</t>
  </si>
  <si>
    <t>[55.4, 122.9, nan]</t>
  </si>
  <si>
    <t>[1868.6, -69.9, nan]</t>
  </si>
  <si>
    <t>[89.3, 81.8, nan]</t>
  </si>
  <si>
    <t>[34.3, 35.7, nan]</t>
  </si>
  <si>
    <t>[-41.1, -1868.3, nan]</t>
  </si>
  <si>
    <t>[21.3, 59.7, -68.3]</t>
  </si>
  <si>
    <t>[72.3, 1546.7, -94.4]</t>
  </si>
  <si>
    <t>[18.1, 194.5, -67.6]</t>
  </si>
  <si>
    <t>[-320.2, -284.4, nan]</t>
  </si>
  <si>
    <t>[15.6, 41.0, 14.2]</t>
  </si>
  <si>
    <t>[-71.2, 1944.6, nan]</t>
  </si>
  <si>
    <t>[0.0, 161.9, nan]</t>
  </si>
  <si>
    <t>[14.8, -5.7, nan]</t>
  </si>
  <si>
    <t>[-716.2, -6.4, nan]</t>
  </si>
  <si>
    <t>[33.2, 22.3, nan]</t>
  </si>
  <si>
    <t>[-206.2, -554.9, nan]</t>
  </si>
  <si>
    <t>[60.2, -45.2, 296.8]</t>
  </si>
  <si>
    <t>[260.0, 165.9, nan]</t>
  </si>
  <si>
    <t>[17260.5, 64.7, 16.4]</t>
  </si>
  <si>
    <t>[31.4, 65.8, nan]</t>
  </si>
  <si>
    <t>[12.9, -33.6, nan]</t>
  </si>
  <si>
    <t>[34.4, -34.3, nan]</t>
  </si>
  <si>
    <t>[67.1, 1.3, -8.2]</t>
  </si>
  <si>
    <t>[-65.0, 85.3, nan]</t>
  </si>
  <si>
    <t>[291.1, -48.7, nan]</t>
  </si>
  <si>
    <t>[-10.7, -42.6, nan]</t>
  </si>
  <si>
    <t>[47.8, 80.2, nan]</t>
  </si>
  <si>
    <t>[122.0, -25.4, nan]</t>
  </si>
  <si>
    <t>[-24.0, 27.5, nan]</t>
  </si>
  <si>
    <t>[9900.0, 166.5, nan]</t>
  </si>
  <si>
    <t>[552.4, -43.9, nan]</t>
  </si>
  <si>
    <t>[-11.7, 67.7, nan]</t>
  </si>
  <si>
    <t>[120.4, 27.8, nan]</t>
  </si>
  <si>
    <t>[137.1, 101.9, -44.6]</t>
  </si>
  <si>
    <t>[2288.1, -33.9, nan]</t>
  </si>
  <si>
    <t>[2213.9, 27.1, -18.5]</t>
  </si>
  <si>
    <t>[45.6, 60.5, nan]</t>
  </si>
  <si>
    <t>[25.8, 85.3, -17.6]</t>
  </si>
  <si>
    <t>[262.1, 194.8, nan]</t>
  </si>
  <si>
    <t>[-2.0, 36.9, 12.4]</t>
  </si>
  <si>
    <t>[48.0, -20.3, nan]</t>
  </si>
  <si>
    <t>[67.0, -6.1, -24.9]</t>
  </si>
  <si>
    <t>[129.5, 67.9, 49.1]</t>
  </si>
  <si>
    <t>[-14.9, 154.3, nan]</t>
  </si>
  <si>
    <t>[941.8, 17.6, 67.2]</t>
  </si>
  <si>
    <t>[178.8, -33.9, nan]</t>
  </si>
  <si>
    <t>[201.5, -23.3, 214.6]</t>
  </si>
  <si>
    <t>[-120.7, 2741.9, 86.0]</t>
  </si>
  <si>
    <t>[47.0, 463.1, -100.1]</t>
  </si>
  <si>
    <t>[-113.2, -706.2, -518.0]</t>
  </si>
  <si>
    <t>[4294.1, -9.8, -69.4]</t>
  </si>
  <si>
    <t>[26.5, 309.7, -87.6]</t>
  </si>
  <si>
    <t>[-90.4, 2439.4, -13.6]</t>
  </si>
  <si>
    <t>[105.0, -94.5, nan]</t>
  </si>
  <si>
    <t>[120.7, -18.5, nan]</t>
  </si>
  <si>
    <t>[-22.1, 1473.1, nan]</t>
  </si>
  <si>
    <t>[23.7, -2.8, nan]</t>
  </si>
  <si>
    <t>[42.7, 42.4, nan]</t>
  </si>
  <si>
    <t>[838.3, 126.1, nan]</t>
  </si>
  <si>
    <t>[61.7, 190.5, -14.1]</t>
  </si>
  <si>
    <t>[256.2, 57.6, nan]</t>
  </si>
  <si>
    <t>[36.1, 70.7, 6.3]</t>
  </si>
  <si>
    <t>[-15.1, 13.4, 33.0]</t>
  </si>
  <si>
    <t>[56.3, 316.3, -63.8]</t>
  </si>
  <si>
    <t>[57.8, 19.2, nan]</t>
  </si>
  <si>
    <t>[16.7, 15.2, -39.4]</t>
  </si>
  <si>
    <t>[48.7, 36.5, nan]</t>
  </si>
  <si>
    <t>[-189.8, 378.1, nan]</t>
  </si>
  <si>
    <t>[118.6, 358.1, 33.4]</t>
  </si>
  <si>
    <t>[1.4, 11.4, -78.4]</t>
  </si>
  <si>
    <t>[51.8, -38.1, nan]</t>
  </si>
  <si>
    <t>[107.2, 73.0, nan]</t>
  </si>
  <si>
    <t>[14.9, 104.2, nan]</t>
  </si>
  <si>
    <t>[90.5, -16.5, 36.4]</t>
  </si>
  <si>
    <t>[-29.6, 158.6, nan]</t>
  </si>
  <si>
    <t>[92.9, 18.6, -47.8]</t>
  </si>
  <si>
    <t>[-194.0, -206.0, nan]</t>
  </si>
  <si>
    <t>[2311.5, 250.9, nan]</t>
  </si>
  <si>
    <t>[136.8, 1516.5, nan]</t>
  </si>
  <si>
    <t>[-43.9, 327.2, nan]</t>
  </si>
  <si>
    <t>[-42.8, 1270.1, -51.8]</t>
  </si>
  <si>
    <t>[2.2, 104.3, -59.2]</t>
  </si>
  <si>
    <t>[46.5, -17.3, 9.8]</t>
  </si>
  <si>
    <t>[97.9, 237.2, -45.5]</t>
  </si>
  <si>
    <t>[-12.3, 495.7, nan]</t>
  </si>
  <si>
    <t>[-21.5, 64.3, nan]</t>
  </si>
  <si>
    <t>[-56.2, 62.4, nan]</t>
  </si>
  <si>
    <t>[-114.3, 627.4, nan]</t>
  </si>
  <si>
    <t>[-195.0, 745.9, 17.5]</t>
  </si>
  <si>
    <t>[169.6, -25.9, nan]</t>
  </si>
  <si>
    <t>[47.0, 170.6, nan]</t>
  </si>
  <si>
    <t>[-171.1, 185.6, nan]</t>
  </si>
  <si>
    <t>[6.3, 39.4, 14.9]</t>
  </si>
  <si>
    <t>[47.4, -54.3, -48.4]</t>
  </si>
  <si>
    <t>[29.6, 90.1, -47.0]</t>
  </si>
  <si>
    <t>[-44.3, -55.9, nan]</t>
  </si>
  <si>
    <t>[-130.3, -1874.1, -23.7]</t>
  </si>
  <si>
    <t>[218.2, 82.3, nan]</t>
  </si>
  <si>
    <t>[-31.4, 317.9, nan]</t>
  </si>
  <si>
    <t>[-21.5, 7.9, -47.4]</t>
  </si>
  <si>
    <t>[-30.6, -4510.5, -128.8]</t>
  </si>
  <si>
    <t>[66.6, -22.0, nan]</t>
  </si>
  <si>
    <t>[-306.9, 176.2, nan]</t>
  </si>
  <si>
    <t>[6.4, -123.9, 161.5]</t>
  </si>
  <si>
    <t>[-338.5, 560.2, nan]</t>
  </si>
  <si>
    <t>[-9.4, -2.3, nan]</t>
  </si>
  <si>
    <t>[327.7, 83.8, -49.0]</t>
  </si>
  <si>
    <t>[-72.7, 79.6, nan]</t>
  </si>
  <si>
    <t>[-7.0, -4.4, nan]</t>
  </si>
  <si>
    <t>[58.7, 90.9, 98.3]</t>
  </si>
  <si>
    <t>[-11.6, 138.9, 21.3]</t>
  </si>
  <si>
    <t>[164.2, 129.1, 61.5]</t>
  </si>
  <si>
    <t>[15.3, 4.4, 21.6]</t>
  </si>
  <si>
    <t>[49.8, -45.0, nan]</t>
  </si>
  <si>
    <t>[289.9, -2.5, nan]</t>
  </si>
  <si>
    <t>[-97.4, -175.7, nan]</t>
  </si>
  <si>
    <t>[88.1, 308.7, -6.0]</t>
  </si>
  <si>
    <t>[124.7, 287.4, nan]</t>
  </si>
  <si>
    <t>[14.1, 2.2, nan]</t>
  </si>
  <si>
    <t>[64.7, 96.2, nan]</t>
  </si>
  <si>
    <t>[-22.9, 72.0, 39.8]</t>
  </si>
  <si>
    <t>[-1970.0, -155.6, nan]</t>
  </si>
  <si>
    <t>[736.4, -84.5, nan]</t>
  </si>
  <si>
    <t>[-101.8, 13000.0, nan]</t>
  </si>
  <si>
    <t>[-21.9, 126.1, nan]</t>
  </si>
  <si>
    <t>[37.6, 167.1, nan]</t>
  </si>
  <si>
    <t>[600.5, 411.7, -88.8]</t>
  </si>
  <si>
    <t>[25.2, 313.1, -61.0]</t>
  </si>
  <si>
    <t>[-24.5, 24.1, nan]</t>
  </si>
  <si>
    <t>[15.8, 106.6, nan]</t>
  </si>
  <si>
    <t>[89.9, 4.6, nan]</t>
  </si>
  <si>
    <t>[3.3, 67.4, nan]</t>
  </si>
  <si>
    <t>[45.5, -44.7, -12.4]</t>
  </si>
  <si>
    <t>[-120.8, 683.0, nan]</t>
  </si>
  <si>
    <t>[-26.4, 40.8, nan]</t>
  </si>
  <si>
    <t>[31.7, -1.5, nan]</t>
  </si>
  <si>
    <t>[96.3, -60.3, nan]</t>
  </si>
  <si>
    <t>[16.8, -177.3, nan]</t>
  </si>
  <si>
    <t>[39.7, -31.7, nan]</t>
  </si>
  <si>
    <t>[7.7, 27.2, 6.9]</t>
  </si>
  <si>
    <t>[21.6, 15.0, 7.5]</t>
  </si>
  <si>
    <t>[258.3, -184.9, nan]</t>
  </si>
  <si>
    <t>[-28.3, -24.6, nan]</t>
  </si>
  <si>
    <t>[-45.6, 218.4, nan]</t>
  </si>
  <si>
    <t>[111.0, 49.2, nan]</t>
  </si>
  <si>
    <t>[-411.1, 96.4, nan]</t>
  </si>
  <si>
    <t>[-7.7, 239.1, nan]</t>
  </si>
  <si>
    <t>[20.7, 29.1, 52.9]</t>
  </si>
  <si>
    <t>[17.8, 12.9, nan]</t>
  </si>
  <si>
    <t>[-42.1, 53.8, 17.8]</t>
  </si>
  <si>
    <t>[265.4, -37.2, nan]</t>
  </si>
  <si>
    <t>[-47.6, 69.4, -2.5]</t>
  </si>
  <si>
    <t>[92.2, 39.2, 45.2]</t>
  </si>
  <si>
    <t>[120.5, -23.4, nan]</t>
  </si>
  <si>
    <t>[647.6, -312.1, nan]</t>
  </si>
  <si>
    <t>[21.1, 59.3, nan]</t>
  </si>
  <si>
    <t>[-11.8, 52.0, nan]</t>
  </si>
  <si>
    <t>[-11.1, 47.9, 35.8]</t>
  </si>
  <si>
    <t>[376.1, -56.2, nan]</t>
  </si>
  <si>
    <t>[-54.5, 2.5, 2.8]</t>
  </si>
  <si>
    <t>[68.9, 143.8, -2.2]</t>
  </si>
  <si>
    <t>[32.0, 71.6, -28.6]</t>
  </si>
  <si>
    <t>[48.7, 11.3, nan]</t>
  </si>
  <si>
    <t>[-14.3, 94.3, 5.8]</t>
  </si>
  <si>
    <t>[-27.0, 217.1, 21.3]</t>
  </si>
  <si>
    <t>[26.3, 64.2, 39.1]</t>
  </si>
  <si>
    <t>[-38.6, -150.5, nan]</t>
  </si>
  <si>
    <t>[14.6, 89.0, nan]</t>
  </si>
  <si>
    <t>[-32.0, 6.0, nan]</t>
  </si>
  <si>
    <t>[992.8, -94.1, nan]</t>
  </si>
  <si>
    <t>[-19.6, 110.3, nan]</t>
  </si>
  <si>
    <t>[-74.8, 16.3, -113.2]</t>
  </si>
  <si>
    <t>[1.7, 23.6, 6.8]</t>
  </si>
  <si>
    <t>[-232.5, -76.6, nan]</t>
  </si>
  <si>
    <t>[-3.9, -11.5, nan]</t>
  </si>
  <si>
    <t>[6.7, 22.4, nan]</t>
  </si>
  <si>
    <t>[-14.3, 215.2, nan]</t>
  </si>
  <si>
    <t>[-16.9, 20.2, 45.5]</t>
  </si>
  <si>
    <t>[67.9, 13.6, nan]</t>
  </si>
  <si>
    <t>[38.1, -6.3, nan]</t>
  </si>
  <si>
    <t>[-92.4, 3956.3, nan, nan, -59.5]</t>
  </si>
  <si>
    <t>[]</t>
  </si>
  <si>
    <t>[-11.6, 182.1, -55.7, 156.2, 10.1]</t>
  </si>
  <si>
    <t>[11.9, 45.4, 83.4, 16.2, -33.3]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</si>
  <si>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</si>
  <si>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</si>
  <si>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</si>
  <si>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</si>
  <si>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</si>
  <si>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</si>
  <si>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</si>
  <si>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</si>
  <si>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</si>
  <si>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</si>
  <si>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</si>
  <si>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</si>
  <si>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[nan, nan, nan, nan, nan]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</si>
  <si>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</si>
  <si>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</si>
  <si>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</si>
  <si>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</si>
  <si>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</si>
  <si>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</si>
  <si>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</si>
  <si>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</si>
  <si>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</si>
  <si>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[nan, nan, nan, 9.5, nan]</t>
  </si>
  <si>
    <t>[114.2, nan, nan, 128.0, -43.5]</t>
  </si>
  <si>
    <t>[0.9, -92.2, 628.7, 140.6, 20.0]</t>
  </si>
  <si>
    <t>[36.4, -5.2, -50.3, 63.0, -14.5]</t>
  </si>
  <si>
    <t>[-42.3, 659.6, -45.4, 45.6, -37.2]</t>
  </si>
  <si>
    <t>[nan, nan, 3730.3, 95.9, -15.5]</t>
  </si>
  <si>
    <t>[nan, 5.2, 149.1, 25.7, nan]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</si>
  <si>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</si>
  <si>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</si>
  <si>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</si>
  <si>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</si>
  <si>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</si>
  <si>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</si>
  <si>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</si>
  <si>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</si>
  <si>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</si>
  <si>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</si>
  <si>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</si>
  <si>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[-21.5, nan, 189.4, -0.9, -28.4]</t>
  </si>
  <si>
    <t>[-50.5, 3.3, 94.2, 13.6, -7.5]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</si>
  <si>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</si>
  <si>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</si>
  <si>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</si>
  <si>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</si>
  <si>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</si>
  <si>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[8.6, 7.2, 12.9, 13.7, 1.6]</t>
  </si>
  <si>
    <t>[-46.9, 925.9, -87.6, 8.3, nan]</t>
  </si>
  <si>
    <t>[nan, nan, nan, -65.6, -88.9]</t>
  </si>
  <si>
    <t>[339.8, 28.6, 3.3, -31.4, 471.4]</t>
  </si>
  <si>
    <t>[-19.7, nan, nan, 847.7, nan]</t>
  </si>
  <si>
    <t>[nan, nan, 54.6, -62.5, -25.5]</t>
  </si>
  <si>
    <t>[-21.5, 104.0, 18.8, 6.2, -6.0]</t>
  </si>
  <si>
    <t>[nan, nan, nan, nan, -84.2]</t>
  </si>
  <si>
    <t>[4.0, 14.9, 26.1, -2.8, 15.3]</t>
  </si>
  <si>
    <t>[nan, nan, 271.6, 89.1, -10.6]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</si>
  <si>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</si>
  <si>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</si>
  <si>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</si>
  <si>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</si>
  <si>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</si>
  <si>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</si>
  <si>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</si>
  <si>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</si>
  <si>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</si>
  <si>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</si>
  <si>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</si>
  <si>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</si>
  <si>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</si>
  <si>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</si>
  <si>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</si>
  <si>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</si>
  <si>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</si>
  <si>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</si>
  <si>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</si>
  <si>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</si>
  <si>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</si>
  <si>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</si>
  <si>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</si>
  <si>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</si>
  <si>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</si>
  <si>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</si>
  <si>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</si>
  <si>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[nan, nan, nan, 171.9, nan]</t>
  </si>
  <si>
    <t>[nan, nan, 171.4, 227.9, nan]</t>
  </si>
  <si>
    <t>[-19.7, 15.4, 0.1, -21.1, -30.1]</t>
  </si>
  <si>
    <t>[-39.1, -65.4, nan, 3864.3, 36.3]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</si>
  <si>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</si>
  <si>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</si>
  <si>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</si>
  <si>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</si>
  <si>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</si>
  <si>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</si>
  <si>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</si>
  <si>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</si>
  <si>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</si>
  <si>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</si>
  <si>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</si>
  <si>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[nan, 60.1, 24.3, 64.9, 1.8]</t>
  </si>
  <si>
    <t>[21.5, -25.2, 44.5, 78.9, -25.6]</t>
  </si>
  <si>
    <t>[37.4, -91.1, 454.8, 185.9, 22.8]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</si>
  <si>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</si>
  <si>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</si>
  <si>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</si>
  <si>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</si>
  <si>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</si>
  <si>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</si>
  <si>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</si>
  <si>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</si>
  <si>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</si>
  <si>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</si>
  <si>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</si>
  <si>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[-25.8, -92.5, 1379.7, 44.9, nan]</t>
  </si>
  <si>
    <t>[nan, nan, nan, nan, -89.2]</t>
  </si>
  <si>
    <t>[-16.7, -1.5, -55.1, 194.7, 20.4]</t>
  </si>
  <si>
    <t>[19.6, -15.8, 67.9, 0.9, -10.4]</t>
  </si>
  <si>
    <t>[22.3, 111.7, -6.1, 160.8, 28.5]</t>
  </si>
  <si>
    <t>[nan, nan, nan, nan, -96.7]</t>
  </si>
  <si>
    <t>[9.5, -22.1, -16.0, 392.4, -42.1]</t>
  </si>
  <si>
    <t>[4.0, 47.1, -11.2, 101.9, 119.0]</t>
  </si>
  <si>
    <t>[20.5, 40.2, -13.3, 110.6, 112.4]</t>
  </si>
  <si>
    <t>[nan, nan, 123.0, 457.8, -76.4]</t>
  </si>
  <si>
    <t>[-67.6, 304.5, nan, nan, -13.6]</t>
  </si>
  <si>
    <t>[nan, nan, nan, 189.7, 64.1]</t>
  </si>
  <si>
    <t>[-55.8, nan, nan, nan, 43.9]</t>
  </si>
  <si>
    <t>[-8.8, 87.1, 13.9, 137.2, -22.2]</t>
  </si>
  <si>
    <t>[6.7, 9.2, 13.0, 26.3, 17.9]</t>
  </si>
  <si>
    <t>[nan, -54.8, 1863.9, -70.0, 70.9]</t>
  </si>
  <si>
    <t>[-7.6, -37.1, 89.1, 81.8, 128.0]</t>
  </si>
  <si>
    <t>[-72.4, -14.8, 34.3, 35.7, -14.6]</t>
  </si>
  <si>
    <t>[nan, nan, nan, nan, -98.9]</t>
  </si>
  <si>
    <t>[7.3, 9.1, 10.3, 14.8, 4.4]</t>
  </si>
  <si>
    <t>[-16.1, -10.1, 72.4, 1546.6, -96.2]</t>
  </si>
  <si>
    <t>[140.9, -21.7, 18.1, 194.5, -77.4]</t>
  </si>
  <si>
    <t>[nan, 468.6, nan, nan, nan]</t>
  </si>
  <si>
    <t>[32.7, -29.9, 15.6, 40.9, 87.2]</t>
  </si>
  <si>
    <t>[1.3, 40.2, -71.2, 1942.8, 105.2]</t>
  </si>
  <si>
    <t>[-74.8, 235.7, 0.3, 161.9, -4.3]</t>
  </si>
  <si>
    <t>[386.8, -32.2, 14.8, -5.7, 78.2]</t>
  </si>
  <si>
    <t>[nan, nan, nan, -6.4, 16.1]</t>
  </si>
  <si>
    <t>[-16.5, -25.2, 33.2, 22.2, -48.8]</t>
  </si>
  <si>
    <t>[nan, 44.7, nan, nan, -93.4]</t>
  </si>
  <si>
    <t>[nan, 81.4, 60.0, -45.2, 262.8]</t>
  </si>
  <si>
    <t>[229.9, -90.1, 259.8, 166.1, 42.9]</t>
  </si>
  <si>
    <t>[nan, nan, 17170.7, 64.7, 17.5]</t>
  </si>
  <si>
    <t>[70.5, -19.8, 31.4, 65.8, -51.8]</t>
  </si>
  <si>
    <t>[1.5, 74.7, 12.9, -33.6, -68.9]</t>
  </si>
  <si>
    <t>[56.5, 49.1, 34.4, -34.3, -19.6]</t>
  </si>
  <si>
    <t>[11.5, 23.3, 67.1, 1.3, -14.5]</t>
  </si>
  <si>
    <t>[-65.5, 534.6, -65.0, 85.3, -7.5]</t>
  </si>
  <si>
    <t>[-74.6, 19.3, 291.2, -48.7, nan]</t>
  </si>
  <si>
    <t>[nan, 111.0, -10.8, -42.6, -30.3]</t>
  </si>
  <si>
    <t>[-6.3, 12.5, 47.8, 80.2, -25.2]</t>
  </si>
  <si>
    <t>[1203.4, 94.5, 122.0, -25.4, -70.4]</t>
  </si>
  <si>
    <t>[179.8, -29.6, -24.0, 27.5, -5.0]</t>
  </si>
  <si>
    <t>[-9.4, -86.6, 8331.8, 166.1, 181.6]</t>
  </si>
  <si>
    <t>[195.0, -63.6, 552.8, -43.9, 190.9]</t>
  </si>
  <si>
    <t>[1466.7, -21.9, -11.7, 67.8, 1.9]</t>
  </si>
  <si>
    <t>[6.2, 5.8, 11.6, 12.7, 7.3]</t>
  </si>
  <si>
    <t>[46.0, -87.1, 137.1, 101.9, -5.2]</t>
  </si>
  <si>
    <t>[nan, 74.5, 2288.3, -33.9, 56.4]</t>
  </si>
  <si>
    <t>[-13.8, nan, 2212.0, 27.1, -31.6]</t>
  </si>
  <si>
    <t>[-18.5, -42.5, 45.6, 60.6, -34.1]</t>
  </si>
  <si>
    <t>[-3.7, -26.9, 25.8, 85.3, 13.1]</t>
  </si>
  <si>
    <t>[-50.9, -52.4, 263.1, 194.7, -21.5]</t>
  </si>
  <si>
    <t>[13.0, 15.1, 13.1, 15.8, 16.0]</t>
  </si>
  <si>
    <t>[-86.3, 124.4, 48.0, -20.3, 112.6]</t>
  </si>
  <si>
    <t>[-41.5, 165.8, 67.0, -6.1, -51.5]</t>
  </si>
  <si>
    <t>[2.2, 120.7, 129.5, 67.9, 6.7]</t>
  </si>
  <si>
    <t>[-41.8, 226.4, -14.9, 154.3, -4.4]</t>
  </si>
  <si>
    <t>[nan, nan, 941.4, 17.6, 93.8]</t>
  </si>
  <si>
    <t>[nan, nan, 201.4, -23.4, 267.0]</t>
  </si>
  <si>
    <t>[nan, nan, nan, 2741.7, 169.8]</t>
  </si>
  <si>
    <t>[nan, 338.2, 47.0, 463.1, nan]</t>
  </si>
  <si>
    <t>[nan, 330.6, nan, nan, nan]</t>
  </si>
  <si>
    <t>[nan, nan, 4295.7, -9.8, -70.2]</t>
  </si>
  <si>
    <t>[2.1, 10.4, 26.5, 309.7, -90.0]</t>
  </si>
  <si>
    <t>[-36.6, 18.4, -90.3, 2417.6, -16.2]</t>
  </si>
  <si>
    <t>[287.5, 13.3, 120.6, -18.5, 6.9]</t>
  </si>
  <si>
    <t>[45.8, 0.9, -22.2, 1473.1, -98.3]</t>
  </si>
  <si>
    <t>[-0.1, 47.4, 23.7, -2.8, -70.6]</t>
  </si>
  <si>
    <t>[-18.6, -23.4, 43.6, 41.9, -63.5]</t>
  </si>
  <si>
    <t>[nan, nan, 837.3, 126.1, -49.2]</t>
  </si>
  <si>
    <t>[nan, nan, 61.7, 190.5, -21.1]</t>
  </si>
  <si>
    <t>[235.3, -32.4, 256.1, 57.5, -55.0]</t>
  </si>
  <si>
    <t>[15.4, -30.2, 36.1, 70.8, 4.7]</t>
  </si>
  <si>
    <t>[nan, 41.8, -15.1, 13.4, -14.4]</t>
  </si>
  <si>
    <t>[7.3, 4.8, 7.4, 26.4, 9.2]</t>
  </si>
  <si>
    <t>[23.0, 65.2, 16.7, 15.2, -31.3]</t>
  </si>
  <si>
    <t>[-3.7, 67.9, 48.7, 36.5, -30.3]</t>
  </si>
  <si>
    <t>[nan, nan, nan, 378.3, 44.4]</t>
  </si>
  <si>
    <t>[15.6, -80.8, 118.6, 358.2, 58.7]</t>
  </si>
  <si>
    <t>[140.2, 24.1, 1.4, 11.4, -96.9]</t>
  </si>
  <si>
    <t>[nan, nan, 51.9, -38.1, -9.2]</t>
  </si>
  <si>
    <t>[1.7, 7.9, 14.2, 20.3, 7.5]</t>
  </si>
  <si>
    <t>[1424.9, 88.4, 14.9, 104.2, -19.4]</t>
  </si>
  <si>
    <t>[nan, -12.1, 90.5, -16.5, 16.8]</t>
  </si>
  <si>
    <t>[-23.3, -20.1, -29.6, 158.5, -75.9]</t>
  </si>
  <si>
    <t>[10.8, 17.0, 27.6, 25.4, 11.4]</t>
  </si>
  <si>
    <t>[59.1, 242.8, nan, nan, 23.1]</t>
  </si>
  <si>
    <t>[1.6, -93.4, 2325.6, 251.0, 249.2]</t>
  </si>
  <si>
    <t>[-36.9, -76.4, 136.6, 1516.0, -57.7]</t>
  </si>
  <si>
    <t>[-19.9, 13.7, -43.9, 327.1, 30.0]</t>
  </si>
  <si>
    <t>[-47.8, -31.5, -42.8, 1270.1, -54.6]</t>
  </si>
  <si>
    <t>[-0.5, -0.7, -0.8, -0.7, 0.0]</t>
  </si>
  <si>
    <t>[130.0, -40.0, 97.9, 237.2, -47.4]</t>
  </si>
  <si>
    <t>[-44.7, 91.7, -12.2, 495.1, -73.9]</t>
  </si>
  <si>
    <t>[-25.6, 2708.3, -56.2, 62.3, 159.7]</t>
  </si>
  <si>
    <t>[nan, nan, nan, 626.1, -21.0]</t>
  </si>
  <si>
    <t>[nan, nan, nan, 745.7, 49.6]</t>
  </si>
  <si>
    <t>[nan, nan, 169.8, -25.9, 3.8]</t>
  </si>
  <si>
    <t>[-52.9, 188.9, 47.1, 170.4, -0.6]</t>
  </si>
  <si>
    <t>[nan, nan, nan, 185.8, 12.2]</t>
  </si>
  <si>
    <t>[3.5, 3.5, 3.4, 3.5, 3.8]</t>
  </si>
  <si>
    <t>[112.2, -55.7, 47.4, -54.3, -5.6]</t>
  </si>
  <si>
    <t>[7.4, 8.2, 9.9, 16.9, 9.0]</t>
  </si>
  <si>
    <t>[371.3, 263.2, -44.4, -55.9, 57.5]</t>
  </si>
  <si>
    <t>[4.0, -36.6, nan, nan, 59.0]</t>
  </si>
  <si>
    <t>[nan, 76.5, 217.5, 82.4, 32.4]</t>
  </si>
  <si>
    <t>[2642.7, 134.0, -31.4, 318.4, 0.0]</t>
  </si>
  <si>
    <t>[-84.1, -46.6, -21.5, 7.9, -61.0]</t>
  </si>
  <si>
    <t>[2.9, 108.1, 66.7, -22.0, 93.7]</t>
  </si>
  <si>
    <t>[nan, nan, nan, 176.2, -5.7]</t>
  </si>
  <si>
    <t>[nan, nan, nan, nan, 220.1]</t>
  </si>
  <si>
    <t>[-81.7, nan, nan, 553.8, 101.5]</t>
  </si>
  <si>
    <t>[33.0, 18.4, -9.4, -2.3, 4.1]</t>
  </si>
  <si>
    <t>[58.4, -41.4, 327.8, 83.8, -50.7]</t>
  </si>
  <si>
    <t>[-3.9, 767.9, -72.7, 79.7, 617.5]</t>
  </si>
  <si>
    <t>[124.7, 27.8, -7.0, -4.3, 90.7]</t>
  </si>
  <si>
    <t>[-21.2, 20.5, 58.7, 90.9, 145.8]</t>
  </si>
  <si>
    <t>[-37.1, 85.7, -11.6, 138.8, 29.1]</t>
  </si>
  <si>
    <t>[29.9, -62.5, 164.0, 129.1, 89.8]</t>
  </si>
  <si>
    <t>[-0.3, 24.0, 15.2, 4.5, 33.9]</t>
  </si>
  <si>
    <t>[72.7, 7.5, 49.8, -45.1, 15.5]</t>
  </si>
  <si>
    <t>[nan, nan, 290.2, -2.5, -50.0]</t>
  </si>
  <si>
    <t>[4.0, -21.3, 88.2, 308.7, -3.0]</t>
  </si>
  <si>
    <t>[-39.8, -34.5, 124.8, 286.5, -90.5]</t>
  </si>
  <si>
    <t>[55.9, -23.0, 64.6, 96.3, -12.9]</t>
  </si>
  <si>
    <t>[-4.8, 8.5, -23.0, 72.1, 12.1]</t>
  </si>
  <si>
    <t>[nan, nan, 735.9, -84.5, 73.2]</t>
  </si>
  <si>
    <t>[-93.0, nan, nan, 14474.0, 53.1]</t>
  </si>
  <si>
    <t>[16.9, nan, -21.9, 126.1, -72.5]</t>
  </si>
  <si>
    <t>[nan, 50.2, 37.4, 167.3, 24.0]</t>
  </si>
  <si>
    <t>[-83.9, -44.0, 600.8, 411.6, -18.4]</t>
  </si>
  <si>
    <t>[9.0, -62.6, 25.2, 313.0, -79.9]</t>
  </si>
  <si>
    <t>[nan, 188.6, -24.6, 24.1, -78.9]</t>
  </si>
  <si>
    <t>[27.7, nan, 15.8, 106.7, 12.7]</t>
  </si>
  <si>
    <t>[nan, 1449.2, 89.9, 4.6, 15.2]</t>
  </si>
  <si>
    <t>[nan, 1324.5, 3.3, 67.4, -78.2]</t>
  </si>
  <si>
    <t>[29.0, -15.5, 45.5, -44.7, -41.3]</t>
  </si>
  <si>
    <t>[nan, nan, nan, 682.6, -82.9]</t>
  </si>
  <si>
    <t>[63.5, 22.5, -26.5, 40.8, 6.0]</t>
  </si>
  <si>
    <t>[nan, 1.8, 31.8, -1.5, -32.8]</t>
  </si>
  <si>
    <t>[nan, nan, 96.3, -60.3, 53.5]</t>
  </si>
  <si>
    <t>[nan, nan, 16.7, nan, nan]</t>
  </si>
  <si>
    <t>[nan, 72.4, 40.0, -31.8, 46.6]</t>
  </si>
  <si>
    <t>[46.5, 66.1, 7.7, 27.2, -20.8]</t>
  </si>
  <si>
    <t>[9.4, -4.7, 21.6, 15.0, 0.9]</t>
  </si>
  <si>
    <t>[nan, nan, nan, nan, 96.2]</t>
  </si>
  <si>
    <t>[-35.9, 147.3, -28.3, -24.7, nan]</t>
  </si>
  <si>
    <t>[25.3, 233.2, -45.7, 218.6, -43.0]</t>
  </si>
  <si>
    <t>[nan, nan, 111.0, 49.2, -45.8]</t>
  </si>
  <si>
    <t>[nan, nan, nan, 100.1, nan]</t>
  </si>
  <si>
    <t>[219.2, 47.0, -7.8, 239.0, nan]</t>
  </si>
  <si>
    <t>[-35.7, 14.9, 20.7, 29.2, 57.6]</t>
  </si>
  <si>
    <t>[-21.0, 43.9, 17.7, 12.9, 20.8]</t>
  </si>
  <si>
    <t>[-19.9, 154.7, -42.2, 53.8, 0.7]</t>
  </si>
  <si>
    <t>[13.0, 3.6, 265.4, -37.2, 92.3]</t>
  </si>
  <si>
    <t>[128.0, 85.9, -47.6, 69.4, -8.7]</t>
  </si>
  <si>
    <t>[nan, 61.1, 92.2, 39.3, 89.1]</t>
  </si>
  <si>
    <t>[nan, nan, 120.6, -23.4, -55.3]</t>
  </si>
  <si>
    <t>[nan, nan, 647.3, nan, nan]</t>
  </si>
  <si>
    <t>[nan, 2219.0, -11.7, 52.0, -75.5]</t>
  </si>
  <si>
    <t>[736.0, 200.1, -11.1, 47.9, 43.7]</t>
  </si>
  <si>
    <t>[nan, 43.4, 372.7, -56.1, -64.0]</t>
  </si>
  <si>
    <t>[nan, 173.3, -54.5, 2.5, 39.8]</t>
  </si>
  <si>
    <t>[nan, nan, 69.1, 143.7, -18.3]</t>
  </si>
  <si>
    <t>[1.2, 6.8, 32.0, 71.6, -24.9]</t>
  </si>
  <si>
    <t>[nan, nan, 48.8, 11.6, -35.8]</t>
  </si>
  <si>
    <t>[1.8, 3.9, -14.3, 94.3, 9.6]</t>
  </si>
  <si>
    <t>[74.5, 13.3, -27.0, 217.1, 57.5]</t>
  </si>
  <si>
    <t>[3.9, 4.5, 4.7, 4.0, 5.6]</t>
  </si>
  <si>
    <t>[nan, nan, nan, nan, 23.1]</t>
  </si>
  <si>
    <t>[24.7, 58.7, 14.7, 89.0, -3.4]</t>
  </si>
  <si>
    <t>[nan, 150.6, -32.0, 6.0, 47.6]</t>
  </si>
  <si>
    <t>[nan, nan, 4646.7, -98.2, 804.7]</t>
  </si>
  <si>
    <t>[27.0, 0.5, -19.6, 110.3, -23.6]</t>
  </si>
  <si>
    <t>[nan, 1680.7, -74.8, 16.4, nan]</t>
  </si>
  <si>
    <t>[45.0, 13.6, 1.7, 23.7, 9.4]</t>
  </si>
  <si>
    <t>[nan, nan, nan, -76.7, 157.1]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</si>
  <si>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</si>
  <si>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</si>
  <si>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</si>
  <si>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</si>
  <si>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</si>
  <si>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[51.3, -30.0, 38.1, -6.4, 100.4]</t>
  </si>
  <si>
    <t>[3185.0, 2851.0, 3615.0, 3802.0]</t>
  </si>
  <si>
    <t>[755.0, 1126.0, 7279.0, nan]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</si>
  <si>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</si>
  <si>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</si>
  <si>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</si>
  <si>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</si>
  <si>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</si>
  <si>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</si>
  <si>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</si>
  <si>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</si>
  <si>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</si>
  <si>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</si>
  <si>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</si>
  <si>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</si>
  <si>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</si>
  <si>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</si>
  <si>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</si>
  <si>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</si>
  <si>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</si>
  <si>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</si>
  <si>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</si>
  <si>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</si>
  <si>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</si>
  <si>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</si>
  <si>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</si>
  <si>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</si>
  <si>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</si>
  <si>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</si>
  <si>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</si>
  <si>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[194.0, 493.0, 633.0, nan]</t>
  </si>
  <si>
    <t>[952.0, 2045.0, 2803.0, nan]</t>
  </si>
  <si>
    <t>[1234.0, 1331.0, 1603.0, 1838.0]</t>
  </si>
  <si>
    <t>[5257.0, 5854.0, 6984.0, nan]</t>
  </si>
  <si>
    <t>[766.0, 815.0, 916.0, nan]</t>
  </si>
  <si>
    <t>[304.0, 815.0, 1577.0, nan]</t>
  </si>
  <si>
    <t>[3238.0, 3657.0, 4284.0,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</si>
  <si>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</si>
  <si>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</si>
  <si>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</si>
  <si>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</si>
  <si>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</si>
  <si>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</si>
  <si>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</si>
  <si>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</si>
  <si>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</si>
  <si>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</si>
  <si>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</si>
  <si>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</si>
  <si>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[200.0, 360.0, 1349.0, nan]</t>
  </si>
  <si>
    <t>[2017.0, 2197.0, 2683.0, nan]</t>
  </si>
  <si>
    <t>[580.0, 687.0, 746.0, nan]</t>
  </si>
  <si>
    <t>[411.0, 478.0, 557.0, nan]</t>
  </si>
  <si>
    <t>[1133.0, 1981.0, 2006.0, nan]</t>
  </si>
  <si>
    <t>[4036.0, 4401.0, 4973.0, 5172.0]</t>
  </si>
  <si>
    <t>[528.0, 565.0, 797.0, 941.0]</t>
  </si>
  <si>
    <t>[6997.0, 8003.0, 9170.0, nan]</t>
  </si>
  <si>
    <t>[829.0, 871.0, 931.0, nan]</t>
  </si>
  <si>
    <t>[40.0, 386.0, 710.0, nan]</t>
  </si>
  <si>
    <t>[1512.0, 1764.0, 2460.0, nan]</t>
  </si>
  <si>
    <t>[441.0, 1083.0, 1198.0, nan]</t>
  </si>
  <si>
    <t>[412.0, 492.0, 1453.0, nan]</t>
  </si>
  <si>
    <t>[2491.0, 3342.0, 6662.0, nan]</t>
  </si>
  <si>
    <t>[280.0, 665.0, 711.0, nan]</t>
  </si>
  <si>
    <t>[1348.0, 1572.0, 1917.0, nan]</t>
  </si>
  <si>
    <t>[271.0, 210.0, 405.0, nan]</t>
  </si>
  <si>
    <t>[1234.0, 1660.0, 2274.0, nan]</t>
  </si>
  <si>
    <t>[934.0, 1111.0, 1549.0,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</si>
  <si>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</si>
  <si>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</si>
  <si>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</si>
  <si>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</si>
  <si>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</si>
  <si>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</si>
  <si>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</si>
  <si>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</si>
  <si>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</si>
  <si>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</si>
  <si>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</si>
  <si>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</si>
  <si>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</si>
  <si>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</si>
  <si>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</si>
  <si>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</si>
  <si>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</si>
  <si>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</si>
  <si>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</si>
  <si>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</si>
  <si>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</si>
  <si>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</si>
  <si>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</si>
  <si>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</si>
  <si>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</si>
  <si>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</si>
  <si>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</si>
  <si>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</si>
  <si>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</si>
  <si>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[870.0, 1211.0, 2682.0, nan]</t>
  </si>
  <si>
    <t>[1326.0, 1490.0, 1893.0, nan]</t>
  </si>
  <si>
    <t>[635.0, 1031.0, 1161.0, nan]</t>
  </si>
  <si>
    <t>[-22.0, 22.0, 44.0,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</si>
  <si>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</si>
  <si>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</si>
  <si>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</si>
  <si>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</si>
  <si>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</si>
  <si>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</si>
  <si>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</si>
  <si>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</si>
  <si>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</si>
  <si>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</si>
  <si>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</si>
  <si>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</si>
  <si>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[736.0, 821.0, 923.0, nan]</t>
  </si>
  <si>
    <t>[882.0, 1021.0, 1275.0, nan]</t>
  </si>
  <si>
    <t>[553.0, 578.0, 753.0,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</si>
  <si>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</si>
  <si>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</si>
  <si>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</si>
  <si>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</si>
  <si>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</si>
  <si>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</si>
  <si>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</si>
  <si>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</si>
  <si>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</si>
  <si>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</si>
  <si>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</si>
  <si>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[853.0, 960.0, 1098.0, nan]</t>
  </si>
  <si>
    <t>[453.0, 309.0, 488.0, nan]</t>
  </si>
  <si>
    <t>[2301.0, 2402.0, 2777.0, 3089.0]</t>
  </si>
  <si>
    <t>[675.0, 740.0, 859.0, nan]</t>
  </si>
  <si>
    <t>[2133.0, 2301.0, 3017.0, 3503.0]</t>
  </si>
  <si>
    <t>[362.0, 365.0, 522.0, nan]</t>
  </si>
  <si>
    <t>[5230.0, 5393.0, 8010.0, nan]</t>
  </si>
  <si>
    <t>[18435.0, 18348.0, 22189.0, 27642.0]</t>
  </si>
  <si>
    <t>[13758.0, 13707.0, 16283.0, 20365.0]</t>
  </si>
  <si>
    <t>[526.0, 485.0, 832.0, nan]</t>
  </si>
  <si>
    <t>[3765.0, 3903.0, 6528.0, 6513.0]</t>
  </si>
  <si>
    <t>[5804.0, 5155.0, 6572.0, 7988.0]</t>
  </si>
  <si>
    <t>[526.0, 608.0, 821.0, nan]</t>
  </si>
  <si>
    <t>[26357.0, 23410.0, 30714.0, 38306.0]</t>
  </si>
  <si>
    <t>[7110.0, 7843.0, 9956.0, nan]</t>
  </si>
  <si>
    <t>[5717.0, 5797.0, 6497.0, nan]</t>
  </si>
  <si>
    <t>[2266.0, 3058.0, 3113.0, nan]</t>
  </si>
  <si>
    <t>[1109.0, 1214.0, 1419.0, nan]</t>
  </si>
  <si>
    <t>[6737.0, 7609.0, 8867.0, nan]</t>
  </si>
  <si>
    <t>[1017.0, 993.0, 1463.0, nan]</t>
  </si>
  <si>
    <t>[53851.0, 57977.0, 68182.0, 73042.0]</t>
  </si>
  <si>
    <t>[58052.0, 73672.0, 235356.0, 239889.0]</t>
  </si>
  <si>
    <t>[14931.0, 16497.0, 21986.0, 23362.0]</t>
  </si>
  <si>
    <t>[660.0, 779.0, 1780.0, nan]</t>
  </si>
  <si>
    <t>[1451.0, 1625.0, 3040.0, 6080.0]</t>
  </si>
  <si>
    <t>[1568.0, 1506.0, 2018.0, nan]</t>
  </si>
  <si>
    <t>[974.0, 1188.0, 1710.0, nan]</t>
  </si>
  <si>
    <t>[2885.0, 3478.0, 3852.0, nan]</t>
  </si>
  <si>
    <t>[5557.0, 6734.0, 8212.0, nan]</t>
  </si>
  <si>
    <t>[1670.0, 1891.0, 2260.0, nan]</t>
  </si>
  <si>
    <t>[2049.0, 1962.0, 2443.0, nan]</t>
  </si>
  <si>
    <t>[519.0, 941.0, 981.0, nan]</t>
  </si>
  <si>
    <t>[4412.0, 4640.0, 5467.0, nan]</t>
  </si>
  <si>
    <t>[1334.0, 7480.0, 21905.0, 33598.0]</t>
  </si>
  <si>
    <t>[4534.0, 5531.0, 6990.0, nan]</t>
  </si>
  <si>
    <t>[3287.0, 3756.0, 4064.0, nan]</t>
  </si>
  <si>
    <t>[1570.0, 1922.0, 2150.0, nan]</t>
  </si>
  <si>
    <t>[2956.0, 3381.0, 3878.0, 4320.0]</t>
  </si>
  <si>
    <t>[3176.0, 3576.0, 4232.0, nan]</t>
  </si>
  <si>
    <t>[3196.0, 3700.0, 4131.0, nan]</t>
  </si>
  <si>
    <t>[379.0, 878.0, 979.0, nan]</t>
  </si>
  <si>
    <t>[3008.0, 3482.0, 4504.0, nan]</t>
  </si>
  <si>
    <t>[320.0, 488.0, 615.0, nan]</t>
  </si>
  <si>
    <t>[4184.0, 4547.0, 5020.0, nan]</t>
  </si>
  <si>
    <t>[2308.0, 2650.0, 3433.0, nan]</t>
  </si>
  <si>
    <t>[1992.0, 2113.0, 2763.0, nan]</t>
  </si>
  <si>
    <t>[5849.0, 6335.0, 7144.0, nan]</t>
  </si>
  <si>
    <t>[4853.0, 5609.0, 6590.0, nan]</t>
  </si>
  <si>
    <t>[479211.0, 518885.0, 621571.0, 666317.0]</t>
  </si>
  <si>
    <t>[7156.0, 9529.0, 20535.0, nan]</t>
  </si>
  <si>
    <t>[1106.0, 6387.0, 12664.0, nan]</t>
  </si>
  <si>
    <t>[3632.0, 3945.0, 6929.0, nan]</t>
  </si>
  <si>
    <t>[3614.0, 5244.0, 6393.0, 7305.0]</t>
  </si>
  <si>
    <t>[1113.0, 1191.0, 1430.0, nan]</t>
  </si>
  <si>
    <t>[39195.0, 46144.0, 52100.0, nan]</t>
  </si>
  <si>
    <t>[16827.0, 19470.0, 24133.0, nan]</t>
  </si>
  <si>
    <t>[16608.0, 18987.0, 21174.0, 22556.0]</t>
  </si>
  <si>
    <t>[4533.0, 4737.0, 5981.0, 7510.0]</t>
  </si>
  <si>
    <t>[1747.0, 1890.0, 2355.0, nan]</t>
  </si>
  <si>
    <t>[11715.0, 13382.0, 17750.0, 24107.0]</t>
  </si>
  <si>
    <t>[350.0, 593.0, 761.0, nan]</t>
  </si>
  <si>
    <t>[3403.0, 3131.0, 3611.0, 4904.0]</t>
  </si>
  <si>
    <t>[10890.0, 16874.0, 103573.0, 201254.0]</t>
  </si>
  <si>
    <t>[4890.0, 6010.0, 14205.0, 13435.0]</t>
  </si>
  <si>
    <t>[4547.0, 4024.0, 5015.0, 2758.0]</t>
  </si>
  <si>
    <t>[2611.0, 3673.0, 4165.0, 4350.0]</t>
  </si>
  <si>
    <t>[21901.0, 23045.0, 40690.0, 40674.0]</t>
  </si>
  <si>
    <t>[8291.0, 7723.0, 12866.0, 16058.0]</t>
  </si>
  <si>
    <t>[1026.0, 1282.0, 1324.0, nan]</t>
  </si>
  <si>
    <t>[1660.0, 2275.0, 2645.0, nan]</t>
  </si>
  <si>
    <t>[4830.0, 5513.0, 19338.0, nan]</t>
  </si>
  <si>
    <t>[4578.0, 8019.0, 9579.0, nan]</t>
  </si>
  <si>
    <t>[859.0, 947.0, 1085.0, nan]</t>
  </si>
  <si>
    <t>[732.0, 812.0, 995.0, nan]</t>
  </si>
  <si>
    <t>[4600.0, 4946.0, 6497.0, 7443.0]</t>
  </si>
  <si>
    <t>[529.0, 663.0, 877.0, nan]</t>
  </si>
  <si>
    <t>[24587.0, 26744.0, 32119.0, 37842.0]</t>
  </si>
  <si>
    <t>[2494.0, 3078.0, 3585.0, 4120.0]</t>
  </si>
  <si>
    <t>[19845.0, 20483.0, 26217.0, 28140.0]</t>
  </si>
  <si>
    <t>[321.0, 431.0, 623.0, nan]</t>
  </si>
  <si>
    <t>[9973.0, 10835.0, 12269.0, 13033.0]</t>
  </si>
  <si>
    <t>[13362.0, 15878.0, 19764.0, nan]</t>
  </si>
  <si>
    <t>[4448.0, 4690.0, 5992.0, nan]</t>
  </si>
  <si>
    <t>[44253.0, 40991.0, 48136.0, 31868.0]</t>
  </si>
  <si>
    <t>[6472.0, 6784.0, 8427.0, 9142.0]</t>
  </si>
  <si>
    <t>[2046.0, 2559.0, 3242.0, nan]</t>
  </si>
  <si>
    <t>[2947.0, 3511.0, 4323.0, nan]</t>
  </si>
  <si>
    <t>[4336.0, 5013.0, 6455.0, nan]</t>
  </si>
  <si>
    <t>[5844.0, 12141.0, 46081.0, 55612.0]</t>
  </si>
  <si>
    <t>[4203.0, 4595.0, 5600.0, nan]</t>
  </si>
  <si>
    <t>[22340.0, 28567.0, 42652.0, 46607.0]</t>
  </si>
  <si>
    <t>[630.0, 673.0, 869.0, nan]</t>
  </si>
  <si>
    <t>[561.0, 835.0, 1269.0, nan]</t>
  </si>
  <si>
    <t>[2175.0, 2233.0, 3217.0, nan]</t>
  </si>
  <si>
    <t>[2809.0, 2688.0, 3428.0, nan]</t>
  </si>
  <si>
    <t>[7125.0, 7187.0, 8860.0, 9550.0]</t>
  </si>
  <si>
    <t>[50037.0, 56118.0, 73982.0, 79864.0]</t>
  </si>
  <si>
    <t>[6611.0, 7689.0, 8493.0, 9510.0]</t>
  </si>
  <si>
    <t>[26286.0, 31482.0, 50818.0, 57890.0]</t>
  </si>
  <si>
    <t>[2695.0, 2766.0, 3389.0, nan]</t>
  </si>
  <si>
    <t>[8777.0, 9193.0, 10206.0, nan]</t>
  </si>
  <si>
    <t>[3411.0, 3822.0, 4738.0, nan]</t>
  </si>
  <si>
    <t>[714.0, 1014.0, 1420.0, nan]</t>
  </si>
  <si>
    <t>[18497.0, 20332.0, 26697.0, 32650.0]</t>
  </si>
  <si>
    <t>[2715.0, 3683.0, 4737.0, nan]</t>
  </si>
  <si>
    <t>[471.0, 547.0, 785.0, nan]</t>
  </si>
  <si>
    <t>[8891.0, 9721.0, 11504.0, nan]</t>
  </si>
  <si>
    <t>[34699.0, 37563.0, 41574.0, 45306.0]</t>
  </si>
  <si>
    <t>[5057.0, 6119.0, 6713.0, 6930.0]</t>
  </si>
  <si>
    <t>[49493.0, 53171.0, 60809.0, 62460.0]</t>
  </si>
  <si>
    <t>[700.0, 812.0, 858.0, nan]</t>
  </si>
  <si>
    <t>[2389.0, 2274.0, 3696.0, 4747.0]</t>
  </si>
  <si>
    <t>[437.0, 483.0, 653.0, nan]</t>
  </si>
  <si>
    <t>[938.0, 1012.0, 1313.0, nan]</t>
  </si>
  <si>
    <t>[802.0, 1535.0, 1798.0, 1880.0]</t>
  </si>
  <si>
    <t>[2370.0, 2567.0, 6227.0, 5039.0]</t>
  </si>
  <si>
    <t>[569.0, 683.0, 787.0, nan]</t>
  </si>
  <si>
    <t>[826.0, 960.0, 1350.0, nan]</t>
  </si>
  <si>
    <t>[-204.0, -294.0, 331.0, 424.0]</t>
  </si>
  <si>
    <t>[1834.0, 1899.0, 2419.0, nan]</t>
  </si>
  <si>
    <t>[1057.0, 1177.0, 1303.0, nan]</t>
  </si>
  <si>
    <t>[285.0, 712.0, 1176.0, nan]</t>
  </si>
  <si>
    <t>[2424.0, 2681.0, 3190.0, nan]</t>
  </si>
  <si>
    <t>[661.0, 746.0, 826.0, nan]</t>
  </si>
  <si>
    <t>[6447.0, 7946.0, 11061.0, 17136.0]</t>
  </si>
  <si>
    <t>[993.0, 1106.0, 1459.0, 1864.0]</t>
  </si>
  <si>
    <t>[1141.0, 1382.0, 1915.0, 2804.0]</t>
  </si>
  <si>
    <t>[1265.0, 1293.0, 1362.0, 1364.0]</t>
  </si>
  <si>
    <t>[312.0, 413.0, 517.0, nan]</t>
  </si>
  <si>
    <t>[735.0, 1199.0, 1511.0, nan]</t>
  </si>
  <si>
    <t>[-1040.0, 41.0, 141.0, nan]</t>
  </si>
  <si>
    <t>[4722.0, 5323.0, 8003.0, 10031.0]</t>
  </si>
  <si>
    <t>[405.0, 426.0, 586.0, nan]</t>
  </si>
  <si>
    <t>[3673.0, 5289.0, 5999.0, nan]</t>
  </si>
  <si>
    <t>[595.0, 897.0, 1141.0, nan]</t>
  </si>
  <si>
    <t>[913.0, 1007.0, 1157.0, 1362.0]</t>
  </si>
  <si>
    <t>[204.0, 272.0, 403.0, nan]</t>
  </si>
  <si>
    <t>[314.0, 601.0, 752.0, nan]</t>
  </si>
  <si>
    <t>[14.0, 26.0, 210.0, nan]</t>
  </si>
  <si>
    <t>[719.0, 1251.0, 2355.0, nan]</t>
  </si>
  <si>
    <t>[267.0, 320.0, 461.0, nan]</t>
  </si>
  <si>
    <t>[4156.0, 10027.0, 21013.0, 21247.0]</t>
  </si>
  <si>
    <t>[1231.0, 1325.0, 1797.0, 1934.0]</t>
  </si>
  <si>
    <t>[149.0, 478.0, 566.0, nan]</t>
  </si>
  <si>
    <t>[82.0, 210.0, 559.0, nan]</t>
  </si>
  <si>
    <t>[387.0, 520.0, 619.0, nan]</t>
  </si>
  <si>
    <t>[964.0, 1132.0, 1402.0, nan]</t>
  </si>
  <si>
    <t>[1945.0, 2388.0, 2661.0, 2805.0]</t>
  </si>
  <si>
    <t>[444.0, 459.0, 626.0, nan]</t>
  </si>
  <si>
    <t>[596.0, 665.0, 788.0, nan]</t>
  </si>
  <si>
    <t>[250.0, 350.0, 736.0, nan]</t>
  </si>
  <si>
    <t>[56.0, 151.0, 415.0, nan]</t>
  </si>
  <si>
    <t>[33.0, 65.0, 301.0, nan]</t>
  </si>
  <si>
    <t>[155.0, 201.0, 418.0, nan]</t>
  </si>
  <si>
    <t>[1015.0, 1297.0, 2903.0, 3200.0]</t>
  </si>
  <si>
    <t>[10783.0, 14913.0, 19059.0, 22480.0]</t>
  </si>
  <si>
    <t>[243.0, 631.0, 1007.0, nan]</t>
  </si>
  <si>
    <t>[203.0, 430.0, 479.0, nan]</t>
  </si>
  <si>
    <t>[597.0, 599.0, 749.0, nan]</t>
  </si>
  <si>
    <t>[97.0, 177.0, 326.0, nan]</t>
  </si>
  <si>
    <t>[-5.0, 27.0, 225.0, nan]</t>
  </si>
  <si>
    <t>[846.0, 912.0, 1136.0, nan]</t>
  </si>
  <si>
    <t>[46703.0, 50654.0, 58025.0, 69240.0]</t>
  </si>
  <si>
    <t>[517.0, 494.0, 1033.0, nan]</t>
  </si>
  <si>
    <t>[833.0, 861.0, 1459.0, nan]</t>
  </si>
  <si>
    <t>[325.0, 525.0, 610.0, nan]</t>
  </si>
  <si>
    <t>[12497.0, 12924.0, 16109.0, 18151.0]</t>
  </si>
  <si>
    <t>[754.0, 1634.0, 2201.0, 3055.0]</t>
  </si>
  <si>
    <t>[200.0, 325.0, 565.0, nan]</t>
  </si>
  <si>
    <t>[51.0, 115.0, 235.0, nan]</t>
  </si>
  <si>
    <t>[945.0, 1090.0, 1320.0, nan]</t>
  </si>
  <si>
    <t>[22.0, 298.0, 533.0, nan]</t>
  </si>
  <si>
    <t>[694.0, 825.0, 1046.0, 1310.0]</t>
  </si>
  <si>
    <t>[109.0, 143.0, 336.0, nan]</t>
  </si>
  <si>
    <t>[2246.0, 2529.0, 2990.0, 3295.0]</t>
  </si>
  <si>
    <t>[217.0, 307.0, 508.0, 677.0]</t>
  </si>
  <si>
    <t>[657.0, 745.0, 930.0, 1043.0]</t>
  </si>
  <si>
    <t>[306.0, 345.0, 498.0, nan]</t>
  </si>
  <si>
    <t>[1397.0, 1501.0, 1837.0, 2180.0]</t>
  </si>
  <si>
    <t>[1806.0, 2025.0, 3086.0, 4021.0]</t>
  </si>
  <si>
    <t>[27485.0, 33492.0, 37209.0, 35737.0]</t>
  </si>
  <si>
    <t>[153.0, 93.0, 170.0, nan]</t>
  </si>
  <si>
    <t>[1468.0, 1627.0, 2022.0, nan]</t>
  </si>
  <si>
    <t>[509.0, 884.0, 993.0, nan]</t>
  </si>
  <si>
    <t>[907.0, 1429.0, 1898.0, nan]</t>
  </si>
  <si>
    <t>[1918.0, 2119.0, 2709.0, nan]</t>
  </si>
  <si>
    <t>[1393.0, 1470.0, 1593.0, 1511.0]</t>
  </si>
  <si>
    <t>[545.0, 624.0, 724.0, 831.0]</t>
  </si>
  <si>
    <t>[378.0, 587.0, 645.0, nan]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</si>
  <si>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</si>
  <si>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</si>
  <si>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</si>
  <si>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</si>
  <si>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</si>
  <si>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[646.0, 761.0, 836.0, nan]</t>
  </si>
  <si>
    <t>[15.18, -1.3, 23.75, 10.97]</t>
  </si>
  <si>
    <t>[15.11, 30.42, 147.4, nan]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</si>
  <si>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</si>
  <si>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</si>
  <si>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</si>
  <si>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</si>
  <si>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</si>
  <si>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</si>
  <si>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</si>
  <si>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</si>
  <si>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</si>
  <si>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</si>
  <si>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</si>
  <si>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</si>
  <si>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</si>
  <si>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</si>
  <si>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</si>
  <si>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</si>
  <si>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</si>
  <si>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</si>
  <si>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</si>
  <si>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</si>
  <si>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</si>
  <si>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</si>
  <si>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8.95, 10.23]</t>
  </si>
  <si>
    <t>[8.7, 17.04, 54.18, nan]</t>
  </si>
  <si>
    <t>[-56.79, 89.16, 102.45, nan]</t>
  </si>
  <si>
    <t>[-6.82, 14.07, 29.52, 10.09]</t>
  </si>
  <si>
    <t>[17.19, 16.08, 12.3, nan]</t>
  </si>
  <si>
    <t>[-10.87, 22.49, 15.7, nan]</t>
  </si>
  <si>
    <t>[-12.14, 12.0, 18.55, nan]</t>
  </si>
  <si>
    <t>[1.28, 8.98, 18.89, 14.65]</t>
  </si>
  <si>
    <t>[26.51, 11.17, 15.76, nan]</t>
  </si>
  <si>
    <t>[17.15, 8.36, 11.12, nan]</t>
  </si>
  <si>
    <t>[3.18, 76.4, 70.1, nan]</t>
  </si>
  <si>
    <t>[6.57, 15.01, 16.38,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</si>
  <si>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</si>
  <si>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</si>
  <si>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</si>
  <si>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</si>
  <si>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</si>
  <si>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</si>
  <si>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</si>
  <si>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</si>
  <si>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</si>
  <si>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</si>
  <si>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</si>
  <si>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</si>
  <si>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[0, 57.37, 19.76, nan, 13.75]</t>
  </si>
  <si>
    <t>[7.12, 12.77, 12.53, nan]</t>
  </si>
  <si>
    <t>[12.73, 11.95, 12.1, nan]</t>
  </si>
  <si>
    <t>[-10.64, 14.48, 15.19, nan]</t>
  </si>
  <si>
    <t>[-3.03, 56.72, 0.56, nan]</t>
  </si>
  <si>
    <t>[17.14, 13.67, 15.84, 5.5]</t>
  </si>
  <si>
    <t>[9.11, 14.57, 36.66, 25.04]</t>
  </si>
  <si>
    <t>[7.15, 12.86, 13.66, nan]</t>
  </si>
  <si>
    <t>[49.13, 4.74, 4.84, nan]</t>
  </si>
  <si>
    <t>[-31.4, 113.22, 17.29, nan]</t>
  </si>
  <si>
    <t>[8.45, 18.44, 38.03, nan]</t>
  </si>
  <si>
    <t>[95.87, 50.84, 26.61, nan]</t>
  </si>
  <si>
    <t>[-9.45, -11.35, 52.3, nan]</t>
  </si>
  <si>
    <t>[-3.01, 7.25, 44.64, nan]</t>
  </si>
  <si>
    <t>[34.14, 18.04, 5.47, nan]</t>
  </si>
  <si>
    <t>[14.66, 15.0, 13.32, nan]</t>
  </si>
  <si>
    <t>[-29.81, -35.1, 44.64, nan]</t>
  </si>
  <si>
    <t>[13.75, 13.89, 9.93, nan]</t>
  </si>
  <si>
    <t>[5.0, 16.47, 24.92,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</si>
  <si>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</si>
  <si>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</si>
  <si>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</si>
  <si>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</si>
  <si>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</si>
  <si>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</si>
  <si>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</si>
  <si>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</si>
  <si>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[3.57, -0.5, 75.04, nan]</t>
  </si>
  <si>
    <t>[0.59, 9.23, 53.0, nan]</t>
  </si>
  <si>
    <t>[18.71, 6.2, 17.93, 9.29]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</si>
  <si>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</si>
  <si>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</si>
  <si>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</si>
  <si>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</si>
  <si>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</si>
  <si>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</si>
  <si>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</si>
  <si>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</si>
  <si>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</si>
  <si>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</si>
  <si>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</si>
  <si>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</si>
  <si>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</si>
  <si>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</si>
  <si>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</si>
  <si>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</si>
  <si>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</si>
  <si>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</si>
  <si>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[-20.04, 15.25, 32.5, nan]</t>
  </si>
  <si>
    <t>[2.76, 6.89, 20.42, nan]</t>
  </si>
  <si>
    <t>[24.76, 17.27, 11.78, nan]</t>
  </si>
  <si>
    <t>[0, 4873.27, 65.14, nan,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</si>
  <si>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</si>
  <si>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</si>
  <si>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</si>
  <si>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</si>
  <si>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</si>
  <si>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</si>
  <si>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</si>
  <si>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</si>
  <si>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</si>
  <si>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</si>
  <si>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nan]</t>
  </si>
  <si>
    <t>[8.7, 13.86, 11.2, nan]</t>
  </si>
  <si>
    <t>[8.11, 9.15, 13.47, nan]</t>
  </si>
  <si>
    <t>[13.24, 16.92, 25.09, nan]</t>
  </si>
  <si>
    <t>[1.74, 9.39, 22.81,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</si>
  <si>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</si>
  <si>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</si>
  <si>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</si>
  <si>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</si>
  <si>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</si>
  <si>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</si>
  <si>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</si>
  <si>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</si>
  <si>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17.47]</t>
  </si>
  <si>
    <t>[-6.16, 21.41, 8.62, nan]</t>
  </si>
  <si>
    <t>[-10.29, 100.25, 47.94, nan]</t>
  </si>
  <si>
    <t>[0.83, 11.52, 14.71, nan]</t>
  </si>
  <si>
    <t>[-57.29, -36.2, 44.21, nan]</t>
  </si>
  <si>
    <t>[13.88, 5.74, 15.37, 14.73]</t>
  </si>
  <si>
    <t>[10.84, 16.61, 14.83, nan]</t>
  </si>
  <si>
    <t>[12.68, 10.8, 23.53, 17.33]</t>
  </si>
  <si>
    <t>[-12.8, -1.67, 33.1, nan]</t>
  </si>
  <si>
    <t>[6.93, 5.54, 23.53, nan]</t>
  </si>
  <si>
    <t>[9.82, 8.03, 14.71, 23.62]</t>
  </si>
  <si>
    <t>[9.6, 7.64, 14.72, 20.81]</t>
  </si>
  <si>
    <t>[-20.45, -30.93, 51.92, nan]</t>
  </si>
  <si>
    <t>[3.2, 6.89, 28.4, 5.88]</t>
  </si>
  <si>
    <t>[3.45, -11.52, 23.21, 21.85]</t>
  </si>
  <si>
    <t>[-22.8, 13.7, 31.51, nan]</t>
  </si>
  <si>
    <t>[-26.19, -9.89, 23.93, 21.76]</t>
  </si>
  <si>
    <t>[9.87, 10.29, 20.51, nan]</t>
  </si>
  <si>
    <t>[9.18, 13.04, 26.34, nan]</t>
  </si>
  <si>
    <t>[1.83, 30.04, 7.79, nan]</t>
  </si>
  <si>
    <t>[5.91, 10.45, 16.75, nan]</t>
  </si>
  <si>
    <t>[12.38, 14.88, 17.58, nan]</t>
  </si>
  <si>
    <t>[-4.35, -2.65, 38.34, nan]</t>
  </si>
  <si>
    <t>[9.12, 10.32, 14.77, 4.83]</t>
  </si>
  <si>
    <t>[10.56, 15.21, 106.72, 3.9]</t>
  </si>
  <si>
    <t>[11.73, 12.65, 30.43, 8.37]</t>
  </si>
  <si>
    <t>[29.38, -62.65, 73.56, nan]</t>
  </si>
  <si>
    <t>[13.56, 13.59, 15.66, 12.72]</t>
  </si>
  <si>
    <t>[5.26, 1.54, 27.4, nan]</t>
  </si>
  <si>
    <t>[23.08, 18.86, 36.86, nan]</t>
  </si>
  <si>
    <t>[13.52, 13.39, 11.45, nan]</t>
  </si>
  <si>
    <t>[-3.52, 22.33, 17.18, nan]</t>
  </si>
  <si>
    <t>[12.03, 14.27, 14.97, nan]</t>
  </si>
  <si>
    <t>[4.81, -5.16, 21.32, nan]</t>
  </si>
  <si>
    <t>[30.99, 29.7, 12.59, 48.91]</t>
  </si>
  <si>
    <t>[2.17, 7.54, 17.98, nan]</t>
  </si>
  <si>
    <t>[0, 139.69, 72.47, 47.56, 79.55]</t>
  </si>
  <si>
    <t>[16.94, 18.69, 24.9, nan]</t>
  </si>
  <si>
    <t>[14.22, 14.17, 8.48, nan]</t>
  </si>
  <si>
    <t>[18.57, 20.65, 11.64, nan]</t>
  </si>
  <si>
    <t>[11.14, 16.73, 14.79, 12.03]</t>
  </si>
  <si>
    <t>[30.57, 10.02, 16.06, nan]</t>
  </si>
  <si>
    <t>[6.72, 24.25, 10.96, nan]</t>
  </si>
  <si>
    <t>[34.66, 21.14, 11.03, nan]</t>
  </si>
  <si>
    <t>[9.59, 12.83, 20.2, nan]</t>
  </si>
  <si>
    <t>[27.34, 42.92, 23.47, nan]</t>
  </si>
  <si>
    <t>[14.26, 9.72, 11.31, nan]</t>
  </si>
  <si>
    <t>[0.15, 11.62, 25.2, nan]</t>
  </si>
  <si>
    <t>[5.44, 33.89, 16.0, nan]</t>
  </si>
  <si>
    <t>[10.99, 8.9, 13.5, nan]</t>
  </si>
  <si>
    <t>[5.8, 11.58, 12.68, nan]</t>
  </si>
  <si>
    <t>[4.23, 9.53, 16.84, 8.26]</t>
  </si>
  <si>
    <t>[1.51, 30.48, 11.19, nan]</t>
  </si>
  <si>
    <t>[0, 141.0, 70.5, 47.06, 72.4]</t>
  </si>
  <si>
    <t>[8.62, 11.72, 14.23, nan]</t>
  </si>
  <si>
    <t>[12.66, 14.88, 22.91, 16.04]</t>
  </si>
  <si>
    <t>[2.14, 7.47, 19.37, nan]</t>
  </si>
  <si>
    <t>[15.06, 13.08, 15.77, 14.88]</t>
  </si>
  <si>
    <t>[11.52, 14.71, 9.77, nan]</t>
  </si>
  <si>
    <t>[9.85, 14.91, 12.41, 8.57]</t>
  </si>
  <si>
    <t>[8.04, 17.83, 25.89, 23.72]</t>
  </si>
  <si>
    <t>[14.18, 10.98, 23.91, nan]</t>
  </si>
  <si>
    <t>[2.48, 23.72, 22.49, 27.97]</t>
  </si>
  <si>
    <t>[25.86, 51.02, 23.61, nan]</t>
  </si>
  <si>
    <t>[5.07, 15.09, 11.21, 27.93]</t>
  </si>
  <si>
    <t>[-55.46, 8.92, 88.62, 65.12]</t>
  </si>
  <si>
    <t>[20.86, 25.1, 76.22, -0.04]</t>
  </si>
  <si>
    <t>[21.37, -2.71, 15.58, -75.74]</t>
  </si>
  <si>
    <t>[0.97, 34.98, 25.1, 6.81]</t>
  </si>
  <si>
    <t>[6.22, 7.49, 25.58, 2.86]</t>
  </si>
  <si>
    <t>[11.47, 1.1, 23.91, 15.97]</t>
  </si>
  <si>
    <t>[14.28, 25.3, 1.24, nan]</t>
  </si>
  <si>
    <t>[10.87, 20.64, 13.45, nan]</t>
  </si>
  <si>
    <t>[25.13, 16.59, 153.88, nan]</t>
  </si>
  <si>
    <t>[23.04, 23.71, 19.95, nan]</t>
  </si>
  <si>
    <t>[9.05, 11.72, 14.78, nan]</t>
  </si>
  <si>
    <t>[1.36, 11.93, 23.05, nan]</t>
  </si>
  <si>
    <t>[6.73, 10.21, 24.75, 17.45]</t>
  </si>
  <si>
    <t>[7.58, 23.09, 28.15, nan]</t>
  </si>
  <si>
    <t>[8.8, 11.06, 16.47, 14.73]</t>
  </si>
  <si>
    <t>[21.61, 15.23, 14.44, 16.61]</t>
  </si>
  <si>
    <t>[4.79, 7.35, 26.41, 8.21]</t>
  </si>
  <si>
    <t>[14.93, 20.55, 18.85, nan]</t>
  </si>
  <si>
    <t>[11.21, 12.02, 12.48, 6.91]</t>
  </si>
  <si>
    <t>[14.61, 18.85, 21.11, nan]</t>
  </si>
  <si>
    <t>[-6.76, 6.17, 25.23, nan]</t>
  </si>
  <si>
    <t>[2.09, 4.61, 20.22, 30.04]</t>
  </si>
  <si>
    <t>[18.93, 16.94, 16.5, 3.08]</t>
  </si>
  <si>
    <t>[21.69, 27.27, 13.92, nan]</t>
  </si>
  <si>
    <t>[7.85, 14.22, 20.28, nan]</t>
  </si>
  <si>
    <t>[16.1, 15.94, 26.53, nan]</t>
  </si>
  <si>
    <t>[99.21, 61.86, 17.86, 15.07]</t>
  </si>
  <si>
    <t>[15.29, 10.1, 22.97, nan]</t>
  </si>
  <si>
    <t>[16.97, 27.63, 25.38, 11.1]</t>
  </si>
  <si>
    <t>[33.47, -24.87, 22.29, nan]</t>
  </si>
  <si>
    <t>[0.54, 13.21, 30.85, nan]</t>
  </si>
  <si>
    <t>[1.23, 2.88, 37.58, nan]</t>
  </si>
  <si>
    <t>[8.79, 4.78, 18.34, nan]</t>
  </si>
  <si>
    <t>[3.39, 1.92, 21.53, 9.0]</t>
  </si>
  <si>
    <t>[18.14, 16.27, 27.12, 9.35]</t>
  </si>
  <si>
    <t>[14.15, 18.18, 13.28, 13.11]</t>
  </si>
  <si>
    <t>[11.84, 20.18, 47.76, 19.04]</t>
  </si>
  <si>
    <t>[4.73, 4.05, 21.36, nan]</t>
  </si>
  <si>
    <t>[12.72, 9.44, 14.37, nan]</t>
  </si>
  <si>
    <t>[32.69, 11.94, 17.38, nan]</t>
  </si>
  <si>
    <t>[-25.92, 4.19, 30.23, nan]</t>
  </si>
  <si>
    <t>[-3.63, 3.35, 23.41, 21.81]</t>
  </si>
  <si>
    <t>[7.58, 16.99, 9.57, nan]</t>
  </si>
  <si>
    <t>[11.44, 17.09, 35.28, nan]</t>
  </si>
  <si>
    <t>[-7.44, 7.18, 17.99, nan]</t>
  </si>
  <si>
    <t>[10.36, 10.06, 12.8, 13.39]</t>
  </si>
  <si>
    <t>[15.21, 18.96, 7.55, 3.66]</t>
  </si>
  <si>
    <t>[8.15, 9.89, 16.94, 8.3]</t>
  </si>
  <si>
    <t>[32.82, 14.51, 5.79, nan]</t>
  </si>
  <si>
    <t>[12.28, -3.52, 48.74, 26.29]</t>
  </si>
  <si>
    <t>[3.84, 11.37, 16.79, nan]</t>
  </si>
  <si>
    <t>[13.79, 8.03, 28.18, nan]</t>
  </si>
  <si>
    <t>[43.7, 20.4, 17.91, 8.54]</t>
  </si>
  <si>
    <t>[-4.03, -2.81, 69.74, -15.94]</t>
  </si>
  <si>
    <t>[12.68, 17.95, 11.93, nan]</t>
  </si>
  <si>
    <t>[-10.56, 21.31, 45.49, nan]</t>
  </si>
  <si>
    <t>[nan, 0, 171.21, 25.02, 14.64]</t>
  </si>
  <si>
    <t>[-1.75, 4.18, 23.89, nan]</t>
  </si>
  <si>
    <t>[23.33, 16.23, 14.28, nan]</t>
  </si>
  <si>
    <t>[16.42, 44.1, 42.97, 17.61]</t>
  </si>
  <si>
    <t>[49.82, 10.45, 16.32, nan]</t>
  </si>
  <si>
    <t>[18.76, 15.09, 12.92, nan]</t>
  </si>
  <si>
    <t>[17.4, 23.07, 33.35, 44.57]</t>
  </si>
  <si>
    <t>[19.83, 15.06, 29.42, 27.56]</t>
  </si>
  <si>
    <t>[8.57, 19.78, 34.68, 39.11]</t>
  </si>
  <si>
    <t>[15.71, 15.9, 15.89, 18.93]</t>
  </si>
  <si>
    <t>[20.38, 22.76, 9.97, nan]</t>
  </si>
  <si>
    <t>[16.78, 47.04, 32.75, nan]</t>
  </si>
  <si>
    <t>[0, 0, 58.41, nan, 21.92, nan]</t>
  </si>
  <si>
    <t>[8.39, 14.44, 44.49, 30.91]</t>
  </si>
  <si>
    <t>[5.19, 11.42, 36.24, nan]</t>
  </si>
  <si>
    <t>[15.63, 14.05, 14.16, nan]</t>
  </si>
  <si>
    <t>[25.08, 31.34, 45.6, nan]</t>
  </si>
  <si>
    <t>[13.5, 9.31, 14.22, 17.07]</t>
  </si>
  <si>
    <t>[4.2, -68.72, 38.58, nan]</t>
  </si>
  <si>
    <t>[15.91, 64.06, 6.73, nan]</t>
  </si>
  <si>
    <t>[0, 3.18, 78.53, nan, nan]</t>
  </si>
  <si>
    <t>[0, 12.99, 18.76, nan, 11.46]</t>
  </si>
  <si>
    <t>[15.51, 17.73, 35.65, nan]</t>
  </si>
  <si>
    <t>[2.64, 12.12, 34.06, 3.07]</t>
  </si>
  <si>
    <t>[6.97, 8.2, 27.72, 9.03]</t>
  </si>
  <si>
    <t>[59.19, 15.65, 14.0, nan]</t>
  </si>
  <si>
    <t>[0, 31.22, 26.88, nan, nan]</t>
  </si>
  <si>
    <t>[15.59, 23.54, 19.6, nan]</t>
  </si>
  <si>
    <t>[18.5, 16.24, 22.5, nan]</t>
  </si>
  <si>
    <t>[21.36, 25.66, 12.18, 9.86]</t>
  </si>
  <si>
    <t>[-21.86, 4.94, 32.21, nan]</t>
  </si>
  <si>
    <t>[25.33, 16.13, 19.71, nan]</t>
  </si>
  <si>
    <t>[29.18, 27.18, 18.31, nan]</t>
  </si>
  <si>
    <t>[0, 84.78, 12.88, nan, nan]</t>
  </si>
  <si>
    <t>[0, 64.81, -14.28, nan, 17.0]</t>
  </si>
  <si>
    <t>[26.24, 28.85, 11.38, nan]</t>
  </si>
  <si>
    <t>[17.28, 15.83, 12.69, 10.65]</t>
  </si>
  <si>
    <t>[30.74, 31.51, 27.41, 24.1]</t>
  </si>
  <si>
    <t>[-48.09, -93.85, 44.14, nan]</t>
  </si>
  <si>
    <t>[33.1, 14.04, 9.14, nan]</t>
  </si>
  <si>
    <t>[15.67, 8.18, 23.13, nan]</t>
  </si>
  <si>
    <t>[0, 33.18, 27.88, nan, -17.63]</t>
  </si>
  <si>
    <t>[0, 293.25, 61.87, nan, nan]</t>
  </si>
  <si>
    <t>[8.95, 7.6, 22.13, nan]</t>
  </si>
  <si>
    <t>[11.25, 12.45, 14.41, 18.81]</t>
  </si>
  <si>
    <t>[21.77, 25.21, 18.84, nan]</t>
  </si>
  <si>
    <t>[19.7, 10.24, 14.77, 13.71]</t>
  </si>
  <si>
    <t>[17.88, 47.0, 22.11, nan]</t>
  </si>
  <si>
    <t>[23.81, 10.94, 16.2, 13.39]</t>
  </si>
  <si>
    <t>[35.28, 32.1, 30.41, 33.47]</t>
  </si>
  <si>
    <t>[153.4, 118.16, 53.38, nan]</t>
  </si>
  <si>
    <t>[0, 77.58, -77.93, nan, nan]</t>
  </si>
  <si>
    <t>[12.85, 13.67, 18.45, nan]</t>
  </si>
  <si>
    <t>[138.53, 26.97, 17.34, nan]</t>
  </si>
  <si>
    <t>[33.03, 20.6, 24.74, 26.69]</t>
  </si>
  <si>
    <t>[10.4, 29.92, 8.02, nan]</t>
  </si>
  <si>
    <t>[47.71, 16.1, 14.32, 12.98]</t>
  </si>
  <si>
    <t>[28.49, 35.22, 55.58, 37.63]</t>
  </si>
  <si>
    <t>[14.48, 17.55, 25.21, 15.27]</t>
  </si>
  <si>
    <t>[11.45, 14.38, 15.0, nan]</t>
  </si>
  <si>
    <t>[15.47, 12.09, 20.39, 17.92]</t>
  </si>
  <si>
    <t>[21.1, 13.17, 31.38, 28.11]</t>
  </si>
  <si>
    <t>[15.26, 16.06, 22.33, 28.65]</t>
  </si>
  <si>
    <t>[-61.32, -67.02, 36.13, nan]</t>
  </si>
  <si>
    <t>[11.03, 11.35, 18.16, nan]</t>
  </si>
  <si>
    <t>[26.34, 12.19, 11.61, nan]</t>
  </si>
  <si>
    <t>[5.49, 45.58, 1.9, nan]</t>
  </si>
  <si>
    <t>[17.53, 12.45, 21.9, nan]</t>
  </si>
  <si>
    <t>[44.43, 8.63, 9.38, -1.22]</t>
  </si>
  <si>
    <t>[21.19, 18.38, 19.71, 18.26]</t>
  </si>
  <si>
    <t>[-33.88, 40.6, 7.42, nan]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</si>
  <si>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</si>
  <si>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</si>
  <si>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</si>
  <si>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</si>
  <si>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</si>
  <si>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[17.69, 20.23, 16.69, nan]</t>
  </si>
  <si>
    <t>[5.06, nan, 3.3, 7.02]</t>
  </si>
  <si>
    <t>[19.88, 14.3, 1.24, nan]</t>
  </si>
  <si>
    <t>[7.87, 16.48, 6.19, nan]</t>
  </si>
  <si>
    <t>[3.78, 2.82, 2.63, nan]</t>
  </si>
  <si>
    <t>[nan, 0.79, 4.1, nan]</t>
  </si>
  <si>
    <t>[nan, nan, 6.01, nan]</t>
  </si>
  <si>
    <t>[6.0, 0.44, 23.06, nan]</t>
  </si>
  <si>
    <t>[9.29, 22.67, 7.92, nan]</t>
  </si>
  <si>
    <t>[7.86, 7.57, 5.92, 4.28]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</si>
  <si>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</si>
  <si>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</si>
  <si>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</si>
  <si>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</si>
  <si>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</si>
  <si>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7.01]</t>
  </si>
  <si>
    <t>[nan, 4.95, 4.13,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</si>
  <si>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</si>
  <si>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</si>
  <si>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</si>
  <si>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</si>
  <si>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</si>
  <si>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</si>
  <si>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9.66]</t>
  </si>
  <si>
    <t>[14.25, 12.34, 14.22, nan]</t>
  </si>
  <si>
    <t>[nan, nan, 15.61, 11.69]</t>
  </si>
  <si>
    <t>[13.8, 8.52, 3.86, nan]</t>
  </si>
  <si>
    <t>[nan, 16.58, 3.06, nan]</t>
  </si>
  <si>
    <t>[nan, 14.33, 4.76, 7.39]</t>
  </si>
  <si>
    <t>[nan, nan, 14.25, nan]</t>
  </si>
  <si>
    <t>[nan, 12.65, 11.43, nan]</t>
  </si>
  <si>
    <t>[nan, 26.0, 11.31, nan]</t>
  </si>
  <si>
    <t>[55.93, 10.12, 5.85, 5.65]</t>
  </si>
  <si>
    <t>[3.85, 5.73, 4.54, nan]</t>
  </si>
  <si>
    <t>[5.67, 10.17, 7.59, nan]</t>
  </si>
  <si>
    <t>[53.03, 5.07, 3.42, nan]</t>
  </si>
  <si>
    <t>[6.01, 2.81, 13.11,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</si>
  <si>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</si>
  <si>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</si>
  <si>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</si>
  <si>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</si>
  <si>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</si>
  <si>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</si>
  <si>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</si>
  <si>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</si>
  <si>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5.38]</t>
  </si>
  <si>
    <t>[15.14, 5.81, 3.8, nan]</t>
  </si>
  <si>
    <t>[4.38, 3.18, 6.68, nan]</t>
  </si>
  <si>
    <t>[18.61, 11.97, 6.76, nan]</t>
  </si>
  <si>
    <t>[nan, nan, 11.73, nan]</t>
  </si>
  <si>
    <t>[11.59, 7.49, 6.54, nan]</t>
  </si>
  <si>
    <t>[8.96, 14.62, 11.85, nan]</t>
  </si>
  <si>
    <t>[nan, 11.11, 12.28, nan]</t>
  </si>
  <si>
    <t>[nan, 3.26, 287.65, nan]</t>
  </si>
  <si>
    <t>[10.5, 9.51, 7.26, 14.25]</t>
  </si>
  <si>
    <t>[12.7, 10.17, 5.2, 6.46]</t>
  </si>
  <si>
    <t>[3.7, 2.05, 2.38, nan]</t>
  </si>
  <si>
    <t>[6.31, 24.75, 16.89, nan]</t>
  </si>
  <si>
    <t>[nan, 10.51, 17.59, nan]</t>
  </si>
  <si>
    <t>[12.68, 8.3, 4.86, nan]</t>
  </si>
  <si>
    <t>[nan, 8.1, 10.45, nan]</t>
  </si>
  <si>
    <t>[nan, nan, 5.86, nan]</t>
  </si>
  <si>
    <t>[nan, 16.93, 5.49, nan]</t>
  </si>
  <si>
    <t>[nan, 10.06, 20.55, nan]</t>
  </si>
  <si>
    <t>[10.32, 11.43, 8.42, nan]</t>
  </si>
  <si>
    <t>[nan, nan, 4.46, nan]</t>
  </si>
  <si>
    <t>[8.02, 6.57, 8.06, nan]</t>
  </si>
  <si>
    <t>[11.1, 16.4, 6.29,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</si>
  <si>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</si>
  <si>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</si>
  <si>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</si>
  <si>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</si>
  <si>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</si>
  <si>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</si>
  <si>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</si>
  <si>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7.76]</t>
  </si>
  <si>
    <t>[21.21, nan, 1.47, nan]</t>
  </si>
  <si>
    <t>[250.6, 15.13, 5.18, nan]</t>
  </si>
  <si>
    <t>[11.72, 27.74, 9.97, 11.41]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</si>
  <si>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</si>
  <si>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</si>
  <si>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</si>
  <si>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</si>
  <si>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</si>
  <si>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</si>
  <si>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</si>
  <si>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</si>
  <si>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</si>
  <si>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</si>
  <si>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</si>
  <si>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</si>
  <si>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</si>
  <si>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</si>
  <si>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</si>
  <si>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</si>
  <si>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</si>
  <si>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[nan, 5.54, 1.72, nan]</t>
  </si>
  <si>
    <t>[32.56, 11.13, 4.12, nan]</t>
  </si>
  <si>
    <t>[nan, 18.05, 15.71, nan]</t>
  </si>
  <si>
    <t>[283.05, 19.1, 15.95, nan]</t>
  </si>
  <si>
    <t>[25.67, 9.05, 3.34, nan]</t>
  </si>
  <si>
    <t>[11.09, nan, 4.78, nan]</t>
  </si>
  <si>
    <t>[2.08, 1.09, 2.81, nan]</t>
  </si>
  <si>
    <t>[13.61, 13.34, 8.45, 4.76]</t>
  </si>
  <si>
    <t>[nan, nan, 1.35, nan]</t>
  </si>
  <si>
    <t>[13.51, 14.17, 11.75, 8.51]</t>
  </si>
  <si>
    <t>[nan, nan, nan, 5.62]</t>
  </si>
  <si>
    <t>[11.5, 9.99, 18.25, nan]</t>
  </si>
  <si>
    <t>[11.01, 12.54, 12.39, nan]</t>
  </si>
  <si>
    <t>[9.08, 5.26, 2.84, nan]</t>
  </si>
  <si>
    <t>[7.56, 12.49, 11.73, nan]</t>
  </si>
  <si>
    <t>[17.95, 14.91, 23.9, nan]</t>
  </si>
  <si>
    <t>[8.11, 9.52, 10.54, nan]</t>
  </si>
  <si>
    <t>[13.08, 15.78, 8.09, nan]</t>
  </si>
  <si>
    <t>[67.05, 9.15, 4.67,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</si>
  <si>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</si>
  <si>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</si>
  <si>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</si>
  <si>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</si>
  <si>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</si>
  <si>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</si>
  <si>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</si>
  <si>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</si>
  <si>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5.23]</t>
  </si>
  <si>
    <t>[nan, 2.05, 8.44, nan]</t>
  </si>
  <si>
    <t>[nan, 3.49, 4.39, nan]</t>
  </si>
  <si>
    <t>[134.37, 16.07, 8.77, nan]</t>
  </si>
  <si>
    <t>[nan, nan, 3.21, nan]</t>
  </si>
  <si>
    <t>[9.52, 21.1, 7.41, 6.04]</t>
  </si>
  <si>
    <t>[7.79, 6.09, 8.05, nan]</t>
  </si>
  <si>
    <t>[7.14, 16.75, 5.29, 4.38]</t>
  </si>
  <si>
    <t>[nan, nan, 4.74, nan]</t>
  </si>
  <si>
    <t>[7.54, 10.31, 2.83, nan]</t>
  </si>
  <si>
    <t>[9.13, 9.51, 6.49, 3.29]</t>
  </si>
  <si>
    <t>[5.43, 4.91, 2.89, 2.18]</t>
  </si>
  <si>
    <t>[35.65, 12.63, 2.89, 7.67]</t>
  </si>
  <si>
    <t>[19.27, nan, 6.62, 3.7]</t>
  </si>
  <si>
    <t>[nan, 7.8, 4.06, nan]</t>
  </si>
  <si>
    <t>[nan, nan, 3.83, 2.74]</t>
  </si>
  <si>
    <t>[7.11, 6.45, 5.66, nan]</t>
  </si>
  <si>
    <t>[3.3, 2.89, 2.11, nan]</t>
  </si>
  <si>
    <t>[42.59, 1.87, 6.83, nan]</t>
  </si>
  <si>
    <t>[9.85, 6.05, 4.38, nan]</t>
  </si>
  <si>
    <t>[9.4, 6.66, 4.7, nan]</t>
  </si>
  <si>
    <t>[nan, nan, 0.92, nan]</t>
  </si>
  <si>
    <t>[8.02, 5.88, 4.08, 9.58]</t>
  </si>
  <si>
    <t>[52.72, 47.97, 3.77, 34.53]</t>
  </si>
  <si>
    <t>[6.92, 7.16, 3.31, 7.64]</t>
  </si>
  <si>
    <t>[7.51, nan, 2.21, nan]</t>
  </si>
  <si>
    <t>[8.36, 15.91, 8.93, 5.21]</t>
  </si>
  <si>
    <t>[20.39, 42.45, 5.91, nan]</t>
  </si>
  <si>
    <t>[16.65, 18.65, 5.98, nan]</t>
  </si>
  <si>
    <t>[12.57, 14.41, 11.96, nan]</t>
  </si>
  <si>
    <t>[nan, 2.18, 3.53, nan]</t>
  </si>
  <si>
    <t>[5.84, 5.17, 4.6, nan]</t>
  </si>
  <si>
    <t>[18.93, nan, 2.95, nan]</t>
  </si>
  <si>
    <t>[nan, 5.68, 16.53, 2.21]</t>
  </si>
  <si>
    <t>[20.31, 4.73, 4.62, nan]</t>
  </si>
  <si>
    <t>[nan, nan, 5.14, 2.39]</t>
  </si>
  <si>
    <t>[2.53, 2.66, 1.87, nan]</t>
  </si>
  <si>
    <t>[4.07, 3.77, 5.25, nan]</t>
  </si>
  <si>
    <t>[5.79, 6.67, 8.63, nan]</t>
  </si>
  <si>
    <t>[12.95, 11.13, 9.52, 7.66]</t>
  </si>
  <si>
    <t>[1.52, 4.42, 3.69, nan]</t>
  </si>
  <si>
    <t>[10.45, 3.21, 6.38, nan]</t>
  </si>
  <si>
    <t>[6.09, 5.81, 9.05, nan]</t>
  </si>
  <si>
    <t>[21.31, 16.12, 9.43, nan]</t>
  </si>
  <si>
    <t>[11.32, 6.4, 9.48, nan]</t>
  </si>
  <si>
    <t>[4.3, 6.06, 6.38, nan]</t>
  </si>
  <si>
    <t>[733.95, 18.41, 5.36, nan]</t>
  </si>
  <si>
    <t>[17.35, 3.1, 8.75, nan]</t>
  </si>
  <si>
    <t>[4.37, 6.15, 5.18, nan]</t>
  </si>
  <si>
    <t>[10.14, 4.7, 4.23, nan]</t>
  </si>
  <si>
    <t>[34.15, 18.14, 9.93, 11.72]</t>
  </si>
  <si>
    <t>[79.08, 20.31, 17.49, nan]</t>
  </si>
  <si>
    <t>[nan, nan, nan, 1.44]</t>
  </si>
  <si>
    <t>[8.61, 6.45, 4.88, nan]</t>
  </si>
  <si>
    <t>[12.31, 14.51, 5.76, 4.56]</t>
  </si>
  <si>
    <t>[22.13, 8.14, 3.09, nan]</t>
  </si>
  <si>
    <t>[4.8, 4.74, 4.87, 5.49]</t>
  </si>
  <si>
    <t>[2.96, 5.02, 4.45, nan]</t>
  </si>
  <si>
    <t>[4.92, 3.64, 4.72, 5.69]</t>
  </si>
  <si>
    <t>[6.91, 6.0, 4.18, 2.33]</t>
  </si>
  <si>
    <t>[6.06, 7.18, 5.37, nan]</t>
  </si>
  <si>
    <t>[20.41, 3.22, 2.93, 2.26]</t>
  </si>
  <si>
    <t>[7.1, 4.57, 10.37, nan]</t>
  </si>
  <si>
    <t>[14.48, 4.28, 5.88, 1.84]</t>
  </si>
  <si>
    <t>[nan, 36.32, 2.46, 1.05]</t>
  </si>
  <si>
    <t>[7.18, 6.68, 2.93, nan]</t>
  </si>
  <si>
    <t>[5.25, nan, 13.75, nan]</t>
  </si>
  <si>
    <t>[58.86, 2.19, 2.67, 4.61]</t>
  </si>
  <si>
    <t>[22.7, 15.75, 3.39, 24.84]</t>
  </si>
  <si>
    <t>[6.25, 85.14, 3.15, 3.01]</t>
  </si>
  <si>
    <t>[4.98, 2.72, 58.68, nan]</t>
  </si>
  <si>
    <t>[7.31, 5.25, 5.02, nan]</t>
  </si>
  <si>
    <t>[7.83, 7.57, 0.38, nan]</t>
  </si>
  <si>
    <t>[3.17, 3.94, 3.6, nan]</t>
  </si>
  <si>
    <t>[24.75, 14.03, 8.14, nan]</t>
  </si>
  <si>
    <t>[44.52, 10.05, 5.68, nan]</t>
  </si>
  <si>
    <t>[4.93, 5.26, 2.71, 2.3]</t>
  </si>
  <si>
    <t>[28.74, 9.57, 6.3, nan]</t>
  </si>
  <si>
    <t>[9.44, 7.3, 4.95, 3.74]</t>
  </si>
  <si>
    <t>[9.49, 13.25, 11.02, 5.43]</t>
  </si>
  <si>
    <t>[10.95, 7.61, 2.62, 5.1]</t>
  </si>
  <si>
    <t>[12.72, 11.23, 10.53, nan]</t>
  </si>
  <si>
    <t>[7.79, 7.5, 5.82, 8.8]</t>
  </si>
  <si>
    <t>[4.6, 3.57, 2.72, nan]</t>
  </si>
  <si>
    <t>[nan, 8.42, 2.84, nan]</t>
  </si>
  <si>
    <t>[27.21, 14.09, 3.41, 2.28]</t>
  </si>
  <si>
    <t>[8.25, 9.82, 8.48, 33.86]</t>
  </si>
  <si>
    <t>[12.39, 7.96, 14.41, nan]</t>
  </si>
  <si>
    <t>[4.69, 2.66, 2.62, nan]</t>
  </si>
  <si>
    <t>[14.95, 11.77, 5.78, nan]</t>
  </si>
  <si>
    <t>[nan, nan, 40.19, 11.11]</t>
  </si>
  <si>
    <t>[3.05, 6.87, 2.86, nan]</t>
  </si>
  <si>
    <t>[5.56, 4.59, 3.27, 5.72]</t>
  </si>
  <si>
    <t>[3.82, nan, 4.58, nan]</t>
  </si>
  <si>
    <t>[246.51, 18.03, 4.77, nan]</t>
  </si>
  <si>
    <t>[38.3, 16.47, 3.22, nan]</t>
  </si>
  <si>
    <t>[7.66, 18.28, 4.9, nan]</t>
  </si>
  <si>
    <t>[11.09, 16.28, 1.71, 3.57]</t>
  </si>
  <si>
    <t>[5.28, 5.63, 2.82, 5.18]</t>
  </si>
  <si>
    <t>[4.71, 3.76, 4.71, 3.27]</t>
  </si>
  <si>
    <t>[8.81, 8.33, 2.83, 4.48]</t>
  </si>
  <si>
    <t>[12.67, 17.2, 3.16, nan]</t>
  </si>
  <si>
    <t>[4.91, 6.01, 4.72, nan]</t>
  </si>
  <si>
    <t>[1.59, 7.19, 5.71, nan]</t>
  </si>
  <si>
    <t>[nan, 20.44, 4.94, nan]</t>
  </si>
  <si>
    <t>[nan, 11.9, 2.76, 1.97]</t>
  </si>
  <si>
    <t>[14.65, 5.64, 7.37, nan]</t>
  </si>
  <si>
    <t>[7.14, 7.32, 4.6, nan]</t>
  </si>
  <si>
    <t>[nan, 17.37, 5.55, nan]</t>
  </si>
  <si>
    <t>[3.16, 3.06, 3.25, 3.26]</t>
  </si>
  <si>
    <t>[2.38, 1.83, 3.75, 4.12]</t>
  </si>
  <si>
    <t>[8.8, 7.11, 4.15, 6.05]</t>
  </si>
  <si>
    <t>[4.12, 10.99, 33.45, nan]</t>
  </si>
  <si>
    <t>[14.43, nan, 6.96, 5.26]</t>
  </si>
  <si>
    <t>[32.06, 16.07, 8.86, nan]</t>
  </si>
  <si>
    <t>[11.7, 18.99, 6.23, nan]</t>
  </si>
  <si>
    <t>[nan, 17.57, 13.89, 15.02]</t>
  </si>
  <si>
    <t>[nan, nan, 19.3, nan]</t>
  </si>
  <si>
    <t>[10.5, 12.6, 12.11, nan]</t>
  </si>
  <si>
    <t>[nan, 21.87, 9.58, nan]</t>
  </si>
  <si>
    <t>[nan, nan, 97.78, 13.16]</t>
  </si>
  <si>
    <t>[nan, 16.16, 2.4, nan]</t>
  </si>
  <si>
    <t>[19.83, 12.92, 11.49, nan]</t>
  </si>
  <si>
    <t>[18.92, 19.29, 11.0, 11.6]</t>
  </si>
  <si>
    <t>[1.22, 9.08, 11.01, nan]</t>
  </si>
  <si>
    <t>[10.71, 10.62, 10.19, nan]</t>
  </si>
  <si>
    <t>[11.74, 13.67, 10.21, 3.06]</t>
  </si>
  <si>
    <t>[5.32, 10.14, 9.29, 4.4]</t>
  </si>
  <si>
    <t>[54.33, 15.22, 6.74, 3.15]</t>
  </si>
  <si>
    <t>[11.25, 11.62, 12.56, 6.4]</t>
  </si>
  <si>
    <t>[11.47, 12.85, 19.33, nan]</t>
  </si>
  <si>
    <t>[19.43, 12.23, 8.89, nan]</t>
  </si>
  <si>
    <t>[nan, nan, 25.82, nan]</t>
  </si>
  <si>
    <t>[16.8, 13.05, 9.18, 4.46]</t>
  </si>
  <si>
    <t>[31.94, 11.94, 7.19, nan]</t>
  </si>
  <si>
    <t>[8.01, 6.06, 9.87, nan]</t>
  </si>
  <si>
    <t>[12.37, 19.84, 11.25, nan]</t>
  </si>
  <si>
    <t>[7.18, 9.86, 6.78, 5.68]</t>
  </si>
  <si>
    <t>[261.38, nan, 7.49, nan]</t>
  </si>
  <si>
    <t>[10.39, 3.82, 36.74, nan]</t>
  </si>
  <si>
    <t>[nan, nan, 13.1, nan]</t>
  </si>
  <si>
    <t>[14.71, 25.67, 7.86, nan]</t>
  </si>
  <si>
    <t>[nan, 33.33, 12.89, 56.2]</t>
  </si>
  <si>
    <t>[22.31, 21.11, 8.22, 16.05]</t>
  </si>
  <si>
    <t>[nan, 20.08, 29.49, nan]</t>
  </si>
  <si>
    <t>[nan, nan, 11.6, nan]</t>
  </si>
  <si>
    <t>[9.99, 8.77, 10.84, nan]</t>
  </si>
  <si>
    <t>[16.28, 24.13, 15.01, nan]</t>
  </si>
  <si>
    <t>[13.98, 12.08, 18.51, 13.06]</t>
  </si>
  <si>
    <t>[7.88, 13.95, 10.06, nan]</t>
  </si>
  <si>
    <t>[nan, nan, 22.18, nan]</t>
  </si>
  <si>
    <t>[nan, nan, 16.71, nan]</t>
  </si>
  <si>
    <t>[nan, nan, 30.07, nan]</t>
  </si>
  <si>
    <t>[15.72, 18.18, 18.86, 12.14]</t>
  </si>
  <si>
    <t>[20.64, 13.25, 11.79, 8.2]</t>
  </si>
  <si>
    <t>[nan, nan, 6.08, nan]</t>
  </si>
  <si>
    <t>[nan, 28.51, 20.22, nan]</t>
  </si>
  <si>
    <t>[7.88, 22.87, 11.64, nan]</t>
  </si>
  <si>
    <t>[19.42, 25.12, 7.72, nan]</t>
  </si>
  <si>
    <t>[10.68, 11.38, 8.05, 5.53]</t>
  </si>
  <si>
    <t>[19.16, 22.62, 17.28, nan]</t>
  </si>
  <si>
    <t>[11.77, 21.73, 15.57, 9.8]</t>
  </si>
  <si>
    <t>[17.27, 9.63, 10.83, nan]</t>
  </si>
  <si>
    <t>[12.14, 19.11, 9.26, 9.31]</t>
  </si>
  <si>
    <t>[nan, 6.88, 7.38, 5.02]</t>
  </si>
  <si>
    <t>[10.19, 14.97, 12.1, nan]</t>
  </si>
  <si>
    <t>[nan, nan, 27.13, nan]</t>
  </si>
  <si>
    <t>[11.28, 9.9, 9.18, 5.38]</t>
  </si>
  <si>
    <t>[nan, nan, 61.66, nan]</t>
  </si>
  <si>
    <t>[7.98, 18.77, 26.06, 12.72]</t>
  </si>
  <si>
    <t>[11.3, 21.41, 18.16, 8.7]</t>
  </si>
  <si>
    <t>[21.76, 35.4, 20.21, 12.1]</t>
  </si>
  <si>
    <t>[16.13, 11.1, 10.75, nan]</t>
  </si>
  <si>
    <t>[15.84, 13.55, 9.31, 7.68]</t>
  </si>
  <si>
    <t>[14.73, 17.67, 11.28, 6.17]</t>
  </si>
  <si>
    <t>[4.15, 2.74, 7.47, 5.36]</t>
  </si>
  <si>
    <t>[nan, nan, 7.62, nan]</t>
  </si>
  <si>
    <t>[6.24, 10.23, 10.61, nan]</t>
  </si>
  <si>
    <t>[nan, 24.18, 17.48, nan]</t>
  </si>
  <si>
    <t>[52.05, 4.5, 104.93, nan]</t>
  </si>
  <si>
    <t>[10.72, 48.08, 25.87, nan]</t>
  </si>
  <si>
    <t>[12.04, 14.02, 11.14, 8.48]</t>
  </si>
  <si>
    <t>[nan, 8.83, 28.53, nan]</t>
  </si>
  <si>
    <t>[nan, 20.62, 18.45, nan]</t>
  </si>
  <si>
    <t>[nan, 16.33, 10.75, nan]</t>
  </si>
  <si>
    <t>[8.47, 15.31, 11.12, nan]</t>
  </si>
  <si>
    <t>[10.48, 23.87, 17.97, 6.61]</t>
  </si>
  <si>
    <t>[nan, nan, 42.85, nan]</t>
  </si>
  <si>
    <t>[10.0, 12.73, 12.46,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</si>
</sst>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357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6100</v>
      </c>
      <c r="G2">
        <v>-0.87</v>
      </c>
      <c r="H2">
        <v>3.3</v>
      </c>
      <c r="I2">
        <v>10555</v>
      </c>
      <c r="J2">
        <v>9245</v>
      </c>
      <c r="K2">
        <v>8780</v>
      </c>
      <c r="L2">
        <v>-73.04000000000001</v>
      </c>
      <c r="M2">
        <v>-51.56</v>
      </c>
      <c r="N2">
        <v>-43.93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678</v>
      </c>
      <c r="V2" t="s">
        <v>999</v>
      </c>
      <c r="W2">
        <v>-3.813444363364338</v>
      </c>
      <c r="X2">
        <v>-59.5</v>
      </c>
      <c r="Y2" t="s">
        <v>1320</v>
      </c>
      <c r="Z2">
        <v>0</v>
      </c>
      <c r="AA2">
        <v>2856</v>
      </c>
      <c r="AB2">
        <v>103047</v>
      </c>
      <c r="AC2" t="s">
        <v>1621</v>
      </c>
      <c r="AD2">
        <v>64.78</v>
      </c>
      <c r="AE2" t="s">
        <v>1942</v>
      </c>
      <c r="AF2" t="s">
        <v>2263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358</v>
      </c>
      <c r="C3">
        <f>HYPERLINK("https://finance.naver.com/item/coinfo.nhn?code=041190", "A041190")</f>
        <v>0</v>
      </c>
      <c r="D3">
        <f>HYPERLINK("http://comp.fnguide.com/SVO2/ASP/SVD_Consensus.asp?pGB=1&amp;gicode=A041190&amp;cID=&amp;MenuYn=Y&amp;ReportGB=&amp;NewMenuID=108&amp;stkGb=701", "우리기술투자")</f>
        <v>0</v>
      </c>
      <c r="E3">
        <v>3</v>
      </c>
      <c r="F3">
        <v>4205</v>
      </c>
      <c r="G3">
        <v>0</v>
      </c>
      <c r="H3">
        <v>1.24</v>
      </c>
      <c r="I3">
        <v>73252</v>
      </c>
      <c r="J3">
        <v>39500</v>
      </c>
      <c r="K3">
        <v>27509</v>
      </c>
      <c r="L3">
        <v>-1642.01</v>
      </c>
      <c r="M3">
        <v>-839.35</v>
      </c>
      <c r="N3">
        <v>-554.2</v>
      </c>
      <c r="O3">
        <v>86.36</v>
      </c>
      <c r="P3" t="b">
        <v>1</v>
      </c>
      <c r="Q3">
        <v>0</v>
      </c>
      <c r="R3">
        <v>7374</v>
      </c>
      <c r="U3" t="s">
        <v>679</v>
      </c>
      <c r="V3" t="s">
        <v>1000</v>
      </c>
      <c r="W3">
        <v>0</v>
      </c>
      <c r="Y3" t="s">
        <v>1321</v>
      </c>
      <c r="Z3">
        <v>-6.726232878571626</v>
      </c>
      <c r="AA3">
        <v>3532</v>
      </c>
      <c r="AB3">
        <v>1396896</v>
      </c>
      <c r="AC3" t="s">
        <v>1622</v>
      </c>
      <c r="AD3">
        <v>30.91</v>
      </c>
      <c r="AE3" t="s">
        <v>1943</v>
      </c>
      <c r="AF3" t="s">
        <v>2264</v>
      </c>
      <c r="AG3">
        <v>8070</v>
      </c>
      <c r="AH3">
        <v>7926</v>
      </c>
      <c r="AI3">
        <v>6128844</v>
      </c>
      <c r="AK3" t="b">
        <v>1</v>
      </c>
    </row>
    <row r="4" spans="1:37">
      <c r="A4" s="1" t="s">
        <v>38</v>
      </c>
      <c r="B4" t="s">
        <v>359</v>
      </c>
      <c r="C4">
        <f>HYPERLINK("https://finance.naver.com/item/coinfo.nhn?code=065710", "A065710")</f>
        <v>0</v>
      </c>
      <c r="D4">
        <f>HYPERLINK("http://comp.fnguide.com/SVO2/ASP/SVD_Consensus.asp?pGB=1&amp;gicode=A065710&amp;cID=&amp;MenuYn=Y&amp;ReportGB=&amp;NewMenuID=108&amp;stkGb=701", "서호전기")</f>
        <v>0</v>
      </c>
      <c r="E4">
        <v>3</v>
      </c>
      <c r="F4">
        <v>17500</v>
      </c>
      <c r="G4">
        <v>0</v>
      </c>
      <c r="H4">
        <v>6.19</v>
      </c>
      <c r="I4">
        <v>27643</v>
      </c>
      <c r="J4">
        <v>22104</v>
      </c>
      <c r="K4">
        <v>20136</v>
      </c>
      <c r="L4">
        <v>-57.96</v>
      </c>
      <c r="M4">
        <v>-26.31</v>
      </c>
      <c r="N4">
        <v>-15.06</v>
      </c>
      <c r="O4">
        <v>17.76</v>
      </c>
      <c r="P4" t="b">
        <v>1</v>
      </c>
      <c r="Q4">
        <v>0</v>
      </c>
      <c r="R4">
        <v>3374</v>
      </c>
      <c r="U4" t="s">
        <v>680</v>
      </c>
      <c r="V4" t="s">
        <v>1001</v>
      </c>
      <c r="W4">
        <v>0</v>
      </c>
      <c r="X4">
        <v>10.1</v>
      </c>
      <c r="Y4" t="s">
        <v>1322</v>
      </c>
      <c r="Z4">
        <v>25.52351851976444</v>
      </c>
      <c r="AA4">
        <v>901</v>
      </c>
      <c r="AB4">
        <v>4992</v>
      </c>
      <c r="AC4" t="s">
        <v>1623</v>
      </c>
      <c r="AD4">
        <v>59.31</v>
      </c>
      <c r="AE4" t="s">
        <v>1944</v>
      </c>
      <c r="AF4" t="s">
        <v>2265</v>
      </c>
      <c r="AG4">
        <v>743</v>
      </c>
      <c r="AH4">
        <v>148</v>
      </c>
      <c r="AI4">
        <v>212878</v>
      </c>
      <c r="AJ4">
        <v>4.78</v>
      </c>
      <c r="AK4" t="b">
        <v>1</v>
      </c>
    </row>
    <row r="5" spans="1:37">
      <c r="A5" s="1" t="s">
        <v>39</v>
      </c>
      <c r="B5" t="s">
        <v>360</v>
      </c>
      <c r="C5">
        <f>HYPERLINK("https://finance.naver.com/item/coinfo.nhn?code=035890", "A035890")</f>
        <v>0</v>
      </c>
      <c r="D5">
        <f>HYPERLINK("http://comp.fnguide.com/SVO2/ASP/SVD_Consensus.asp?pGB=1&amp;gicode=A035890&amp;cID=&amp;MenuYn=Y&amp;ReportGB=&amp;NewMenuID=108&amp;stkGb=701", "서희건설")</f>
        <v>0</v>
      </c>
      <c r="E5">
        <v>3</v>
      </c>
      <c r="F5">
        <v>1185</v>
      </c>
      <c r="G5">
        <v>0</v>
      </c>
      <c r="H5">
        <v>2.63</v>
      </c>
      <c r="I5">
        <v>6656</v>
      </c>
      <c r="J5">
        <v>4707</v>
      </c>
      <c r="K5">
        <v>4014</v>
      </c>
      <c r="L5">
        <v>-461.72</v>
      </c>
      <c r="M5">
        <v>-297.18</v>
      </c>
      <c r="N5">
        <v>-238.72</v>
      </c>
      <c r="O5">
        <v>24.74</v>
      </c>
      <c r="P5" t="b">
        <v>1</v>
      </c>
      <c r="Q5">
        <v>0</v>
      </c>
      <c r="R5">
        <v>631</v>
      </c>
      <c r="U5" t="s">
        <v>681</v>
      </c>
      <c r="V5" t="s">
        <v>1002</v>
      </c>
      <c r="W5">
        <v>0</v>
      </c>
      <c r="X5">
        <v>-33.3</v>
      </c>
      <c r="Y5" t="s">
        <v>1323</v>
      </c>
      <c r="Z5">
        <v>18.25653705768364</v>
      </c>
      <c r="AA5">
        <v>2723</v>
      </c>
      <c r="AB5">
        <v>382275</v>
      </c>
      <c r="AC5" t="s">
        <v>1624</v>
      </c>
      <c r="AD5">
        <v>57.38</v>
      </c>
      <c r="AE5" t="s">
        <v>1945</v>
      </c>
      <c r="AF5" t="s">
        <v>2266</v>
      </c>
      <c r="AG5">
        <v>13300</v>
      </c>
      <c r="AH5">
        <v>2068</v>
      </c>
      <c r="AI5">
        <v>9575559</v>
      </c>
      <c r="AJ5">
        <v>3.01</v>
      </c>
      <c r="AK5" t="b">
        <v>1</v>
      </c>
    </row>
    <row r="6" spans="1:37">
      <c r="A6" s="1" t="s">
        <v>40</v>
      </c>
      <c r="B6" t="s">
        <v>361</v>
      </c>
      <c r="C6">
        <f>HYPERLINK("https://finance.naver.com/item/coinfo.nhn?code=037350", "A037350")</f>
        <v>0</v>
      </c>
      <c r="D6">
        <f>HYPERLINK("http://comp.fnguide.com/SVO2/ASP/SVD_Consensus.asp?pGB=1&amp;gicode=A037350&amp;cID=&amp;MenuYn=Y&amp;ReportGB=&amp;NewMenuID=108&amp;stkGb=701", "성도이엔지")</f>
        <v>0</v>
      </c>
      <c r="E6">
        <v>3</v>
      </c>
      <c r="F6">
        <v>4765</v>
      </c>
      <c r="G6">
        <v>0</v>
      </c>
      <c r="H6">
        <v>4.1</v>
      </c>
      <c r="I6">
        <v>33862</v>
      </c>
      <c r="J6">
        <v>25561</v>
      </c>
      <c r="K6">
        <v>22611</v>
      </c>
      <c r="L6">
        <v>-610.65</v>
      </c>
      <c r="M6">
        <v>-436.42</v>
      </c>
      <c r="N6">
        <v>-374.53</v>
      </c>
      <c r="O6">
        <v>20.57</v>
      </c>
      <c r="P6" t="b">
        <v>1</v>
      </c>
      <c r="Q6">
        <v>0</v>
      </c>
      <c r="R6">
        <v>1380</v>
      </c>
      <c r="U6" t="s">
        <v>682</v>
      </c>
      <c r="V6" t="s">
        <v>1003</v>
      </c>
      <c r="W6">
        <v>0</v>
      </c>
      <c r="X6">
        <v>-29.5</v>
      </c>
      <c r="Y6" t="s">
        <v>1324</v>
      </c>
      <c r="Z6">
        <v>0</v>
      </c>
      <c r="AA6">
        <v>737</v>
      </c>
      <c r="AB6">
        <v>156292</v>
      </c>
      <c r="AC6" t="s">
        <v>1625</v>
      </c>
      <c r="AD6">
        <v>36.54</v>
      </c>
      <c r="AE6" t="s">
        <v>1946</v>
      </c>
      <c r="AF6" t="s">
        <v>2267</v>
      </c>
      <c r="AG6">
        <v>5556</v>
      </c>
      <c r="AH6">
        <v>169</v>
      </c>
      <c r="AI6">
        <v>1267000</v>
      </c>
      <c r="AJ6">
        <v>2.65</v>
      </c>
      <c r="AK6" t="b">
        <v>1</v>
      </c>
    </row>
    <row r="7" spans="1:37">
      <c r="A7" s="1" t="s">
        <v>41</v>
      </c>
      <c r="B7" t="s">
        <v>362</v>
      </c>
      <c r="C7">
        <f>HYPERLINK("https://finance.naver.com/item/coinfo.nhn?code=032680", "A032680")</f>
        <v>0</v>
      </c>
      <c r="D7">
        <f>HYPERLINK("http://comp.fnguide.com/SVO2/ASP/SVD_Consensus.asp?pGB=1&amp;gicode=A032680&amp;cID=&amp;MenuYn=Y&amp;ReportGB=&amp;NewMenuID=108&amp;stkGb=701", "소프트센")</f>
        <v>0</v>
      </c>
      <c r="E7">
        <v>3</v>
      </c>
      <c r="F7">
        <v>1645</v>
      </c>
      <c r="G7">
        <v>0</v>
      </c>
      <c r="H7">
        <v>6.01</v>
      </c>
      <c r="I7">
        <v>2185</v>
      </c>
      <c r="J7">
        <v>1818</v>
      </c>
      <c r="K7">
        <v>1687</v>
      </c>
      <c r="L7">
        <v>-32.8</v>
      </c>
      <c r="M7">
        <v>-10.49</v>
      </c>
      <c r="N7">
        <v>-2.57</v>
      </c>
      <c r="O7">
        <v>16.16</v>
      </c>
      <c r="P7" t="b">
        <v>1</v>
      </c>
      <c r="Q7">
        <v>0</v>
      </c>
      <c r="R7">
        <v>407</v>
      </c>
      <c r="U7" t="s">
        <v>683</v>
      </c>
      <c r="V7" t="s">
        <v>1004</v>
      </c>
      <c r="W7">
        <v>0</v>
      </c>
      <c r="X7">
        <v>-74.59999999999999</v>
      </c>
      <c r="Y7" t="s">
        <v>1325</v>
      </c>
      <c r="Z7">
        <v>0</v>
      </c>
      <c r="AA7">
        <v>629</v>
      </c>
      <c r="AB7">
        <v>563562</v>
      </c>
      <c r="AC7" t="s">
        <v>1626</v>
      </c>
      <c r="AD7">
        <v>16.83</v>
      </c>
      <c r="AE7" t="s">
        <v>1947</v>
      </c>
      <c r="AF7" t="s">
        <v>2268</v>
      </c>
      <c r="AG7">
        <v>925</v>
      </c>
      <c r="AH7">
        <v>206</v>
      </c>
      <c r="AI7">
        <v>523000</v>
      </c>
      <c r="AK7" t="b">
        <v>1</v>
      </c>
    </row>
    <row r="8" spans="1:37">
      <c r="A8" s="1" t="s">
        <v>42</v>
      </c>
      <c r="B8" t="s">
        <v>363</v>
      </c>
      <c r="C8">
        <f>HYPERLINK("https://finance.naver.com/item/coinfo.nhn?code=036830", "A036830")</f>
        <v>0</v>
      </c>
      <c r="D8">
        <f>HYPERLINK("http://comp.fnguide.com/SVO2/ASP/SVD_Consensus.asp?pGB=1&amp;gicode=A036830&amp;cID=&amp;MenuYn=Y&amp;ReportGB=&amp;NewMenuID=108&amp;stkGb=701", "솔브레인홀딩스")</f>
        <v>0</v>
      </c>
      <c r="E8">
        <v>3</v>
      </c>
      <c r="F8">
        <v>25400</v>
      </c>
      <c r="G8">
        <v>0</v>
      </c>
      <c r="H8">
        <v>23.06</v>
      </c>
      <c r="I8">
        <v>264152</v>
      </c>
      <c r="J8">
        <v>152331</v>
      </c>
      <c r="K8">
        <v>112606</v>
      </c>
      <c r="L8">
        <v>-939.97</v>
      </c>
      <c r="M8">
        <v>-499.73</v>
      </c>
      <c r="N8">
        <v>-343.33</v>
      </c>
      <c r="O8">
        <v>55.52</v>
      </c>
      <c r="P8" t="b">
        <v>1</v>
      </c>
      <c r="Q8">
        <v>0</v>
      </c>
      <c r="R8">
        <v>1501</v>
      </c>
      <c r="U8" t="s">
        <v>684</v>
      </c>
      <c r="V8" t="s">
        <v>1005</v>
      </c>
      <c r="W8">
        <v>0</v>
      </c>
      <c r="X8">
        <v>120</v>
      </c>
      <c r="Y8" t="s">
        <v>1326</v>
      </c>
      <c r="Z8">
        <v>5.292215884364215</v>
      </c>
      <c r="AA8">
        <v>5325</v>
      </c>
      <c r="AB8">
        <v>21226</v>
      </c>
      <c r="AC8" t="s">
        <v>1627</v>
      </c>
      <c r="AD8">
        <v>73.48</v>
      </c>
      <c r="AE8" t="s">
        <v>1948</v>
      </c>
      <c r="AF8" t="s">
        <v>2269</v>
      </c>
      <c r="AG8">
        <v>4172</v>
      </c>
      <c r="AH8">
        <v>544</v>
      </c>
      <c r="AI8">
        <v>302463</v>
      </c>
      <c r="AJ8">
        <v>0.43</v>
      </c>
      <c r="AK8" t="b">
        <v>1</v>
      </c>
    </row>
    <row r="9" spans="1:37">
      <c r="A9" s="1" t="s">
        <v>43</v>
      </c>
      <c r="B9" t="s">
        <v>364</v>
      </c>
      <c r="C9">
        <f>HYPERLINK("https://finance.naver.com/item/coinfo.nhn?code=236200", "A236200")</f>
        <v>0</v>
      </c>
      <c r="D9">
        <f>HYPERLINK("http://comp.fnguide.com/SVO2/ASP/SVD_Consensus.asp?pGB=1&amp;gicode=A236200&amp;cID=&amp;MenuYn=Y&amp;ReportGB=&amp;NewMenuID=108&amp;stkGb=701", "슈프리마")</f>
        <v>0</v>
      </c>
      <c r="E9">
        <v>3</v>
      </c>
      <c r="F9">
        <v>23000</v>
      </c>
      <c r="G9">
        <v>0</v>
      </c>
      <c r="H9">
        <v>7.92</v>
      </c>
      <c r="I9">
        <v>28244</v>
      </c>
      <c r="J9">
        <v>25955</v>
      </c>
      <c r="K9">
        <v>25143</v>
      </c>
      <c r="L9">
        <v>-22.8</v>
      </c>
      <c r="M9">
        <v>-12.85</v>
      </c>
      <c r="N9">
        <v>-9.32</v>
      </c>
      <c r="O9">
        <v>13.02</v>
      </c>
      <c r="P9" t="b">
        <v>1</v>
      </c>
      <c r="Q9">
        <v>0</v>
      </c>
      <c r="R9">
        <v>3149</v>
      </c>
      <c r="U9" t="s">
        <v>685</v>
      </c>
      <c r="V9" t="s">
        <v>1006</v>
      </c>
      <c r="W9">
        <v>0</v>
      </c>
      <c r="X9">
        <v>16.3</v>
      </c>
      <c r="Y9" t="s">
        <v>1327</v>
      </c>
      <c r="Z9">
        <v>23.3688541625473</v>
      </c>
      <c r="AA9">
        <v>1654</v>
      </c>
      <c r="AB9">
        <v>64289</v>
      </c>
      <c r="AC9" t="s">
        <v>1628</v>
      </c>
      <c r="AD9">
        <v>31.28</v>
      </c>
      <c r="AE9" t="s">
        <v>1949</v>
      </c>
      <c r="AF9" t="s">
        <v>2270</v>
      </c>
      <c r="AG9">
        <v>726</v>
      </c>
      <c r="AH9">
        <v>162</v>
      </c>
      <c r="AI9">
        <v>246768</v>
      </c>
      <c r="AK9" t="b">
        <v>1</v>
      </c>
    </row>
    <row r="10" spans="1:37">
      <c r="A10" s="1" t="s">
        <v>44</v>
      </c>
      <c r="B10" t="s">
        <v>365</v>
      </c>
      <c r="C10">
        <f>HYPERLINK("https://finance.naver.com/item/coinfo.nhn?code=192440", "A192440")</f>
        <v>0</v>
      </c>
      <c r="D10">
        <f>HYPERLINK("http://comp.fnguide.com/SVO2/ASP/SVD_Consensus.asp?pGB=1&amp;gicode=A192440&amp;cID=&amp;MenuYn=Y&amp;ReportGB=&amp;NewMenuID=108&amp;stkGb=701", "슈피겐코리아")</f>
        <v>0</v>
      </c>
      <c r="E10">
        <v>3</v>
      </c>
      <c r="F10">
        <v>34450</v>
      </c>
      <c r="G10">
        <v>0.8</v>
      </c>
      <c r="H10">
        <v>5.92</v>
      </c>
      <c r="I10">
        <v>82355</v>
      </c>
      <c r="J10">
        <v>72196</v>
      </c>
      <c r="K10">
        <v>68586</v>
      </c>
      <c r="L10">
        <v>-139.06</v>
      </c>
      <c r="M10">
        <v>-109.57</v>
      </c>
      <c r="N10">
        <v>-99.09</v>
      </c>
      <c r="O10">
        <v>14.38</v>
      </c>
      <c r="P10" t="b">
        <v>1</v>
      </c>
      <c r="Q10">
        <v>1</v>
      </c>
      <c r="R10">
        <v>7269</v>
      </c>
      <c r="S10">
        <v>8043</v>
      </c>
      <c r="T10">
        <v>10.6</v>
      </c>
      <c r="U10" t="s">
        <v>686</v>
      </c>
      <c r="V10" t="s">
        <v>1007</v>
      </c>
      <c r="W10">
        <v>7.411748590790235</v>
      </c>
      <c r="X10">
        <v>-11.3</v>
      </c>
      <c r="Y10" t="s">
        <v>1328</v>
      </c>
      <c r="Z10">
        <v>-0.2784564658344202</v>
      </c>
      <c r="AA10">
        <v>2142</v>
      </c>
      <c r="AB10">
        <v>5849</v>
      </c>
      <c r="AC10" t="s">
        <v>1629</v>
      </c>
      <c r="AD10">
        <v>40.99</v>
      </c>
      <c r="AE10" t="s">
        <v>1950</v>
      </c>
      <c r="AF10" t="s">
        <v>2271</v>
      </c>
      <c r="AG10">
        <v>3853</v>
      </c>
      <c r="AH10">
        <v>444</v>
      </c>
      <c r="AI10">
        <v>186531</v>
      </c>
      <c r="AJ10">
        <v>1.95</v>
      </c>
      <c r="AK10" t="b">
        <v>1</v>
      </c>
    </row>
    <row r="11" spans="1:37">
      <c r="A11" s="1" t="s">
        <v>45</v>
      </c>
      <c r="B11" t="s">
        <v>366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4790</v>
      </c>
      <c r="G11">
        <v>0</v>
      </c>
      <c r="I11">
        <v>12675</v>
      </c>
      <c r="J11">
        <v>7927</v>
      </c>
      <c r="K11">
        <v>6240</v>
      </c>
      <c r="L11">
        <v>-164.62</v>
      </c>
      <c r="M11">
        <v>-65.48999999999999</v>
      </c>
      <c r="N11">
        <v>-30.28</v>
      </c>
      <c r="O11">
        <v>37.91</v>
      </c>
      <c r="P11" t="b">
        <v>0</v>
      </c>
      <c r="Q11">
        <v>0</v>
      </c>
      <c r="R11">
        <v>1513</v>
      </c>
      <c r="U11" t="s">
        <v>687</v>
      </c>
      <c r="V11" t="s">
        <v>1008</v>
      </c>
      <c r="W11">
        <v>0</v>
      </c>
      <c r="Y11" t="s">
        <v>1321</v>
      </c>
      <c r="Z11">
        <v>-0.2784564658344202</v>
      </c>
      <c r="AA11">
        <v>865</v>
      </c>
      <c r="AB11">
        <v>31865</v>
      </c>
      <c r="AC11" t="s">
        <v>1630</v>
      </c>
      <c r="AD11">
        <v>66.56</v>
      </c>
      <c r="AE11" t="s">
        <v>1951</v>
      </c>
      <c r="AF11" t="s">
        <v>2272</v>
      </c>
      <c r="AG11">
        <v>424</v>
      </c>
      <c r="AH11">
        <v>275</v>
      </c>
      <c r="AI11">
        <v>715734</v>
      </c>
      <c r="AK11" t="b">
        <v>1</v>
      </c>
    </row>
    <row r="12" spans="1:37">
      <c r="A12" s="1" t="s">
        <v>46</v>
      </c>
      <c r="B12" t="s">
        <v>367</v>
      </c>
      <c r="C12">
        <f>HYPERLINK("https://finance.naver.com/item/coinfo.nhn?code=036710", "A036710")</f>
        <v>0</v>
      </c>
      <c r="D12">
        <f>HYPERLINK("http://comp.fnguide.com/SVO2/ASP/SVD_Consensus.asp?pGB=1&amp;gicode=A036710&amp;cID=&amp;MenuYn=Y&amp;ReportGB=&amp;NewMenuID=108&amp;stkGb=701", "심텍홀딩스")</f>
        <v>0</v>
      </c>
      <c r="E12">
        <v>3</v>
      </c>
      <c r="F12">
        <v>3235</v>
      </c>
      <c r="G12">
        <v>0</v>
      </c>
      <c r="H12">
        <v>7.69</v>
      </c>
      <c r="I12">
        <v>5608</v>
      </c>
      <c r="J12">
        <v>4930</v>
      </c>
      <c r="K12">
        <v>4689</v>
      </c>
      <c r="L12">
        <v>-73.34</v>
      </c>
      <c r="M12">
        <v>-52.4</v>
      </c>
      <c r="N12">
        <v>-44.96</v>
      </c>
      <c r="O12">
        <v>14.29</v>
      </c>
      <c r="P12" t="b">
        <v>1</v>
      </c>
      <c r="Q12">
        <v>0</v>
      </c>
      <c r="R12">
        <v>619</v>
      </c>
      <c r="U12" t="s">
        <v>688</v>
      </c>
      <c r="V12" t="s">
        <v>1009</v>
      </c>
      <c r="W12">
        <v>0</v>
      </c>
      <c r="X12">
        <v>88.5</v>
      </c>
      <c r="Y12" t="s">
        <v>1329</v>
      </c>
      <c r="Z12">
        <v>0</v>
      </c>
      <c r="AA12">
        <v>1564</v>
      </c>
      <c r="AB12">
        <v>87801</v>
      </c>
      <c r="AC12" t="s">
        <v>1631</v>
      </c>
      <c r="AD12">
        <v>56.21</v>
      </c>
      <c r="AE12" t="s">
        <v>1952</v>
      </c>
      <c r="AF12" t="s">
        <v>2273</v>
      </c>
      <c r="AG12">
        <v>13661</v>
      </c>
      <c r="AH12">
        <v>1708</v>
      </c>
      <c r="AI12">
        <v>2013455</v>
      </c>
      <c r="AJ12">
        <v>1.05</v>
      </c>
      <c r="AK12" t="b">
        <v>1</v>
      </c>
    </row>
    <row r="13" spans="1:37">
      <c r="A13" s="1" t="s">
        <v>47</v>
      </c>
      <c r="B13" t="s">
        <v>368</v>
      </c>
      <c r="C13">
        <f>HYPERLINK("https://finance.naver.com/item/coinfo.nhn?code=160980", "A160980")</f>
        <v>0</v>
      </c>
      <c r="D13">
        <f>HYPERLINK("http://comp.fnguide.com/SVO2/ASP/SVD_Consensus.asp?pGB=1&amp;gicode=A160980&amp;cID=&amp;MenuYn=Y&amp;ReportGB=&amp;NewMenuID=108&amp;stkGb=701", "싸이맥스")</f>
        <v>0</v>
      </c>
      <c r="E13">
        <v>3</v>
      </c>
      <c r="F13">
        <v>13200</v>
      </c>
      <c r="G13">
        <v>0</v>
      </c>
      <c r="H13">
        <v>8.960000000000001</v>
      </c>
      <c r="I13">
        <v>21331</v>
      </c>
      <c r="J13">
        <v>17703</v>
      </c>
      <c r="K13">
        <v>16414</v>
      </c>
      <c r="L13">
        <v>-61.6</v>
      </c>
      <c r="M13">
        <v>-34.11</v>
      </c>
      <c r="N13">
        <v>-24.35</v>
      </c>
      <c r="O13">
        <v>16.25</v>
      </c>
      <c r="P13" t="b">
        <v>1</v>
      </c>
      <c r="Q13">
        <v>0</v>
      </c>
      <c r="R13">
        <v>2233</v>
      </c>
      <c r="U13" t="s">
        <v>689</v>
      </c>
      <c r="V13" t="s">
        <v>1010</v>
      </c>
      <c r="W13">
        <v>0</v>
      </c>
      <c r="X13">
        <v>-39.6</v>
      </c>
      <c r="Y13" t="s">
        <v>1330</v>
      </c>
      <c r="Z13">
        <v>-8.121492430948518</v>
      </c>
      <c r="AA13">
        <v>1442</v>
      </c>
      <c r="AB13">
        <v>74114</v>
      </c>
      <c r="AC13" t="s">
        <v>1632</v>
      </c>
      <c r="AD13">
        <v>40.49</v>
      </c>
      <c r="AE13" t="s">
        <v>1953</v>
      </c>
      <c r="AF13" t="s">
        <v>2274</v>
      </c>
      <c r="AG13">
        <v>2423</v>
      </c>
      <c r="AH13">
        <v>324</v>
      </c>
      <c r="AI13">
        <v>703815</v>
      </c>
      <c r="AJ13">
        <v>2</v>
      </c>
      <c r="AK13" t="b">
        <v>1</v>
      </c>
    </row>
    <row r="14" spans="1:37">
      <c r="A14" s="1" t="s">
        <v>48</v>
      </c>
      <c r="B14" t="s">
        <v>369</v>
      </c>
      <c r="C14">
        <f>HYPERLINK("https://finance.naver.com/item/coinfo.nhn?code=352700", "A352700")</f>
        <v>0</v>
      </c>
      <c r="D14">
        <f>HYPERLINK("http://comp.fnguide.com/SVO2/ASP/SVD_Consensus.asp?pGB=1&amp;gicode=A352700&amp;cID=&amp;MenuYn=Y&amp;ReportGB=&amp;NewMenuID=108&amp;stkGb=701", "씨앤투스")</f>
        <v>0</v>
      </c>
      <c r="E14">
        <v>3</v>
      </c>
      <c r="F14">
        <v>4310</v>
      </c>
      <c r="G14">
        <v>0</v>
      </c>
      <c r="H14">
        <v>4.8</v>
      </c>
      <c r="I14">
        <v>24446</v>
      </c>
      <c r="J14">
        <v>14701</v>
      </c>
      <c r="K14">
        <v>11239</v>
      </c>
      <c r="L14">
        <v>-467.2</v>
      </c>
      <c r="M14">
        <v>-241.1</v>
      </c>
      <c r="N14">
        <v>-160.77</v>
      </c>
      <c r="O14">
        <v>44.93</v>
      </c>
      <c r="P14" t="b">
        <v>1</v>
      </c>
      <c r="Q14">
        <v>0</v>
      </c>
      <c r="R14">
        <v>1597</v>
      </c>
      <c r="U14" t="s">
        <v>690</v>
      </c>
      <c r="V14" t="s">
        <v>1011</v>
      </c>
      <c r="W14">
        <v>0</v>
      </c>
      <c r="X14">
        <v>-39</v>
      </c>
      <c r="Y14" t="s">
        <v>1331</v>
      </c>
      <c r="Z14">
        <v>0</v>
      </c>
      <c r="AA14">
        <v>1219</v>
      </c>
      <c r="AB14">
        <v>79923</v>
      </c>
      <c r="AC14" t="s">
        <v>1633</v>
      </c>
      <c r="AD14">
        <v>40.67</v>
      </c>
      <c r="AE14" t="s">
        <v>1954</v>
      </c>
      <c r="AF14" t="s">
        <v>2275</v>
      </c>
      <c r="AG14">
        <v>1709</v>
      </c>
      <c r="AH14">
        <v>563</v>
      </c>
      <c r="AI14">
        <v>1306764</v>
      </c>
      <c r="AJ14">
        <v>5.47</v>
      </c>
      <c r="AK14" t="b">
        <v>1</v>
      </c>
    </row>
    <row r="15" spans="1:37">
      <c r="A15" s="1" t="s">
        <v>49</v>
      </c>
      <c r="B15" t="s">
        <v>370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4305</v>
      </c>
      <c r="G15">
        <v>0</v>
      </c>
      <c r="H15">
        <v>6.89</v>
      </c>
      <c r="I15">
        <v>7938</v>
      </c>
      <c r="J15">
        <v>6782</v>
      </c>
      <c r="K15">
        <v>6371</v>
      </c>
      <c r="L15">
        <v>-84.40000000000001</v>
      </c>
      <c r="M15">
        <v>-57.53</v>
      </c>
      <c r="N15">
        <v>-47.98</v>
      </c>
      <c r="O15">
        <v>15.22</v>
      </c>
      <c r="P15" t="b">
        <v>1</v>
      </c>
      <c r="Q15">
        <v>0</v>
      </c>
      <c r="R15">
        <v>1026</v>
      </c>
      <c r="U15" t="s">
        <v>691</v>
      </c>
      <c r="V15" t="s">
        <v>1012</v>
      </c>
      <c r="W15">
        <v>0</v>
      </c>
      <c r="X15">
        <v>-50.8</v>
      </c>
      <c r="Y15" t="s">
        <v>1332</v>
      </c>
      <c r="Z15">
        <v>0</v>
      </c>
      <c r="AA15">
        <v>760</v>
      </c>
      <c r="AB15">
        <v>36220</v>
      </c>
      <c r="AC15" t="s">
        <v>1634</v>
      </c>
      <c r="AD15">
        <v>69.38</v>
      </c>
      <c r="AE15" t="s">
        <v>1955</v>
      </c>
      <c r="AF15" t="s">
        <v>2276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50</v>
      </c>
      <c r="B16" t="s">
        <v>371</v>
      </c>
      <c r="C16">
        <f>HYPERLINK("https://finance.naver.com/item/coinfo.nhn?code=096530", "A096530")</f>
        <v>0</v>
      </c>
      <c r="D16">
        <f>HYPERLINK("http://comp.fnguide.com/SVO2/ASP/SVD_Consensus.asp?pGB=1&amp;gicode=A096530&amp;cID=&amp;MenuYn=Y&amp;ReportGB=&amp;NewMenuID=108&amp;stkGb=701", "씨젠")</f>
        <v>0</v>
      </c>
      <c r="E16">
        <v>3</v>
      </c>
      <c r="F16">
        <v>28000</v>
      </c>
      <c r="G16">
        <v>0.06</v>
      </c>
      <c r="H16">
        <v>5.94</v>
      </c>
      <c r="I16">
        <v>151137</v>
      </c>
      <c r="J16">
        <v>82854</v>
      </c>
      <c r="K16">
        <v>58596</v>
      </c>
      <c r="L16">
        <v>-439.77</v>
      </c>
      <c r="M16">
        <v>-195.91</v>
      </c>
      <c r="N16">
        <v>-109.27</v>
      </c>
      <c r="O16">
        <v>76.20999999999999</v>
      </c>
      <c r="P16" t="b">
        <v>1</v>
      </c>
      <c r="Q16">
        <v>0</v>
      </c>
      <c r="R16">
        <v>10274</v>
      </c>
      <c r="S16">
        <v>3995</v>
      </c>
      <c r="T16">
        <v>-61.1</v>
      </c>
      <c r="U16" t="s">
        <v>692</v>
      </c>
      <c r="V16" t="s">
        <v>1013</v>
      </c>
      <c r="W16">
        <v>98.47851002583792</v>
      </c>
      <c r="X16">
        <v>-51.9</v>
      </c>
      <c r="Y16" t="s">
        <v>1333</v>
      </c>
      <c r="Z16">
        <v>139.7549038077621</v>
      </c>
      <c r="AA16">
        <v>14623</v>
      </c>
      <c r="AB16">
        <v>218093</v>
      </c>
      <c r="AC16" t="s">
        <v>1635</v>
      </c>
      <c r="AD16">
        <v>30.71</v>
      </c>
      <c r="AE16" t="s">
        <v>1956</v>
      </c>
      <c r="AF16" t="s">
        <v>2277</v>
      </c>
      <c r="AG16">
        <v>13708</v>
      </c>
      <c r="AH16">
        <v>6667</v>
      </c>
      <c r="AI16">
        <v>2741826</v>
      </c>
      <c r="AJ16">
        <v>1.64</v>
      </c>
      <c r="AK16" t="b">
        <v>1</v>
      </c>
    </row>
    <row r="17" spans="1:37">
      <c r="A17" s="1" t="s">
        <v>51</v>
      </c>
      <c r="B17" t="s">
        <v>372</v>
      </c>
      <c r="C17">
        <f>HYPERLINK("https://finance.naver.com/item/coinfo.nhn?code=031310", "A031310")</f>
        <v>0</v>
      </c>
      <c r="D17">
        <f>HYPERLINK("http://comp.fnguide.com/SVO2/ASP/SVD_Consensus.asp?pGB=1&amp;gicode=A031310&amp;cID=&amp;MenuYn=Y&amp;ReportGB=&amp;NewMenuID=108&amp;stkGb=701", "아이즈비전")</f>
        <v>0</v>
      </c>
      <c r="E17">
        <v>3</v>
      </c>
      <c r="F17">
        <v>3070</v>
      </c>
      <c r="G17">
        <v>0</v>
      </c>
      <c r="H17">
        <v>4.13</v>
      </c>
      <c r="I17">
        <v>8674</v>
      </c>
      <c r="J17">
        <v>8434</v>
      </c>
      <c r="K17">
        <v>8349</v>
      </c>
      <c r="L17">
        <v>-182.53</v>
      </c>
      <c r="M17">
        <v>-174.73</v>
      </c>
      <c r="N17">
        <v>-171.95</v>
      </c>
      <c r="O17">
        <v>11.63</v>
      </c>
      <c r="P17" t="b">
        <v>1</v>
      </c>
      <c r="Q17">
        <v>0</v>
      </c>
      <c r="R17">
        <v>1070</v>
      </c>
      <c r="U17" t="s">
        <v>693</v>
      </c>
      <c r="V17" t="s">
        <v>1014</v>
      </c>
      <c r="W17">
        <v>0</v>
      </c>
      <c r="Y17" t="s">
        <v>1334</v>
      </c>
      <c r="Z17">
        <v>0</v>
      </c>
      <c r="AA17">
        <v>505</v>
      </c>
      <c r="AB17">
        <v>481909</v>
      </c>
      <c r="AC17" t="s">
        <v>1636</v>
      </c>
      <c r="AD17">
        <v>18.08</v>
      </c>
      <c r="AE17" t="s">
        <v>1957</v>
      </c>
      <c r="AF17" t="s">
        <v>2278</v>
      </c>
      <c r="AG17">
        <v>1450</v>
      </c>
      <c r="AH17">
        <v>86</v>
      </c>
      <c r="AI17">
        <v>904659</v>
      </c>
      <c r="AK17" t="b">
        <v>1</v>
      </c>
    </row>
    <row r="18" spans="1:37">
      <c r="A18" s="1" t="s">
        <v>52</v>
      </c>
      <c r="B18" t="s">
        <v>373</v>
      </c>
      <c r="C18">
        <f>HYPERLINK("https://finance.naver.com/item/coinfo.nhn?code=027360", "A027360")</f>
        <v>0</v>
      </c>
      <c r="D18">
        <f>HYPERLINK("http://comp.fnguide.com/SVO2/ASP/SVD_Consensus.asp?pGB=1&amp;gicode=A027360&amp;cID=&amp;MenuYn=Y&amp;ReportGB=&amp;NewMenuID=108&amp;stkGb=701", "아주IB투자")</f>
        <v>0</v>
      </c>
      <c r="E18">
        <v>3</v>
      </c>
      <c r="F18">
        <v>2560</v>
      </c>
      <c r="G18">
        <v>0</v>
      </c>
      <c r="H18">
        <v>12.24</v>
      </c>
      <c r="I18">
        <v>3680</v>
      </c>
      <c r="J18">
        <v>2869</v>
      </c>
      <c r="K18">
        <v>2581</v>
      </c>
      <c r="L18">
        <v>-43.75</v>
      </c>
      <c r="M18">
        <v>-12.06</v>
      </c>
      <c r="N18">
        <v>-0.8100000000000001</v>
      </c>
      <c r="O18">
        <v>18.91</v>
      </c>
      <c r="P18" t="b">
        <v>0</v>
      </c>
      <c r="Q18">
        <v>0</v>
      </c>
      <c r="R18">
        <v>327</v>
      </c>
      <c r="U18" t="s">
        <v>694</v>
      </c>
      <c r="V18" t="s">
        <v>1015</v>
      </c>
      <c r="W18">
        <v>0</v>
      </c>
      <c r="Y18" t="s">
        <v>1321</v>
      </c>
      <c r="Z18">
        <v>0</v>
      </c>
      <c r="AA18">
        <v>3093</v>
      </c>
      <c r="AB18">
        <v>1272776</v>
      </c>
      <c r="AC18" t="s">
        <v>1637</v>
      </c>
      <c r="AD18">
        <v>60.6</v>
      </c>
      <c r="AE18" t="s">
        <v>1958</v>
      </c>
      <c r="AF18" t="s">
        <v>2279</v>
      </c>
      <c r="AG18">
        <v>660</v>
      </c>
      <c r="AH18">
        <v>520</v>
      </c>
      <c r="AI18">
        <v>2882446</v>
      </c>
      <c r="AJ18">
        <v>2.5</v>
      </c>
      <c r="AK18" t="b">
        <v>1</v>
      </c>
    </row>
    <row r="19" spans="1:37">
      <c r="A19" s="1" t="s">
        <v>53</v>
      </c>
      <c r="B19" t="s">
        <v>374</v>
      </c>
      <c r="C19">
        <f>HYPERLINK("https://finance.naver.com/item/coinfo.nhn?code=052790", "A052790")</f>
        <v>0</v>
      </c>
      <c r="D19">
        <f>HYPERLINK("http://comp.fnguide.com/SVO2/ASP/SVD_Consensus.asp?pGB=1&amp;gicode=A052790&amp;cID=&amp;MenuYn=Y&amp;ReportGB=&amp;NewMenuID=108&amp;stkGb=701", "액토즈소프트")</f>
        <v>0</v>
      </c>
      <c r="E19">
        <v>3</v>
      </c>
      <c r="F19">
        <v>8470</v>
      </c>
      <c r="G19">
        <v>0</v>
      </c>
      <c r="H19">
        <v>5.06</v>
      </c>
      <c r="I19">
        <v>29130</v>
      </c>
      <c r="J19">
        <v>23196</v>
      </c>
      <c r="K19">
        <v>21088</v>
      </c>
      <c r="L19">
        <v>-243.92</v>
      </c>
      <c r="M19">
        <v>-173.87</v>
      </c>
      <c r="N19">
        <v>-148.98</v>
      </c>
      <c r="O19">
        <v>17.94</v>
      </c>
      <c r="P19" t="b">
        <v>1</v>
      </c>
      <c r="Q19">
        <v>0</v>
      </c>
      <c r="R19">
        <v>3302</v>
      </c>
      <c r="U19" t="s">
        <v>695</v>
      </c>
      <c r="V19" t="s">
        <v>1016</v>
      </c>
      <c r="W19">
        <v>0</v>
      </c>
      <c r="X19">
        <v>-76</v>
      </c>
      <c r="Y19" t="s">
        <v>1335</v>
      </c>
      <c r="Z19">
        <v>0</v>
      </c>
      <c r="AA19">
        <v>960</v>
      </c>
      <c r="AB19">
        <v>81591</v>
      </c>
      <c r="AC19" t="s">
        <v>1638</v>
      </c>
      <c r="AD19">
        <v>51.08</v>
      </c>
      <c r="AE19" t="s">
        <v>1959</v>
      </c>
      <c r="AF19" t="s">
        <v>2280</v>
      </c>
      <c r="AG19">
        <v>583</v>
      </c>
      <c r="AH19">
        <v>254</v>
      </c>
      <c r="AI19">
        <v>406091</v>
      </c>
      <c r="AK19" t="b">
        <v>1</v>
      </c>
    </row>
    <row r="20" spans="1:37">
      <c r="A20" s="1" t="s">
        <v>54</v>
      </c>
      <c r="B20" t="s">
        <v>375</v>
      </c>
      <c r="C20">
        <f>HYPERLINK("https://finance.naver.com/item/coinfo.nhn?code=121890", "A121890")</f>
        <v>0</v>
      </c>
      <c r="D20">
        <f>HYPERLINK("http://comp.fnguide.com/SVO2/ASP/SVD_Consensus.asp?pGB=1&amp;gicode=A121890&amp;cID=&amp;MenuYn=Y&amp;ReportGB=&amp;NewMenuID=108&amp;stkGb=701", "에스디시스템")</f>
        <v>0</v>
      </c>
      <c r="E20">
        <v>3</v>
      </c>
      <c r="F20">
        <v>739</v>
      </c>
      <c r="G20">
        <v>0</v>
      </c>
      <c r="H20">
        <v>2.95</v>
      </c>
      <c r="I20">
        <v>1025</v>
      </c>
      <c r="J20">
        <v>817</v>
      </c>
      <c r="K20">
        <v>743</v>
      </c>
      <c r="L20">
        <v>-38.72</v>
      </c>
      <c r="M20">
        <v>-10.52</v>
      </c>
      <c r="N20">
        <v>-0.51</v>
      </c>
      <c r="O20">
        <v>17.91</v>
      </c>
      <c r="P20" t="b">
        <v>1</v>
      </c>
      <c r="Q20">
        <v>0</v>
      </c>
      <c r="R20">
        <v>251</v>
      </c>
      <c r="U20" t="s">
        <v>696</v>
      </c>
      <c r="V20" t="s">
        <v>1017</v>
      </c>
      <c r="W20">
        <v>0</v>
      </c>
      <c r="Y20" t="s">
        <v>1336</v>
      </c>
      <c r="Z20">
        <v>0</v>
      </c>
      <c r="AA20">
        <v>94</v>
      </c>
      <c r="AB20">
        <v>0</v>
      </c>
      <c r="AC20" t="s">
        <v>1639</v>
      </c>
      <c r="AD20">
        <v>35.09</v>
      </c>
      <c r="AE20" t="s">
        <v>1960</v>
      </c>
      <c r="AF20" t="s">
        <v>2281</v>
      </c>
      <c r="AG20">
        <v>214</v>
      </c>
      <c r="AH20">
        <v>17</v>
      </c>
      <c r="AK20" t="b">
        <v>1</v>
      </c>
    </row>
    <row r="21" spans="1:37">
      <c r="A21" s="1" t="s">
        <v>55</v>
      </c>
      <c r="B21" t="s">
        <v>376</v>
      </c>
      <c r="C21">
        <f>HYPERLINK("https://finance.naver.com/item/coinfo.nhn?code=260970", "A260970")</f>
        <v>0</v>
      </c>
      <c r="D21">
        <f>HYPERLINK("http://comp.fnguide.com/SVO2/ASP/SVD_Consensus.asp?pGB=1&amp;gicode=A260970&amp;cID=&amp;MenuYn=Y&amp;ReportGB=&amp;NewMenuID=108&amp;stkGb=701", "에스앤디")</f>
        <v>0</v>
      </c>
      <c r="E21">
        <v>3</v>
      </c>
      <c r="F21">
        <v>15800</v>
      </c>
      <c r="G21">
        <v>0</v>
      </c>
      <c r="H21">
        <v>8.289999999999999</v>
      </c>
      <c r="I21">
        <v>24023</v>
      </c>
      <c r="J21">
        <v>20313</v>
      </c>
      <c r="K21">
        <v>18994</v>
      </c>
      <c r="L21">
        <v>-52.05</v>
      </c>
      <c r="M21">
        <v>-28.56</v>
      </c>
      <c r="N21">
        <v>-20.22</v>
      </c>
      <c r="O21">
        <v>15.58</v>
      </c>
      <c r="P21" t="b">
        <v>1</v>
      </c>
      <c r="Q21">
        <v>0</v>
      </c>
      <c r="R21">
        <v>2310</v>
      </c>
      <c r="U21" t="s">
        <v>697</v>
      </c>
      <c r="V21" t="s">
        <v>1018</v>
      </c>
      <c r="W21">
        <v>0</v>
      </c>
      <c r="X21">
        <v>-2.5</v>
      </c>
      <c r="Y21" t="s">
        <v>1337</v>
      </c>
      <c r="Z21">
        <v>0</v>
      </c>
      <c r="AA21">
        <v>641</v>
      </c>
      <c r="AB21">
        <v>10862</v>
      </c>
      <c r="AC21" t="s">
        <v>1640</v>
      </c>
      <c r="AD21">
        <v>31.33</v>
      </c>
      <c r="AE21" t="s">
        <v>1961</v>
      </c>
      <c r="AF21" t="s">
        <v>2282</v>
      </c>
      <c r="AG21">
        <v>614</v>
      </c>
      <c r="AH21">
        <v>92</v>
      </c>
      <c r="AJ21">
        <v>0.78</v>
      </c>
      <c r="AK21" t="b">
        <v>1</v>
      </c>
    </row>
    <row r="22" spans="1:37">
      <c r="A22" s="1" t="s">
        <v>56</v>
      </c>
      <c r="B22" t="s">
        <v>377</v>
      </c>
      <c r="C22">
        <f>HYPERLINK("https://finance.naver.com/item/coinfo.nhn?code=031330", "A031330")</f>
        <v>0</v>
      </c>
      <c r="D22">
        <f>HYPERLINK("http://comp.fnguide.com/SVO2/ASP/SVD_Consensus.asp?pGB=1&amp;gicode=A031330&amp;cID=&amp;MenuYn=Y&amp;ReportGB=&amp;NewMenuID=108&amp;stkGb=701", "에스에이엠티")</f>
        <v>0</v>
      </c>
      <c r="E22">
        <v>3</v>
      </c>
      <c r="F22">
        <v>2705</v>
      </c>
      <c r="G22">
        <v>0</v>
      </c>
      <c r="H22">
        <v>7.39</v>
      </c>
      <c r="I22">
        <v>5564</v>
      </c>
      <c r="J22">
        <v>4307</v>
      </c>
      <c r="K22">
        <v>3861</v>
      </c>
      <c r="L22">
        <v>-105.69</v>
      </c>
      <c r="M22">
        <v>-59.24</v>
      </c>
      <c r="N22">
        <v>-42.73</v>
      </c>
      <c r="O22">
        <v>19.25</v>
      </c>
      <c r="P22" t="b">
        <v>1</v>
      </c>
      <c r="Q22">
        <v>0</v>
      </c>
      <c r="R22">
        <v>601</v>
      </c>
      <c r="U22" t="s">
        <v>698</v>
      </c>
      <c r="V22" t="s">
        <v>1019</v>
      </c>
      <c r="W22">
        <v>0</v>
      </c>
      <c r="X22">
        <v>0.8</v>
      </c>
      <c r="Y22" t="s">
        <v>1338</v>
      </c>
      <c r="Z22">
        <v>15.52875698864542</v>
      </c>
      <c r="AA22">
        <v>2705</v>
      </c>
      <c r="AB22">
        <v>155053</v>
      </c>
      <c r="AC22" t="s">
        <v>1641</v>
      </c>
      <c r="AD22">
        <v>49.94</v>
      </c>
      <c r="AE22" t="s">
        <v>1962</v>
      </c>
      <c r="AF22" t="s">
        <v>2283</v>
      </c>
      <c r="AG22">
        <v>22320</v>
      </c>
      <c r="AH22">
        <v>845</v>
      </c>
      <c r="AI22">
        <v>2000000</v>
      </c>
      <c r="AJ22">
        <v>4.5</v>
      </c>
      <c r="AK22" t="b">
        <v>1</v>
      </c>
    </row>
    <row r="23" spans="1:37">
      <c r="A23" s="1" t="s">
        <v>57</v>
      </c>
      <c r="B23" t="s">
        <v>378</v>
      </c>
      <c r="C23">
        <f>HYPERLINK("https://finance.naver.com/item/coinfo.nhn?code=050760", "A050760")</f>
        <v>0</v>
      </c>
      <c r="D23">
        <f>HYPERLINK("http://comp.fnguide.com/SVO2/ASP/SVD_Consensus.asp?pGB=1&amp;gicode=A050760&amp;cID=&amp;MenuYn=Y&amp;ReportGB=&amp;NewMenuID=108&amp;stkGb=701", "에스폴리텍")</f>
        <v>0</v>
      </c>
      <c r="E23">
        <v>3</v>
      </c>
      <c r="F23">
        <v>2465</v>
      </c>
      <c r="G23">
        <v>0</v>
      </c>
      <c r="H23">
        <v>12.09</v>
      </c>
      <c r="I23">
        <v>4728</v>
      </c>
      <c r="J23">
        <v>4557</v>
      </c>
      <c r="K23">
        <v>4496</v>
      </c>
      <c r="L23">
        <v>-91.81999999999999</v>
      </c>
      <c r="M23">
        <v>-84.86</v>
      </c>
      <c r="N23">
        <v>-82.38</v>
      </c>
      <c r="O23">
        <v>11.83</v>
      </c>
      <c r="P23" t="b">
        <v>1</v>
      </c>
      <c r="Q23">
        <v>0</v>
      </c>
      <c r="R23">
        <v>315</v>
      </c>
      <c r="U23" t="s">
        <v>699</v>
      </c>
      <c r="V23" t="s">
        <v>1020</v>
      </c>
      <c r="W23">
        <v>0</v>
      </c>
      <c r="X23">
        <v>-21.2</v>
      </c>
      <c r="Y23" t="s">
        <v>1339</v>
      </c>
      <c r="Z23">
        <v>0</v>
      </c>
      <c r="AA23">
        <v>403</v>
      </c>
      <c r="AB23">
        <v>32990</v>
      </c>
      <c r="AC23" t="s">
        <v>1642</v>
      </c>
      <c r="AD23">
        <v>32.18</v>
      </c>
      <c r="AE23" t="s">
        <v>1963</v>
      </c>
      <c r="AF23" t="s">
        <v>2284</v>
      </c>
      <c r="AG23">
        <v>1098</v>
      </c>
      <c r="AH23">
        <v>46</v>
      </c>
      <c r="AI23">
        <v>891909</v>
      </c>
      <c r="AJ23">
        <v>1.31</v>
      </c>
      <c r="AK23" t="b">
        <v>1</v>
      </c>
    </row>
    <row r="24" spans="1:37">
      <c r="A24" s="1" t="s">
        <v>58</v>
      </c>
      <c r="B24" t="s">
        <v>379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8060</v>
      </c>
      <c r="G24">
        <v>-8.25</v>
      </c>
      <c r="H24">
        <v>11.04</v>
      </c>
      <c r="I24">
        <v>15312</v>
      </c>
      <c r="J24">
        <v>12549</v>
      </c>
      <c r="K24">
        <v>11568</v>
      </c>
      <c r="L24">
        <v>-89.98</v>
      </c>
      <c r="M24">
        <v>-55.7</v>
      </c>
      <c r="N24">
        <v>-43.52</v>
      </c>
      <c r="O24">
        <v>16.74</v>
      </c>
      <c r="P24" t="b">
        <v>1</v>
      </c>
      <c r="Q24">
        <v>0</v>
      </c>
      <c r="R24">
        <v>1476</v>
      </c>
      <c r="S24">
        <v>834</v>
      </c>
      <c r="T24">
        <v>-43.5</v>
      </c>
      <c r="U24" t="s">
        <v>700</v>
      </c>
      <c r="V24" t="s">
        <v>1021</v>
      </c>
      <c r="W24">
        <v>-1.337682489712366</v>
      </c>
      <c r="X24">
        <v>-44.5</v>
      </c>
      <c r="Y24" t="s">
        <v>1340</v>
      </c>
      <c r="Z24">
        <v>130.9385734159039</v>
      </c>
      <c r="AA24">
        <v>578</v>
      </c>
      <c r="AB24">
        <v>28896</v>
      </c>
      <c r="AC24" t="s">
        <v>1643</v>
      </c>
      <c r="AD24">
        <v>35.48</v>
      </c>
      <c r="AE24" t="s">
        <v>1964</v>
      </c>
      <c r="AF24" t="s">
        <v>2285</v>
      </c>
      <c r="AG24">
        <v>633</v>
      </c>
      <c r="AH24">
        <v>111</v>
      </c>
      <c r="AI24">
        <v>207203</v>
      </c>
      <c r="AJ24">
        <v>0.43</v>
      </c>
      <c r="AK24" t="b">
        <v>1</v>
      </c>
    </row>
    <row r="25" spans="1:37">
      <c r="A25" s="1" t="s">
        <v>59</v>
      </c>
      <c r="B25" t="s">
        <v>380</v>
      </c>
      <c r="C25">
        <f>HYPERLINK("https://finance.naver.com/item/coinfo.nhn?code=239610", "A239610")</f>
        <v>0</v>
      </c>
      <c r="D25">
        <f>HYPERLINK("http://comp.fnguide.com/SVO2/ASP/SVD_Consensus.asp?pGB=1&amp;gicode=A239610&amp;cID=&amp;MenuYn=Y&amp;ReportGB=&amp;NewMenuID=108&amp;stkGb=701", "에이치엘사이언스")</f>
        <v>0</v>
      </c>
      <c r="E25">
        <v>3</v>
      </c>
      <c r="F25">
        <v>18200</v>
      </c>
      <c r="G25">
        <v>0</v>
      </c>
      <c r="H25">
        <v>14.22</v>
      </c>
      <c r="I25">
        <v>35445</v>
      </c>
      <c r="J25">
        <v>27801</v>
      </c>
      <c r="K25">
        <v>25085</v>
      </c>
      <c r="L25">
        <v>-94.75</v>
      </c>
      <c r="M25">
        <v>-52.75</v>
      </c>
      <c r="N25">
        <v>-37.83</v>
      </c>
      <c r="O25">
        <v>18.62</v>
      </c>
      <c r="P25" t="b">
        <v>1</v>
      </c>
      <c r="Q25">
        <v>0</v>
      </c>
      <c r="R25">
        <v>2511</v>
      </c>
      <c r="U25" t="s">
        <v>701</v>
      </c>
      <c r="V25" t="s">
        <v>1022</v>
      </c>
      <c r="W25">
        <v>0</v>
      </c>
      <c r="X25">
        <v>-79.90000000000001</v>
      </c>
      <c r="Y25" t="s">
        <v>1341</v>
      </c>
      <c r="Z25">
        <v>-11.25095195518382</v>
      </c>
      <c r="AA25">
        <v>981</v>
      </c>
      <c r="AB25">
        <v>1665</v>
      </c>
      <c r="AC25" t="s">
        <v>1644</v>
      </c>
      <c r="AD25">
        <v>63.25</v>
      </c>
      <c r="AE25" t="s">
        <v>1965</v>
      </c>
      <c r="AF25" t="s">
        <v>2286</v>
      </c>
      <c r="AG25">
        <v>1044</v>
      </c>
      <c r="AH25">
        <v>148</v>
      </c>
      <c r="AI25">
        <v>275798</v>
      </c>
      <c r="AJ25">
        <v>1.12</v>
      </c>
      <c r="AK25" t="b">
        <v>1</v>
      </c>
    </row>
    <row r="26" spans="1:37">
      <c r="A26" s="1" t="s">
        <v>60</v>
      </c>
      <c r="B26" t="s">
        <v>381</v>
      </c>
      <c r="C26">
        <f>HYPERLINK("https://finance.naver.com/item/coinfo.nhn?code=357230", "A357230")</f>
        <v>0</v>
      </c>
      <c r="D26">
        <f>HYPERLINK("http://comp.fnguide.com/SVO2/ASP/SVD_Consensus.asp?pGB=1&amp;gicode=A357230&amp;cID=&amp;MenuYn=Y&amp;ReportGB=&amp;NewMenuID=108&amp;stkGb=701", "에이치피오")</f>
        <v>0</v>
      </c>
      <c r="E26">
        <v>3</v>
      </c>
      <c r="F26">
        <v>7330</v>
      </c>
      <c r="G26">
        <v>4.21</v>
      </c>
      <c r="H26">
        <v>15.61</v>
      </c>
      <c r="I26">
        <v>12911</v>
      </c>
      <c r="J26">
        <v>9905</v>
      </c>
      <c r="K26">
        <v>8837</v>
      </c>
      <c r="L26">
        <v>-76.15000000000001</v>
      </c>
      <c r="M26">
        <v>-35.13</v>
      </c>
      <c r="N26">
        <v>-20.56</v>
      </c>
      <c r="O26">
        <v>19.71</v>
      </c>
      <c r="P26" t="b">
        <v>1</v>
      </c>
      <c r="Q26">
        <v>0</v>
      </c>
      <c r="R26">
        <v>871</v>
      </c>
      <c r="S26">
        <v>627</v>
      </c>
      <c r="T26">
        <v>-28</v>
      </c>
      <c r="U26" t="s">
        <v>702</v>
      </c>
      <c r="V26" t="s">
        <v>1023</v>
      </c>
      <c r="W26">
        <v>3.70742969240534</v>
      </c>
      <c r="X26">
        <v>-30.7</v>
      </c>
      <c r="Y26" t="s">
        <v>1342</v>
      </c>
      <c r="Z26">
        <v>0</v>
      </c>
      <c r="AA26">
        <v>1518</v>
      </c>
      <c r="AB26">
        <v>31626</v>
      </c>
      <c r="AC26" t="s">
        <v>1645</v>
      </c>
      <c r="AD26">
        <v>70.28</v>
      </c>
      <c r="AE26" t="s">
        <v>1966</v>
      </c>
      <c r="AF26" t="s">
        <v>2287</v>
      </c>
      <c r="AG26">
        <v>1594</v>
      </c>
      <c r="AH26">
        <v>228</v>
      </c>
      <c r="AI26">
        <v>600000</v>
      </c>
      <c r="AJ26">
        <v>2.21</v>
      </c>
      <c r="AK26" t="b">
        <v>1</v>
      </c>
    </row>
    <row r="27" spans="1:37">
      <c r="A27" s="1" t="s">
        <v>61</v>
      </c>
      <c r="B27" t="s">
        <v>382</v>
      </c>
      <c r="C27">
        <f>HYPERLINK("https://finance.naver.com/item/coinfo.nhn?code=021080", "A021080")</f>
        <v>0</v>
      </c>
      <c r="D27">
        <f>HYPERLINK("http://comp.fnguide.com/SVO2/ASP/SVD_Consensus.asp?pGB=1&amp;gicode=A021080&amp;cID=&amp;MenuYn=Y&amp;ReportGB=&amp;NewMenuID=108&amp;stkGb=701", "에이티넘인베스트")</f>
        <v>0</v>
      </c>
      <c r="E27">
        <v>3</v>
      </c>
      <c r="F27">
        <v>2805</v>
      </c>
      <c r="G27">
        <v>0</v>
      </c>
      <c r="H27">
        <v>3.86</v>
      </c>
      <c r="I27">
        <v>10024</v>
      </c>
      <c r="J27">
        <v>6435</v>
      </c>
      <c r="K27">
        <v>5159</v>
      </c>
      <c r="L27">
        <v>-257.36</v>
      </c>
      <c r="M27">
        <v>-129.4</v>
      </c>
      <c r="N27">
        <v>-83.94</v>
      </c>
      <c r="O27">
        <v>34.22</v>
      </c>
      <c r="P27" t="b">
        <v>1</v>
      </c>
      <c r="Q27">
        <v>0</v>
      </c>
      <c r="R27">
        <v>1375</v>
      </c>
      <c r="U27" t="s">
        <v>703</v>
      </c>
      <c r="V27" t="s">
        <v>1024</v>
      </c>
      <c r="W27">
        <v>0</v>
      </c>
      <c r="Y27" t="s">
        <v>1321</v>
      </c>
      <c r="Z27">
        <v>0</v>
      </c>
      <c r="AA27">
        <v>1346</v>
      </c>
      <c r="AB27">
        <v>226179</v>
      </c>
      <c r="AC27" t="s">
        <v>1646</v>
      </c>
      <c r="AD27">
        <v>33.08</v>
      </c>
      <c r="AE27" t="s">
        <v>1967</v>
      </c>
      <c r="AF27" t="s">
        <v>2288</v>
      </c>
      <c r="AG27">
        <v>1176</v>
      </c>
      <c r="AH27">
        <v>832</v>
      </c>
      <c r="AI27">
        <v>1005425</v>
      </c>
      <c r="AJ27">
        <v>3.77</v>
      </c>
      <c r="AK27" t="b">
        <v>1</v>
      </c>
    </row>
    <row r="28" spans="1:37">
      <c r="A28" s="1" t="s">
        <v>62</v>
      </c>
      <c r="B28" t="s">
        <v>383</v>
      </c>
      <c r="C28">
        <f>HYPERLINK("https://finance.naver.com/item/coinfo.nhn?code=950130", "A950130")</f>
        <v>0</v>
      </c>
      <c r="D28">
        <f>HYPERLINK("http://comp.fnguide.com/SVO2/ASP/SVD_Consensus.asp?pGB=1&amp;gicode=A950130&amp;cID=&amp;MenuYn=Y&amp;ReportGB=&amp;NewMenuID=108&amp;stkGb=701", "엑세스바이오")</f>
        <v>0</v>
      </c>
      <c r="E28">
        <v>3</v>
      </c>
      <c r="F28">
        <v>11950</v>
      </c>
      <c r="G28">
        <v>0</v>
      </c>
      <c r="H28">
        <v>3.06</v>
      </c>
      <c r="I28">
        <v>61982</v>
      </c>
      <c r="J28">
        <v>33702</v>
      </c>
      <c r="K28">
        <v>23656</v>
      </c>
      <c r="L28">
        <v>-418.68</v>
      </c>
      <c r="M28">
        <v>-182.03</v>
      </c>
      <c r="N28">
        <v>-97.95999999999999</v>
      </c>
      <c r="O28">
        <v>80.95</v>
      </c>
      <c r="P28" t="b">
        <v>0</v>
      </c>
      <c r="Q28">
        <v>0</v>
      </c>
      <c r="R28">
        <v>5223</v>
      </c>
      <c r="U28" t="s">
        <v>704</v>
      </c>
      <c r="V28" t="s">
        <v>1025</v>
      </c>
      <c r="W28">
        <v>0</v>
      </c>
      <c r="X28">
        <v>188.6</v>
      </c>
      <c r="Y28" t="s">
        <v>1343</v>
      </c>
      <c r="Z28">
        <v>0</v>
      </c>
      <c r="AA28">
        <v>4340</v>
      </c>
      <c r="AB28">
        <v>179245</v>
      </c>
      <c r="AC28" t="s">
        <v>1647</v>
      </c>
      <c r="AD28">
        <v>25.26</v>
      </c>
      <c r="AE28" t="s">
        <v>1968</v>
      </c>
      <c r="AF28" t="s">
        <v>2289</v>
      </c>
      <c r="AG28">
        <v>5051</v>
      </c>
      <c r="AH28">
        <v>2601</v>
      </c>
      <c r="AI28">
        <v>2351553</v>
      </c>
      <c r="AK28" t="b">
        <v>1</v>
      </c>
    </row>
    <row r="29" spans="1:37">
      <c r="A29" s="1" t="s">
        <v>63</v>
      </c>
      <c r="B29" t="s">
        <v>384</v>
      </c>
      <c r="C29">
        <f>HYPERLINK("https://finance.naver.com/item/coinfo.nhn?code=092870", "A092870")</f>
        <v>0</v>
      </c>
      <c r="D29">
        <f>HYPERLINK("http://comp.fnguide.com/SVO2/ASP/SVD_Consensus.asp?pGB=1&amp;gicode=A092870&amp;cID=&amp;MenuYn=Y&amp;ReportGB=&amp;NewMenuID=108&amp;stkGb=701", "엑시콘")</f>
        <v>0</v>
      </c>
      <c r="E29">
        <v>3</v>
      </c>
      <c r="F29">
        <v>9630</v>
      </c>
      <c r="G29">
        <v>0</v>
      </c>
      <c r="H29">
        <v>4.76</v>
      </c>
      <c r="I29">
        <v>23178</v>
      </c>
      <c r="J29">
        <v>17873</v>
      </c>
      <c r="K29">
        <v>15988</v>
      </c>
      <c r="L29">
        <v>-140.69</v>
      </c>
      <c r="M29">
        <v>-85.59</v>
      </c>
      <c r="N29">
        <v>-66.02</v>
      </c>
      <c r="O29">
        <v>19.45</v>
      </c>
      <c r="P29" t="b">
        <v>1</v>
      </c>
      <c r="Q29">
        <v>0</v>
      </c>
      <c r="R29">
        <v>3169</v>
      </c>
      <c r="S29">
        <v>1304</v>
      </c>
      <c r="T29">
        <v>-58.9</v>
      </c>
      <c r="U29" t="s">
        <v>705</v>
      </c>
      <c r="V29" t="s">
        <v>1026</v>
      </c>
      <c r="W29">
        <v>0</v>
      </c>
      <c r="X29">
        <v>-61.1</v>
      </c>
      <c r="Y29" t="s">
        <v>1344</v>
      </c>
      <c r="Z29">
        <v>0</v>
      </c>
      <c r="AA29">
        <v>1009</v>
      </c>
      <c r="AB29">
        <v>9695</v>
      </c>
      <c r="AC29" t="s">
        <v>1648</v>
      </c>
      <c r="AD29">
        <v>40.71</v>
      </c>
      <c r="AE29" t="s">
        <v>1969</v>
      </c>
      <c r="AF29" t="s">
        <v>2290</v>
      </c>
      <c r="AG29">
        <v>662</v>
      </c>
      <c r="AH29">
        <v>63</v>
      </c>
      <c r="AI29">
        <v>386644</v>
      </c>
      <c r="AJ29">
        <v>0.66</v>
      </c>
      <c r="AK29" t="b">
        <v>1</v>
      </c>
    </row>
    <row r="30" spans="1:37">
      <c r="A30" s="1" t="s">
        <v>64</v>
      </c>
      <c r="B30" t="s">
        <v>385</v>
      </c>
      <c r="C30">
        <f>HYPERLINK("https://finance.naver.com/item/coinfo.nhn?code=376190", "A376190")</f>
        <v>0</v>
      </c>
      <c r="D30">
        <f>HYPERLINK("http://comp.fnguide.com/SVO2/ASP/SVD_Consensus.asp?pGB=1&amp;gicode=A376190&amp;cID=&amp;MenuYn=Y&amp;ReportGB=&amp;NewMenuID=108&amp;stkGb=701", "엘비루셈")</f>
        <v>0</v>
      </c>
      <c r="E30">
        <v>3</v>
      </c>
      <c r="F30">
        <v>6860</v>
      </c>
      <c r="G30">
        <v>0</v>
      </c>
      <c r="H30">
        <v>14.25</v>
      </c>
      <c r="I30">
        <v>10027</v>
      </c>
      <c r="J30">
        <v>8791</v>
      </c>
      <c r="K30">
        <v>8352</v>
      </c>
      <c r="L30">
        <v>-46.17</v>
      </c>
      <c r="M30">
        <v>-28.15</v>
      </c>
      <c r="N30">
        <v>-21.75</v>
      </c>
      <c r="O30">
        <v>14.38</v>
      </c>
      <c r="P30" t="b">
        <v>1</v>
      </c>
      <c r="Q30">
        <v>0</v>
      </c>
      <c r="R30">
        <v>817</v>
      </c>
      <c r="U30" t="s">
        <v>706</v>
      </c>
      <c r="V30" t="s">
        <v>1027</v>
      </c>
      <c r="W30">
        <v>0</v>
      </c>
      <c r="X30">
        <v>-17.3</v>
      </c>
      <c r="Y30" t="s">
        <v>1345</v>
      </c>
      <c r="Z30">
        <v>20.00467948750164</v>
      </c>
      <c r="AA30">
        <v>1688</v>
      </c>
      <c r="AB30">
        <v>12082</v>
      </c>
      <c r="AC30" t="s">
        <v>1649</v>
      </c>
      <c r="AD30">
        <v>48.78</v>
      </c>
      <c r="AE30" t="s">
        <v>1970</v>
      </c>
      <c r="AF30" t="s">
        <v>2291</v>
      </c>
      <c r="AG30">
        <v>2330</v>
      </c>
      <c r="AH30">
        <v>194</v>
      </c>
      <c r="AK30" t="b">
        <v>1</v>
      </c>
    </row>
    <row r="31" spans="1:37">
      <c r="A31" s="1" t="s">
        <v>65</v>
      </c>
      <c r="B31" t="s">
        <v>386</v>
      </c>
      <c r="C31">
        <f>HYPERLINK("https://finance.naver.com/item/coinfo.nhn?code=143540", "A143540")</f>
        <v>0</v>
      </c>
      <c r="D31">
        <f>HYPERLINK("http://comp.fnguide.com/SVO2/ASP/SVD_Consensus.asp?pGB=1&amp;gicode=A143540&amp;cID=&amp;MenuYn=Y&amp;ReportGB=&amp;NewMenuID=108&amp;stkGb=701", "영우디에스피")</f>
        <v>0</v>
      </c>
      <c r="E31">
        <v>3</v>
      </c>
      <c r="F31">
        <v>1455</v>
      </c>
      <c r="G31">
        <v>0</v>
      </c>
      <c r="H31">
        <v>11.43</v>
      </c>
      <c r="I31">
        <v>2016</v>
      </c>
      <c r="J31">
        <v>1716</v>
      </c>
      <c r="K31">
        <v>1609</v>
      </c>
      <c r="L31">
        <v>-38.58</v>
      </c>
      <c r="M31">
        <v>-17.95</v>
      </c>
      <c r="N31">
        <v>-10.62</v>
      </c>
      <c r="O31">
        <v>15.35</v>
      </c>
      <c r="P31" t="b">
        <v>1</v>
      </c>
      <c r="Q31">
        <v>0</v>
      </c>
      <c r="R31">
        <v>198</v>
      </c>
      <c r="U31" t="s">
        <v>707</v>
      </c>
      <c r="V31" t="s">
        <v>1028</v>
      </c>
      <c r="W31">
        <v>0</v>
      </c>
      <c r="Y31" t="s">
        <v>1346</v>
      </c>
      <c r="Z31">
        <v>0</v>
      </c>
      <c r="AA31">
        <v>649</v>
      </c>
      <c r="AB31">
        <v>805298</v>
      </c>
      <c r="AC31" t="s">
        <v>1650</v>
      </c>
      <c r="AD31">
        <v>19.26</v>
      </c>
      <c r="AE31" t="s">
        <v>1971</v>
      </c>
      <c r="AF31" t="s">
        <v>2292</v>
      </c>
      <c r="AG31">
        <v>796</v>
      </c>
      <c r="AH31">
        <v>85</v>
      </c>
      <c r="AI31">
        <v>881920</v>
      </c>
      <c r="AK31" t="b">
        <v>1</v>
      </c>
    </row>
    <row r="32" spans="1:37">
      <c r="A32" s="1" t="s">
        <v>66</v>
      </c>
      <c r="B32" t="s">
        <v>387</v>
      </c>
      <c r="C32">
        <f>HYPERLINK("https://finance.naver.com/item/coinfo.nhn?code=232140", "A232140")</f>
        <v>0</v>
      </c>
      <c r="D32">
        <f>HYPERLINK("http://comp.fnguide.com/SVO2/ASP/SVD_Consensus.asp?pGB=1&amp;gicode=A232140&amp;cID=&amp;MenuYn=Y&amp;ReportGB=&amp;NewMenuID=108&amp;stkGb=701", "와이아이케이")</f>
        <v>0</v>
      </c>
      <c r="E32">
        <v>3</v>
      </c>
      <c r="F32">
        <v>3165</v>
      </c>
      <c r="G32">
        <v>0</v>
      </c>
      <c r="H32">
        <v>11.31</v>
      </c>
      <c r="I32">
        <v>4209</v>
      </c>
      <c r="J32">
        <v>3831</v>
      </c>
      <c r="K32">
        <v>3697</v>
      </c>
      <c r="L32">
        <v>-32.98</v>
      </c>
      <c r="M32">
        <v>-21.05</v>
      </c>
      <c r="N32">
        <v>-16.81</v>
      </c>
      <c r="O32">
        <v>13.28</v>
      </c>
      <c r="P32" t="b">
        <v>1</v>
      </c>
      <c r="Q32">
        <v>0</v>
      </c>
      <c r="R32">
        <v>548</v>
      </c>
      <c r="U32" t="s">
        <v>708</v>
      </c>
      <c r="V32" t="s">
        <v>1029</v>
      </c>
      <c r="W32">
        <v>0</v>
      </c>
      <c r="X32">
        <v>-43.5</v>
      </c>
      <c r="Y32" t="s">
        <v>1347</v>
      </c>
      <c r="Z32">
        <v>0</v>
      </c>
      <c r="AA32">
        <v>2597</v>
      </c>
      <c r="AB32">
        <v>72509</v>
      </c>
      <c r="AC32" t="s">
        <v>1651</v>
      </c>
      <c r="AD32">
        <v>51.98</v>
      </c>
      <c r="AE32" t="s">
        <v>1972</v>
      </c>
      <c r="AF32" t="s">
        <v>2293</v>
      </c>
      <c r="AG32">
        <v>3113</v>
      </c>
      <c r="AH32">
        <v>546</v>
      </c>
      <c r="AI32">
        <v>1821056</v>
      </c>
      <c r="AK32" t="b">
        <v>1</v>
      </c>
    </row>
    <row r="33" spans="1:37">
      <c r="A33" s="1" t="s">
        <v>67</v>
      </c>
      <c r="B33" t="s">
        <v>388</v>
      </c>
      <c r="C33">
        <f>HYPERLINK("https://finance.naver.com/item/coinfo.nhn?code=140070", "A140070")</f>
        <v>0</v>
      </c>
      <c r="D33">
        <f>HYPERLINK("http://comp.fnguide.com/SVO2/ASP/SVD_Consensus.asp?pGB=1&amp;gicode=A140070&amp;cID=&amp;MenuYn=Y&amp;ReportGB=&amp;NewMenuID=108&amp;stkGb=701", "서플러스글로벌")</f>
        <v>0</v>
      </c>
      <c r="E33">
        <v>3</v>
      </c>
      <c r="F33">
        <v>3850</v>
      </c>
      <c r="G33">
        <v>0.04</v>
      </c>
      <c r="H33">
        <v>5.85</v>
      </c>
      <c r="I33">
        <v>5280</v>
      </c>
      <c r="J33">
        <v>4920</v>
      </c>
      <c r="K33">
        <v>4792</v>
      </c>
      <c r="L33">
        <v>-37.14</v>
      </c>
      <c r="M33">
        <v>-27.8</v>
      </c>
      <c r="N33">
        <v>-24.48</v>
      </c>
      <c r="O33">
        <v>12.65</v>
      </c>
      <c r="P33" t="b">
        <v>1</v>
      </c>
      <c r="Q33">
        <v>0</v>
      </c>
      <c r="R33">
        <v>749</v>
      </c>
      <c r="S33">
        <v>681</v>
      </c>
      <c r="T33">
        <v>-9.1</v>
      </c>
      <c r="U33" t="s">
        <v>709</v>
      </c>
      <c r="V33" t="s">
        <v>1030</v>
      </c>
      <c r="W33">
        <v>151.0997480616797</v>
      </c>
      <c r="X33">
        <v>20</v>
      </c>
      <c r="Y33" t="s">
        <v>1348</v>
      </c>
      <c r="Z33">
        <v>10.6120093038323</v>
      </c>
      <c r="AA33">
        <v>1424</v>
      </c>
      <c r="AB33">
        <v>85463</v>
      </c>
      <c r="AC33" t="s">
        <v>1652</v>
      </c>
      <c r="AD33">
        <v>56.71</v>
      </c>
      <c r="AE33" t="s">
        <v>1973</v>
      </c>
      <c r="AF33" t="s">
        <v>2294</v>
      </c>
      <c r="AG33">
        <v>2066</v>
      </c>
      <c r="AH33">
        <v>308</v>
      </c>
      <c r="AI33">
        <v>2131402</v>
      </c>
      <c r="AJ33">
        <v>1.14</v>
      </c>
      <c r="AK33" t="b">
        <v>1</v>
      </c>
    </row>
    <row r="34" spans="1:37">
      <c r="A34" s="1" t="s">
        <v>68</v>
      </c>
      <c r="B34" t="s">
        <v>389</v>
      </c>
      <c r="C34">
        <f>HYPERLINK("https://finance.naver.com/item/coinfo.nhn?code=038540", "A038540")</f>
        <v>0</v>
      </c>
      <c r="D34">
        <f>HYPERLINK("http://comp.fnguide.com/SVO2/ASP/SVD_Consensus.asp?pGB=1&amp;gicode=A038540&amp;cID=&amp;MenuYn=Y&amp;ReportGB=&amp;NewMenuID=108&amp;stkGb=701", "상상인")</f>
        <v>0</v>
      </c>
      <c r="E34">
        <v>3</v>
      </c>
      <c r="F34">
        <v>6090</v>
      </c>
      <c r="G34">
        <v>0</v>
      </c>
      <c r="H34">
        <v>4.54</v>
      </c>
      <c r="I34">
        <v>18555</v>
      </c>
      <c r="J34">
        <v>15495</v>
      </c>
      <c r="K34">
        <v>14408</v>
      </c>
      <c r="L34">
        <v>-204.67</v>
      </c>
      <c r="M34">
        <v>-154.44</v>
      </c>
      <c r="N34">
        <v>-136.59</v>
      </c>
      <c r="O34">
        <v>16.02</v>
      </c>
      <c r="P34" t="b">
        <v>1</v>
      </c>
      <c r="Q34">
        <v>0</v>
      </c>
      <c r="R34">
        <v>1828</v>
      </c>
      <c r="U34" t="s">
        <v>710</v>
      </c>
      <c r="V34" t="s">
        <v>1031</v>
      </c>
      <c r="W34">
        <v>0</v>
      </c>
      <c r="X34">
        <v>-14.5</v>
      </c>
      <c r="Y34" t="s">
        <v>1349</v>
      </c>
      <c r="Z34">
        <v>-2.180246721951351</v>
      </c>
      <c r="AA34">
        <v>3369</v>
      </c>
      <c r="AB34">
        <v>157103</v>
      </c>
      <c r="AC34" t="s">
        <v>1653</v>
      </c>
      <c r="AD34">
        <v>32.05</v>
      </c>
      <c r="AE34" t="s">
        <v>1974</v>
      </c>
      <c r="AF34" t="s">
        <v>2295</v>
      </c>
      <c r="AG34">
        <v>5690</v>
      </c>
      <c r="AH34">
        <v>1321</v>
      </c>
      <c r="AI34">
        <v>604037</v>
      </c>
      <c r="AJ34">
        <v>1.2</v>
      </c>
      <c r="AK34" t="b">
        <v>1</v>
      </c>
    </row>
    <row r="35" spans="1:37">
      <c r="A35" s="1" t="s">
        <v>69</v>
      </c>
      <c r="B35" t="s">
        <v>390</v>
      </c>
      <c r="C35">
        <f>HYPERLINK("https://finance.naver.com/item/coinfo.nhn?code=032750", "A032750")</f>
        <v>0</v>
      </c>
      <c r="D35">
        <f>HYPERLINK("http://comp.fnguide.com/SVO2/ASP/SVD_Consensus.asp?pGB=1&amp;gicode=A032750&amp;cID=&amp;MenuYn=Y&amp;ReportGB=&amp;NewMenuID=108&amp;stkGb=701", "삼진")</f>
        <v>0</v>
      </c>
      <c r="E35">
        <v>3</v>
      </c>
      <c r="F35">
        <v>7800</v>
      </c>
      <c r="G35">
        <v>0</v>
      </c>
      <c r="H35">
        <v>7.59</v>
      </c>
      <c r="I35">
        <v>12936</v>
      </c>
      <c r="J35">
        <v>12823</v>
      </c>
      <c r="K35">
        <v>12783</v>
      </c>
      <c r="L35">
        <v>-65.84</v>
      </c>
      <c r="M35">
        <v>-64.40000000000001</v>
      </c>
      <c r="N35">
        <v>-63.88</v>
      </c>
      <c r="O35">
        <v>11.2</v>
      </c>
      <c r="P35" t="b">
        <v>1</v>
      </c>
      <c r="Q35">
        <v>0</v>
      </c>
      <c r="R35">
        <v>1337</v>
      </c>
      <c r="U35" t="s">
        <v>711</v>
      </c>
      <c r="V35" t="s">
        <v>1032</v>
      </c>
      <c r="W35">
        <v>0</v>
      </c>
      <c r="X35">
        <v>-37.2</v>
      </c>
      <c r="Y35" t="s">
        <v>1350</v>
      </c>
      <c r="Z35">
        <v>16.95394781419657</v>
      </c>
      <c r="AA35">
        <v>629</v>
      </c>
      <c r="AB35">
        <v>269858</v>
      </c>
      <c r="AC35" t="s">
        <v>1654</v>
      </c>
      <c r="AD35">
        <v>44.13</v>
      </c>
      <c r="AE35" t="s">
        <v>1975</v>
      </c>
      <c r="AF35" t="s">
        <v>2296</v>
      </c>
      <c r="AG35">
        <v>1287</v>
      </c>
      <c r="AH35">
        <v>12</v>
      </c>
      <c r="AJ35">
        <v>0.82</v>
      </c>
      <c r="AK35" t="b">
        <v>1</v>
      </c>
    </row>
    <row r="36" spans="1:37">
      <c r="A36" s="1" t="s">
        <v>70</v>
      </c>
      <c r="B36" t="s">
        <v>391</v>
      </c>
      <c r="C36">
        <f>HYPERLINK("https://finance.naver.com/item/coinfo.nhn?code=084650", "A084650")</f>
        <v>0</v>
      </c>
      <c r="D36">
        <f>HYPERLINK("http://comp.fnguide.com/SVO2/ASP/SVD_Consensus.asp?pGB=1&amp;gicode=A084650&amp;cID=&amp;MenuYn=Y&amp;ReportGB=&amp;NewMenuID=108&amp;stkGb=701", "랩지노믹스")</f>
        <v>0</v>
      </c>
      <c r="E36">
        <v>3</v>
      </c>
      <c r="F36">
        <v>6800</v>
      </c>
      <c r="G36">
        <v>0</v>
      </c>
      <c r="H36">
        <v>3.42</v>
      </c>
      <c r="I36">
        <v>25700</v>
      </c>
      <c r="J36">
        <v>14577</v>
      </c>
      <c r="K36">
        <v>10625</v>
      </c>
      <c r="L36">
        <v>-277.95</v>
      </c>
      <c r="M36">
        <v>-114.36</v>
      </c>
      <c r="N36">
        <v>-56.25</v>
      </c>
      <c r="O36">
        <v>61.05</v>
      </c>
      <c r="P36" t="b">
        <v>1</v>
      </c>
      <c r="Q36">
        <v>0</v>
      </c>
      <c r="R36">
        <v>2441</v>
      </c>
      <c r="U36" t="s">
        <v>712</v>
      </c>
      <c r="V36" t="s">
        <v>1033</v>
      </c>
      <c r="W36">
        <v>0</v>
      </c>
      <c r="X36">
        <v>-15.5</v>
      </c>
      <c r="Y36" t="s">
        <v>1351</v>
      </c>
      <c r="Z36">
        <v>0</v>
      </c>
      <c r="AA36">
        <v>2311</v>
      </c>
      <c r="AB36">
        <v>921540</v>
      </c>
      <c r="AC36" t="s">
        <v>1655</v>
      </c>
      <c r="AD36">
        <v>12.71</v>
      </c>
      <c r="AE36" t="s">
        <v>1976</v>
      </c>
      <c r="AF36" t="s">
        <v>2297</v>
      </c>
      <c r="AG36">
        <v>2024</v>
      </c>
      <c r="AH36">
        <v>1045</v>
      </c>
      <c r="AJ36">
        <v>1.2</v>
      </c>
      <c r="AK36" t="b">
        <v>1</v>
      </c>
    </row>
    <row r="37" spans="1:37">
      <c r="A37" s="1" t="s">
        <v>71</v>
      </c>
      <c r="B37" t="s">
        <v>392</v>
      </c>
      <c r="C37">
        <f>HYPERLINK("https://finance.naver.com/item/coinfo.nhn?code=042420", "A042420")</f>
        <v>0</v>
      </c>
      <c r="D37">
        <f>HYPERLINK("http://comp.fnguide.com/SVO2/ASP/SVD_Consensus.asp?pGB=1&amp;gicode=A042420&amp;cID=&amp;MenuYn=Y&amp;ReportGB=&amp;NewMenuID=108&amp;stkGb=701", "네오위즈홀딩스")</f>
        <v>0</v>
      </c>
      <c r="E37">
        <v>3</v>
      </c>
      <c r="F37">
        <v>28900</v>
      </c>
      <c r="G37">
        <v>0</v>
      </c>
      <c r="H37">
        <v>13.11</v>
      </c>
      <c r="I37">
        <v>77127</v>
      </c>
      <c r="J37">
        <v>67809</v>
      </c>
      <c r="K37">
        <v>64499</v>
      </c>
      <c r="L37">
        <v>-166.88</v>
      </c>
      <c r="M37">
        <v>-134.63</v>
      </c>
      <c r="N37">
        <v>-123.18</v>
      </c>
      <c r="O37">
        <v>14.29</v>
      </c>
      <c r="P37" t="b">
        <v>1</v>
      </c>
      <c r="Q37">
        <v>0</v>
      </c>
      <c r="R37">
        <v>7343</v>
      </c>
      <c r="U37" t="s">
        <v>713</v>
      </c>
      <c r="V37" t="s">
        <v>1034</v>
      </c>
      <c r="W37">
        <v>0</v>
      </c>
      <c r="Y37" t="s">
        <v>1352</v>
      </c>
      <c r="Z37">
        <v>0</v>
      </c>
      <c r="AA37">
        <v>2560</v>
      </c>
      <c r="AB37">
        <v>86417</v>
      </c>
      <c r="AC37" t="s">
        <v>1656</v>
      </c>
      <c r="AD37">
        <v>42.57</v>
      </c>
      <c r="AE37" t="s">
        <v>1977</v>
      </c>
      <c r="AF37" t="s">
        <v>2298</v>
      </c>
      <c r="AG37">
        <v>2693</v>
      </c>
      <c r="AH37">
        <v>194</v>
      </c>
      <c r="AI37">
        <v>1655069</v>
      </c>
      <c r="AJ37">
        <v>0.72</v>
      </c>
      <c r="AK37" t="b">
        <v>1</v>
      </c>
    </row>
    <row r="38" spans="1:37">
      <c r="A38" s="1" t="s">
        <v>72</v>
      </c>
      <c r="B38" t="s">
        <v>393</v>
      </c>
      <c r="C38">
        <f>HYPERLINK("https://finance.naver.com/item/coinfo.nhn?code=217270", "A217270")</f>
        <v>0</v>
      </c>
      <c r="D38">
        <f>HYPERLINK("http://comp.fnguide.com/SVO2/ASP/SVD_Consensus.asp?pGB=1&amp;gicode=A217270&amp;cID=&amp;MenuYn=Y&amp;ReportGB=&amp;NewMenuID=108&amp;stkGb=701", "넵튠")</f>
        <v>0</v>
      </c>
      <c r="E38">
        <v>3</v>
      </c>
      <c r="F38">
        <v>11350</v>
      </c>
      <c r="G38">
        <v>0</v>
      </c>
      <c r="H38">
        <v>11.17</v>
      </c>
      <c r="I38">
        <v>24558</v>
      </c>
      <c r="J38">
        <v>16069</v>
      </c>
      <c r="K38">
        <v>13053</v>
      </c>
      <c r="L38">
        <v>-116.37</v>
      </c>
      <c r="M38">
        <v>-41.57</v>
      </c>
      <c r="N38">
        <v>-15</v>
      </c>
      <c r="O38">
        <v>31.9</v>
      </c>
      <c r="P38" t="b">
        <v>1</v>
      </c>
      <c r="Q38">
        <v>0</v>
      </c>
      <c r="R38">
        <v>2508</v>
      </c>
      <c r="U38" t="s">
        <v>714</v>
      </c>
      <c r="V38" t="s">
        <v>1035</v>
      </c>
      <c r="W38">
        <v>0</v>
      </c>
      <c r="Y38" t="s">
        <v>1353</v>
      </c>
      <c r="Z38">
        <v>0</v>
      </c>
      <c r="AA38">
        <v>5269</v>
      </c>
      <c r="AB38">
        <v>25681</v>
      </c>
      <c r="AC38" t="s">
        <v>1657</v>
      </c>
      <c r="AD38">
        <v>53.76</v>
      </c>
      <c r="AE38" t="s">
        <v>1978</v>
      </c>
      <c r="AF38" t="s">
        <v>2299</v>
      </c>
      <c r="AG38">
        <v>203</v>
      </c>
      <c r="AH38">
        <v>-246</v>
      </c>
      <c r="AI38">
        <v>66497</v>
      </c>
      <c r="AK38" t="b">
        <v>1</v>
      </c>
    </row>
    <row r="39" spans="1:37">
      <c r="A39" s="1" t="s">
        <v>73</v>
      </c>
      <c r="B39" t="s">
        <v>394</v>
      </c>
      <c r="C39">
        <f>HYPERLINK("https://finance.naver.com/item/coinfo.nhn?code=194700", "A194700")</f>
        <v>0</v>
      </c>
      <c r="D39">
        <f>HYPERLINK("http://comp.fnguide.com/SVO2/ASP/SVD_Consensus.asp?pGB=1&amp;gicode=A194700&amp;cID=&amp;MenuYn=Y&amp;ReportGB=&amp;NewMenuID=108&amp;stkGb=701", "노바렉스")</f>
        <v>0</v>
      </c>
      <c r="E39">
        <v>3</v>
      </c>
      <c r="F39">
        <v>10000</v>
      </c>
      <c r="G39">
        <v>0</v>
      </c>
      <c r="H39">
        <v>12.9</v>
      </c>
      <c r="I39">
        <v>16214</v>
      </c>
      <c r="J39">
        <v>12082</v>
      </c>
      <c r="K39">
        <v>10614</v>
      </c>
      <c r="L39">
        <v>-62.14</v>
      </c>
      <c r="M39">
        <v>-20.82</v>
      </c>
      <c r="N39">
        <v>-6.14</v>
      </c>
      <c r="O39">
        <v>21.3</v>
      </c>
      <c r="P39" t="b">
        <v>1</v>
      </c>
      <c r="Q39">
        <v>0</v>
      </c>
      <c r="R39">
        <v>1548</v>
      </c>
      <c r="U39" t="s">
        <v>715</v>
      </c>
      <c r="V39" t="s">
        <v>1036</v>
      </c>
      <c r="W39">
        <v>0</v>
      </c>
      <c r="X39">
        <v>-8.1</v>
      </c>
      <c r="Y39" t="s">
        <v>1354</v>
      </c>
      <c r="Z39">
        <v>20.50238483354787</v>
      </c>
      <c r="AA39">
        <v>1875</v>
      </c>
      <c r="AB39">
        <v>74482</v>
      </c>
      <c r="AC39" t="s">
        <v>1658</v>
      </c>
      <c r="AD39">
        <v>31.01</v>
      </c>
      <c r="AE39" t="s">
        <v>1979</v>
      </c>
      <c r="AF39" t="s">
        <v>2300</v>
      </c>
      <c r="AG39">
        <v>2788</v>
      </c>
      <c r="AH39">
        <v>300</v>
      </c>
      <c r="AI39">
        <v>2105264</v>
      </c>
      <c r="AJ39">
        <v>0.79</v>
      </c>
      <c r="AK39" t="b">
        <v>1</v>
      </c>
    </row>
    <row r="40" spans="1:37">
      <c r="A40" s="1" t="s">
        <v>74</v>
      </c>
      <c r="B40" t="s">
        <v>395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10550</v>
      </c>
      <c r="G40">
        <v>0</v>
      </c>
      <c r="H40">
        <v>10.16</v>
      </c>
      <c r="I40">
        <v>23545</v>
      </c>
      <c r="J40">
        <v>16588</v>
      </c>
      <c r="K40">
        <v>14116</v>
      </c>
      <c r="L40">
        <v>-123.18</v>
      </c>
      <c r="M40">
        <v>-57.23</v>
      </c>
      <c r="N40">
        <v>-33.8</v>
      </c>
      <c r="O40">
        <v>25.02</v>
      </c>
      <c r="P40" t="b">
        <v>1</v>
      </c>
      <c r="Q40">
        <v>0</v>
      </c>
      <c r="R40">
        <v>2161</v>
      </c>
      <c r="U40" t="s">
        <v>716</v>
      </c>
      <c r="V40" t="s">
        <v>1037</v>
      </c>
      <c r="W40">
        <v>0</v>
      </c>
      <c r="X40">
        <v>-49.5</v>
      </c>
      <c r="Y40" t="s">
        <v>1355</v>
      </c>
      <c r="Z40">
        <v>26.56499495686555</v>
      </c>
      <c r="AA40">
        <v>971</v>
      </c>
      <c r="AB40">
        <v>38051</v>
      </c>
      <c r="AC40" t="s">
        <v>1659</v>
      </c>
      <c r="AD40">
        <v>50.04</v>
      </c>
      <c r="AE40" t="s">
        <v>1980</v>
      </c>
      <c r="AF40" t="s">
        <v>2301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7">
      <c r="A41" s="1" t="s">
        <v>75</v>
      </c>
      <c r="B41" t="s">
        <v>396</v>
      </c>
      <c r="C41">
        <f>HYPERLINK("https://finance.naver.com/item/coinfo.nhn?code=144960", "A144960")</f>
        <v>0</v>
      </c>
      <c r="D41">
        <f>HYPERLINK("http://comp.fnguide.com/SVO2/ASP/SVD_Consensus.asp?pGB=1&amp;gicode=A144960&amp;cID=&amp;MenuYn=Y&amp;ReportGB=&amp;NewMenuID=108&amp;stkGb=701", "뉴파워프라즈마")</f>
        <v>0</v>
      </c>
      <c r="E41">
        <v>3</v>
      </c>
      <c r="F41">
        <v>3825</v>
      </c>
      <c r="G41">
        <v>0</v>
      </c>
      <c r="H41">
        <v>12.07</v>
      </c>
      <c r="I41">
        <v>6924</v>
      </c>
      <c r="J41">
        <v>5877</v>
      </c>
      <c r="K41">
        <v>5505</v>
      </c>
      <c r="L41">
        <v>-81.01000000000001</v>
      </c>
      <c r="M41">
        <v>-53.65</v>
      </c>
      <c r="N41">
        <v>-43.93</v>
      </c>
      <c r="O41">
        <v>15.44</v>
      </c>
      <c r="P41" t="b">
        <v>1</v>
      </c>
      <c r="Q41">
        <v>0</v>
      </c>
      <c r="R41">
        <v>531</v>
      </c>
      <c r="U41" t="s">
        <v>717</v>
      </c>
      <c r="V41" t="s">
        <v>1038</v>
      </c>
      <c r="W41">
        <v>0</v>
      </c>
      <c r="X41">
        <v>39.5</v>
      </c>
      <c r="Y41" t="s">
        <v>1356</v>
      </c>
      <c r="Z41">
        <v>10.12561530284051</v>
      </c>
      <c r="AA41">
        <v>1671</v>
      </c>
      <c r="AB41">
        <v>29710</v>
      </c>
      <c r="AC41" t="s">
        <v>1660</v>
      </c>
      <c r="AD41">
        <v>36.35</v>
      </c>
      <c r="AE41" t="s">
        <v>1981</v>
      </c>
      <c r="AF41" t="s">
        <v>2302</v>
      </c>
      <c r="AG41">
        <v>3101</v>
      </c>
      <c r="AH41">
        <v>245</v>
      </c>
      <c r="AI41">
        <v>2414229</v>
      </c>
      <c r="AJ41">
        <v>0.78</v>
      </c>
      <c r="AK41" t="b">
        <v>1</v>
      </c>
    </row>
    <row r="42" spans="1:37">
      <c r="A42" s="1" t="s">
        <v>76</v>
      </c>
      <c r="B42" t="s">
        <v>397</v>
      </c>
      <c r="C42">
        <f>HYPERLINK("https://finance.naver.com/item/coinfo.nhn?code=064260", "A064260")</f>
        <v>0</v>
      </c>
      <c r="D42">
        <f>HYPERLINK("http://comp.fnguide.com/SVO2/ASP/SVD_Consensus.asp?pGB=1&amp;gicode=A064260&amp;cID=&amp;MenuYn=Y&amp;ReportGB=&amp;NewMenuID=108&amp;stkGb=701", "다날")</f>
        <v>0</v>
      </c>
      <c r="E42">
        <v>3</v>
      </c>
      <c r="F42">
        <v>5340</v>
      </c>
      <c r="G42">
        <v>0</v>
      </c>
      <c r="H42">
        <v>18.06</v>
      </c>
      <c r="I42">
        <v>6821</v>
      </c>
      <c r="J42">
        <v>5899</v>
      </c>
      <c r="K42">
        <v>5571</v>
      </c>
      <c r="L42">
        <v>-27.73</v>
      </c>
      <c r="M42">
        <v>-10.47</v>
      </c>
      <c r="N42">
        <v>-4.33</v>
      </c>
      <c r="O42">
        <v>14.81</v>
      </c>
      <c r="P42" t="b">
        <v>1</v>
      </c>
      <c r="Q42">
        <v>0</v>
      </c>
      <c r="R42">
        <v>817</v>
      </c>
      <c r="U42" t="s">
        <v>718</v>
      </c>
      <c r="V42" t="s">
        <v>1039</v>
      </c>
      <c r="W42">
        <v>0</v>
      </c>
      <c r="Y42" t="s">
        <v>1357</v>
      </c>
      <c r="Z42">
        <v>0</v>
      </c>
      <c r="AA42">
        <v>3682</v>
      </c>
      <c r="AB42">
        <v>676180</v>
      </c>
      <c r="AC42" t="s">
        <v>1661</v>
      </c>
      <c r="AD42">
        <v>17.67</v>
      </c>
      <c r="AE42" t="s">
        <v>1982</v>
      </c>
      <c r="AF42" t="s">
        <v>2303</v>
      </c>
      <c r="AG42">
        <v>2856</v>
      </c>
      <c r="AH42">
        <v>160</v>
      </c>
      <c r="AI42">
        <v>2156045</v>
      </c>
      <c r="AK42" t="b">
        <v>1</v>
      </c>
    </row>
    <row r="43" spans="1:37">
      <c r="A43" s="1" t="s">
        <v>77</v>
      </c>
      <c r="B43" t="s">
        <v>398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3555</v>
      </c>
      <c r="G43">
        <v>0</v>
      </c>
      <c r="H43">
        <v>6.43</v>
      </c>
      <c r="I43">
        <v>7318</v>
      </c>
      <c r="J43">
        <v>5152</v>
      </c>
      <c r="K43">
        <v>4383</v>
      </c>
      <c r="L43">
        <v>-105.84</v>
      </c>
      <c r="M43">
        <v>-44.93</v>
      </c>
      <c r="N43">
        <v>-23.3</v>
      </c>
      <c r="O43">
        <v>25.06</v>
      </c>
      <c r="P43" t="b">
        <v>0</v>
      </c>
      <c r="Q43">
        <v>0</v>
      </c>
      <c r="R43">
        <v>797</v>
      </c>
      <c r="U43" t="s">
        <v>719</v>
      </c>
      <c r="V43" t="s">
        <v>1040</v>
      </c>
      <c r="W43">
        <v>0</v>
      </c>
      <c r="Y43" t="s">
        <v>1321</v>
      </c>
      <c r="Z43">
        <v>0</v>
      </c>
      <c r="AA43">
        <v>3555</v>
      </c>
      <c r="AB43">
        <v>5204919</v>
      </c>
      <c r="AC43" t="s">
        <v>1662</v>
      </c>
      <c r="AD43">
        <v>52</v>
      </c>
      <c r="AE43" t="s">
        <v>1983</v>
      </c>
      <c r="AF43" t="s">
        <v>2304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399</v>
      </c>
      <c r="C44">
        <f>HYPERLINK("https://finance.naver.com/item/coinfo.nhn?code=290120", "A290120")</f>
        <v>0</v>
      </c>
      <c r="D44">
        <f>HYPERLINK("http://comp.fnguide.com/SVO2/ASP/SVD_Consensus.asp?pGB=1&amp;gicode=A290120&amp;cID=&amp;MenuYn=Y&amp;ReportGB=&amp;NewMenuID=108&amp;stkGb=701", "대유에이피")</f>
        <v>0</v>
      </c>
      <c r="E44">
        <v>3</v>
      </c>
      <c r="F44">
        <v>5690</v>
      </c>
      <c r="G44">
        <v>0</v>
      </c>
      <c r="H44">
        <v>8.1</v>
      </c>
      <c r="I44">
        <v>7196</v>
      </c>
      <c r="J44">
        <v>6347</v>
      </c>
      <c r="K44">
        <v>6045</v>
      </c>
      <c r="L44">
        <v>-26.47</v>
      </c>
      <c r="M44">
        <v>-11.54</v>
      </c>
      <c r="N44">
        <v>-6.23</v>
      </c>
      <c r="O44">
        <v>14.19</v>
      </c>
      <c r="P44" t="b">
        <v>1</v>
      </c>
      <c r="Q44">
        <v>0</v>
      </c>
      <c r="R44">
        <v>736</v>
      </c>
      <c r="U44" t="s">
        <v>720</v>
      </c>
      <c r="V44" t="s">
        <v>1041</v>
      </c>
      <c r="W44">
        <v>0</v>
      </c>
      <c r="X44">
        <v>628.9</v>
      </c>
      <c r="Y44" t="s">
        <v>1358</v>
      </c>
      <c r="Z44">
        <v>45.79603568560342</v>
      </c>
      <c r="AA44">
        <v>666</v>
      </c>
      <c r="AB44">
        <v>6164</v>
      </c>
      <c r="AC44" t="s">
        <v>1663</v>
      </c>
      <c r="AD44">
        <v>68.34999999999999</v>
      </c>
      <c r="AE44" t="s">
        <v>1984</v>
      </c>
      <c r="AF44" t="s">
        <v>2305</v>
      </c>
      <c r="AG44">
        <v>1790</v>
      </c>
      <c r="AH44">
        <v>114</v>
      </c>
      <c r="AJ44">
        <v>3.36</v>
      </c>
      <c r="AK44" t="b">
        <v>1</v>
      </c>
    </row>
    <row r="45" spans="1:37">
      <c r="A45" s="1" t="s">
        <v>79</v>
      </c>
      <c r="B45" t="s">
        <v>400</v>
      </c>
      <c r="C45">
        <f>HYPERLINK("https://finance.naver.com/item/coinfo.nhn?code=023910", "A023910")</f>
        <v>0</v>
      </c>
      <c r="D45">
        <f>HYPERLINK("http://comp.fnguide.com/SVO2/ASP/SVD_Consensus.asp?pGB=1&amp;gicode=A023910&amp;cID=&amp;MenuYn=Y&amp;ReportGB=&amp;NewMenuID=108&amp;stkGb=701", "대한약품")</f>
        <v>0</v>
      </c>
      <c r="E45">
        <v>3</v>
      </c>
      <c r="F45">
        <v>29650</v>
      </c>
      <c r="G45">
        <v>0</v>
      </c>
      <c r="H45">
        <v>7.6</v>
      </c>
      <c r="I45">
        <v>38418</v>
      </c>
      <c r="J45">
        <v>36343</v>
      </c>
      <c r="K45">
        <v>35606</v>
      </c>
      <c r="L45">
        <v>-29.57</v>
      </c>
      <c r="M45">
        <v>-22.57</v>
      </c>
      <c r="N45">
        <v>-20.09</v>
      </c>
      <c r="O45">
        <v>12.28</v>
      </c>
      <c r="P45" t="b">
        <v>1</v>
      </c>
      <c r="Q45">
        <v>0</v>
      </c>
      <c r="R45">
        <v>3778</v>
      </c>
      <c r="U45" t="s">
        <v>721</v>
      </c>
      <c r="V45" t="s">
        <v>1042</v>
      </c>
      <c r="W45">
        <v>0</v>
      </c>
      <c r="X45">
        <v>19.9</v>
      </c>
      <c r="Y45" t="s">
        <v>1359</v>
      </c>
      <c r="Z45">
        <v>1.816028867444985</v>
      </c>
      <c r="AA45">
        <v>1779</v>
      </c>
      <c r="AB45">
        <v>649</v>
      </c>
      <c r="AC45" t="s">
        <v>1664</v>
      </c>
      <c r="AD45">
        <v>35.32</v>
      </c>
      <c r="AE45" t="s">
        <v>1985</v>
      </c>
      <c r="AF45" t="s">
        <v>2306</v>
      </c>
      <c r="AG45">
        <v>1715</v>
      </c>
      <c r="AH45">
        <v>291</v>
      </c>
      <c r="AI45">
        <v>120000</v>
      </c>
      <c r="AJ45">
        <v>1.39</v>
      </c>
      <c r="AK45" t="b">
        <v>1</v>
      </c>
    </row>
    <row r="46" spans="1:37">
      <c r="A46" s="1" t="s">
        <v>80</v>
      </c>
      <c r="B46" t="s">
        <v>401</v>
      </c>
      <c r="C46">
        <f>HYPERLINK("https://finance.naver.com/item/coinfo.nhn?code=067990", "A067990")</f>
        <v>0</v>
      </c>
      <c r="D46">
        <f>HYPERLINK("http://comp.fnguide.com/SVO2/ASP/SVD_Consensus.asp?pGB=1&amp;gicode=A067990&amp;cID=&amp;MenuYn=Y&amp;ReportGB=&amp;NewMenuID=108&amp;stkGb=701", "도이치모터스")</f>
        <v>0</v>
      </c>
      <c r="E46">
        <v>3</v>
      </c>
      <c r="F46">
        <v>5950</v>
      </c>
      <c r="G46">
        <v>-0.37</v>
      </c>
      <c r="H46">
        <v>6.48</v>
      </c>
      <c r="I46">
        <v>11066</v>
      </c>
      <c r="J46">
        <v>10580</v>
      </c>
      <c r="K46">
        <v>10408</v>
      </c>
      <c r="L46">
        <v>-85.98</v>
      </c>
      <c r="M46">
        <v>-77.81999999999999</v>
      </c>
      <c r="N46">
        <v>-74.92</v>
      </c>
      <c r="O46">
        <v>12.02</v>
      </c>
      <c r="P46" t="b">
        <v>1</v>
      </c>
      <c r="Q46">
        <v>0</v>
      </c>
      <c r="R46">
        <v>1175</v>
      </c>
      <c r="S46">
        <v>1107</v>
      </c>
      <c r="T46">
        <v>-5.8</v>
      </c>
      <c r="U46" t="s">
        <v>722</v>
      </c>
      <c r="V46" t="s">
        <v>1043</v>
      </c>
      <c r="W46">
        <v>-17.34807322869106</v>
      </c>
      <c r="X46">
        <v>-0.1</v>
      </c>
      <c r="Y46" t="s">
        <v>1360</v>
      </c>
      <c r="Z46">
        <v>53.48783277126754</v>
      </c>
      <c r="AA46">
        <v>1897</v>
      </c>
      <c r="AB46">
        <v>80493</v>
      </c>
      <c r="AC46" t="s">
        <v>1665</v>
      </c>
      <c r="AD46">
        <v>32.98</v>
      </c>
      <c r="AE46" t="s">
        <v>1986</v>
      </c>
      <c r="AF46" t="s">
        <v>2307</v>
      </c>
      <c r="AG46">
        <v>17033</v>
      </c>
      <c r="AH46">
        <v>564</v>
      </c>
      <c r="AI46">
        <v>1002492</v>
      </c>
      <c r="AJ46">
        <v>4.6</v>
      </c>
      <c r="AK46" t="b">
        <v>1</v>
      </c>
    </row>
    <row r="47" spans="1:37">
      <c r="A47" s="1" t="s">
        <v>81</v>
      </c>
      <c r="B47" t="s">
        <v>402</v>
      </c>
      <c r="C47">
        <f>HYPERLINK("https://finance.naver.com/item/coinfo.nhn?code=060380", "A060380")</f>
        <v>0</v>
      </c>
      <c r="D47">
        <f>HYPERLINK("http://comp.fnguide.com/SVO2/ASP/SVD_Consensus.asp?pGB=1&amp;gicode=A060380&amp;cID=&amp;MenuYn=Y&amp;ReportGB=&amp;NewMenuID=108&amp;stkGb=701", "동양에스텍")</f>
        <v>0</v>
      </c>
      <c r="E47">
        <v>3</v>
      </c>
      <c r="F47">
        <v>2105</v>
      </c>
      <c r="G47">
        <v>0</v>
      </c>
      <c r="H47">
        <v>3.8</v>
      </c>
      <c r="I47">
        <v>6146</v>
      </c>
      <c r="J47">
        <v>4884</v>
      </c>
      <c r="K47">
        <v>4436</v>
      </c>
      <c r="L47">
        <v>-191.97</v>
      </c>
      <c r="M47">
        <v>-132.02</v>
      </c>
      <c r="N47">
        <v>-110.72</v>
      </c>
      <c r="O47">
        <v>18.03</v>
      </c>
      <c r="P47" t="b">
        <v>1</v>
      </c>
      <c r="Q47">
        <v>0</v>
      </c>
      <c r="R47">
        <v>918</v>
      </c>
      <c r="U47" t="s">
        <v>723</v>
      </c>
      <c r="V47" t="s">
        <v>1044</v>
      </c>
      <c r="W47">
        <v>0</v>
      </c>
      <c r="X47">
        <v>-83</v>
      </c>
      <c r="Y47" t="s">
        <v>1361</v>
      </c>
      <c r="Z47">
        <v>0</v>
      </c>
      <c r="AA47">
        <v>415</v>
      </c>
      <c r="AB47">
        <v>43662</v>
      </c>
      <c r="AC47" t="s">
        <v>1666</v>
      </c>
      <c r="AD47">
        <v>55.03</v>
      </c>
      <c r="AE47" t="s">
        <v>1987</v>
      </c>
      <c r="AF47" t="s">
        <v>2308</v>
      </c>
      <c r="AG47">
        <v>2424</v>
      </c>
      <c r="AH47">
        <v>228</v>
      </c>
      <c r="AI47">
        <v>400000</v>
      </c>
      <c r="AJ47">
        <v>1.43</v>
      </c>
      <c r="AK47" t="b">
        <v>1</v>
      </c>
    </row>
    <row r="48" spans="1:37">
      <c r="A48" s="1" t="s">
        <v>82</v>
      </c>
      <c r="B48" t="s">
        <v>403</v>
      </c>
      <c r="C48">
        <f>HYPERLINK("https://finance.naver.com/item/coinfo.nhn?code=013120", "A013120")</f>
        <v>0</v>
      </c>
      <c r="D48">
        <f>HYPERLINK("http://comp.fnguide.com/SVO2/ASP/SVD_Consensus.asp?pGB=1&amp;gicode=A013120&amp;cID=&amp;MenuYn=Y&amp;ReportGB=&amp;NewMenuID=108&amp;stkGb=701", "동원개발")</f>
        <v>0</v>
      </c>
      <c r="E48">
        <v>3</v>
      </c>
      <c r="F48">
        <v>3440</v>
      </c>
      <c r="G48">
        <v>0</v>
      </c>
      <c r="H48">
        <v>6.68</v>
      </c>
      <c r="I48">
        <v>11073</v>
      </c>
      <c r="J48">
        <v>10788</v>
      </c>
      <c r="K48">
        <v>10687</v>
      </c>
      <c r="L48">
        <v>-221.9</v>
      </c>
      <c r="M48">
        <v>-213.61</v>
      </c>
      <c r="N48">
        <v>-210.66</v>
      </c>
      <c r="O48">
        <v>11.59</v>
      </c>
      <c r="P48" t="b">
        <v>1</v>
      </c>
      <c r="Q48">
        <v>0</v>
      </c>
      <c r="R48">
        <v>799</v>
      </c>
      <c r="U48" t="s">
        <v>724</v>
      </c>
      <c r="V48" t="s">
        <v>1045</v>
      </c>
      <c r="W48">
        <v>0</v>
      </c>
      <c r="X48">
        <v>-2.5</v>
      </c>
      <c r="Y48" t="s">
        <v>1362</v>
      </c>
      <c r="Z48">
        <v>-6.769742936640899</v>
      </c>
      <c r="AA48">
        <v>3124</v>
      </c>
      <c r="AB48">
        <v>39118</v>
      </c>
      <c r="AC48" t="s">
        <v>1667</v>
      </c>
      <c r="AD48">
        <v>61.98</v>
      </c>
      <c r="AE48" t="s">
        <v>1988</v>
      </c>
      <c r="AF48" t="s">
        <v>2309</v>
      </c>
      <c r="AG48">
        <v>4174</v>
      </c>
      <c r="AH48">
        <v>973</v>
      </c>
      <c r="AJ48">
        <v>2.81</v>
      </c>
      <c r="AK48" t="b">
        <v>1</v>
      </c>
    </row>
    <row r="49" spans="1:37">
      <c r="A49" s="1" t="s">
        <v>83</v>
      </c>
      <c r="B49" t="s">
        <v>404</v>
      </c>
      <c r="C49">
        <f>HYPERLINK("https://finance.naver.com/item/coinfo.nhn?code=187870", "A187870")</f>
        <v>0</v>
      </c>
      <c r="D49">
        <f>HYPERLINK("http://comp.fnguide.com/SVO2/ASP/SVD_Consensus.asp?pGB=1&amp;gicode=A187870&amp;cID=&amp;MenuYn=Y&amp;ReportGB=&amp;NewMenuID=108&amp;stkGb=701", "디바이스이엔지")</f>
        <v>0</v>
      </c>
      <c r="E49">
        <v>3</v>
      </c>
      <c r="F49">
        <v>14700</v>
      </c>
      <c r="G49">
        <v>0</v>
      </c>
      <c r="H49">
        <v>6.76</v>
      </c>
      <c r="I49">
        <v>47033</v>
      </c>
      <c r="J49">
        <v>32142</v>
      </c>
      <c r="K49">
        <v>26852</v>
      </c>
      <c r="L49">
        <v>-219.95</v>
      </c>
      <c r="M49">
        <v>-118.66</v>
      </c>
      <c r="N49">
        <v>-82.67</v>
      </c>
      <c r="O49">
        <v>27.51</v>
      </c>
      <c r="P49" t="b">
        <v>1</v>
      </c>
      <c r="Q49">
        <v>0</v>
      </c>
      <c r="R49">
        <v>4470</v>
      </c>
      <c r="U49" t="s">
        <v>725</v>
      </c>
      <c r="V49" t="s">
        <v>1046</v>
      </c>
      <c r="W49">
        <v>0</v>
      </c>
      <c r="X49">
        <v>-60</v>
      </c>
      <c r="Y49" t="s">
        <v>1363</v>
      </c>
      <c r="Z49">
        <v>6.29215129592644</v>
      </c>
      <c r="AA49">
        <v>1034</v>
      </c>
      <c r="AB49">
        <v>4197</v>
      </c>
      <c r="AC49" t="s">
        <v>1668</v>
      </c>
      <c r="AD49">
        <v>33.46</v>
      </c>
      <c r="AE49" t="s">
        <v>1989</v>
      </c>
      <c r="AF49" t="s">
        <v>2310</v>
      </c>
      <c r="AG49">
        <v>1251</v>
      </c>
      <c r="AH49">
        <v>358</v>
      </c>
      <c r="AI49">
        <v>168057</v>
      </c>
      <c r="AJ49">
        <v>1.49</v>
      </c>
      <c r="AK49" t="b">
        <v>1</v>
      </c>
    </row>
    <row r="50" spans="1:37">
      <c r="A50" s="1" t="s">
        <v>84</v>
      </c>
      <c r="B50" t="s">
        <v>405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9600</v>
      </c>
      <c r="G50">
        <v>0</v>
      </c>
      <c r="H50">
        <v>11.73</v>
      </c>
      <c r="I50">
        <v>22456</v>
      </c>
      <c r="J50">
        <v>15102</v>
      </c>
      <c r="K50">
        <v>12489</v>
      </c>
      <c r="L50">
        <v>-133.91</v>
      </c>
      <c r="M50">
        <v>-57.31</v>
      </c>
      <c r="N50">
        <v>-30.1</v>
      </c>
      <c r="O50">
        <v>29</v>
      </c>
      <c r="P50" t="b">
        <v>1</v>
      </c>
      <c r="Q50">
        <v>0</v>
      </c>
      <c r="R50">
        <v>1224</v>
      </c>
      <c r="U50" t="s">
        <v>726</v>
      </c>
      <c r="V50" t="s">
        <v>1047</v>
      </c>
      <c r="W50">
        <v>0</v>
      </c>
      <c r="X50">
        <v>-28.4</v>
      </c>
      <c r="Y50" t="s">
        <v>1364</v>
      </c>
      <c r="Z50">
        <v>0</v>
      </c>
      <c r="AA50">
        <v>1664</v>
      </c>
      <c r="AB50">
        <v>640176</v>
      </c>
      <c r="AC50" t="s">
        <v>1669</v>
      </c>
      <c r="AD50">
        <v>30.39</v>
      </c>
      <c r="AE50" t="s">
        <v>1990</v>
      </c>
      <c r="AF50" t="s">
        <v>2311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406</v>
      </c>
      <c r="C51">
        <f>HYPERLINK("https://finance.naver.com/item/coinfo.nhn?code=037460", "A037460")</f>
        <v>0</v>
      </c>
      <c r="D51">
        <f>HYPERLINK("http://comp.fnguide.com/SVO2/ASP/SVD_Consensus.asp?pGB=1&amp;gicode=A037460&amp;cID=&amp;MenuYn=Y&amp;ReportGB=&amp;NewMenuID=108&amp;stkGb=701", "삼지전자")</f>
        <v>0</v>
      </c>
      <c r="E51">
        <v>3</v>
      </c>
      <c r="F51">
        <v>8550</v>
      </c>
      <c r="G51">
        <v>0</v>
      </c>
      <c r="H51">
        <v>6.54</v>
      </c>
      <c r="I51">
        <v>18568</v>
      </c>
      <c r="J51">
        <v>17992</v>
      </c>
      <c r="K51">
        <v>17787</v>
      </c>
      <c r="L51">
        <v>-117.17</v>
      </c>
      <c r="M51">
        <v>-110.43</v>
      </c>
      <c r="N51">
        <v>-108.03</v>
      </c>
      <c r="O51">
        <v>11.71</v>
      </c>
      <c r="P51" t="b">
        <v>1</v>
      </c>
      <c r="Q51">
        <v>0</v>
      </c>
      <c r="R51">
        <v>1874</v>
      </c>
      <c r="U51" t="s">
        <v>727</v>
      </c>
      <c r="V51" t="s">
        <v>1048</v>
      </c>
      <c r="W51">
        <v>0</v>
      </c>
      <c r="X51">
        <v>-7.5</v>
      </c>
      <c r="Y51" t="s">
        <v>1365</v>
      </c>
      <c r="Z51">
        <v>0.8544260075166177</v>
      </c>
      <c r="AA51">
        <v>1395</v>
      </c>
      <c r="AB51">
        <v>9967</v>
      </c>
      <c r="AC51" t="s">
        <v>1670</v>
      </c>
      <c r="AD51">
        <v>46.12</v>
      </c>
      <c r="AE51" t="s">
        <v>1991</v>
      </c>
      <c r="AF51" t="s">
        <v>2312</v>
      </c>
      <c r="AG51">
        <v>25000</v>
      </c>
      <c r="AH51">
        <v>931</v>
      </c>
      <c r="AI51">
        <v>966610</v>
      </c>
      <c r="AJ51">
        <v>3.27</v>
      </c>
      <c r="AK51" t="b">
        <v>1</v>
      </c>
    </row>
    <row r="52" spans="1:37">
      <c r="A52" s="1" t="s">
        <v>86</v>
      </c>
      <c r="B52" t="s">
        <v>407</v>
      </c>
      <c r="C52">
        <f>HYPERLINK("https://finance.naver.com/item/coinfo.nhn?code=042500", "A042500")</f>
        <v>0</v>
      </c>
      <c r="D52">
        <f>HYPERLINK("http://comp.fnguide.com/SVO2/ASP/SVD_Consensus.asp?pGB=1&amp;gicode=A042500&amp;cID=&amp;MenuYn=Y&amp;ReportGB=&amp;NewMenuID=108&amp;stkGb=701", "링네트")</f>
        <v>0</v>
      </c>
      <c r="E52">
        <v>3</v>
      </c>
      <c r="F52">
        <v>4350</v>
      </c>
      <c r="G52">
        <v>0</v>
      </c>
      <c r="H52">
        <v>11.85</v>
      </c>
      <c r="I52">
        <v>6697</v>
      </c>
      <c r="J52">
        <v>6367</v>
      </c>
      <c r="K52">
        <v>6249</v>
      </c>
      <c r="L52">
        <v>-53.96</v>
      </c>
      <c r="M52">
        <v>-46.36</v>
      </c>
      <c r="N52">
        <v>-43.67</v>
      </c>
      <c r="O52">
        <v>12.15</v>
      </c>
      <c r="P52" t="b">
        <v>1</v>
      </c>
      <c r="Q52">
        <v>0</v>
      </c>
      <c r="R52">
        <v>565</v>
      </c>
      <c r="U52" t="s">
        <v>728</v>
      </c>
      <c r="V52" t="s">
        <v>1049</v>
      </c>
      <c r="W52">
        <v>0</v>
      </c>
      <c r="X52">
        <v>-23.6</v>
      </c>
      <c r="Y52" t="s">
        <v>1366</v>
      </c>
      <c r="Z52">
        <v>6.360688049123775</v>
      </c>
      <c r="AA52">
        <v>668</v>
      </c>
      <c r="AB52">
        <v>81235</v>
      </c>
      <c r="AC52" t="s">
        <v>1671</v>
      </c>
      <c r="AD52">
        <v>26.45</v>
      </c>
      <c r="AE52" t="s">
        <v>1992</v>
      </c>
      <c r="AF52" t="s">
        <v>2313</v>
      </c>
      <c r="AG52">
        <v>2148</v>
      </c>
      <c r="AH52">
        <v>106</v>
      </c>
      <c r="AI52">
        <v>3070406</v>
      </c>
      <c r="AK52" t="b">
        <v>1</v>
      </c>
    </row>
    <row r="53" spans="1:37">
      <c r="A53" s="1" t="s">
        <v>87</v>
      </c>
      <c r="B53" t="s">
        <v>408</v>
      </c>
      <c r="C53">
        <f>HYPERLINK("https://finance.naver.com/item/coinfo.nhn?code=147760", "A147760")</f>
        <v>0</v>
      </c>
      <c r="D53">
        <f>HYPERLINK("http://comp.fnguide.com/SVO2/ASP/SVD_Consensus.asp?pGB=1&amp;gicode=A147760&amp;cID=&amp;MenuYn=Y&amp;ReportGB=&amp;NewMenuID=108&amp;stkGb=701", "마이크로프랜드")</f>
        <v>0</v>
      </c>
      <c r="E53">
        <v>3</v>
      </c>
      <c r="F53">
        <v>5110</v>
      </c>
      <c r="G53">
        <v>0</v>
      </c>
      <c r="H53">
        <v>12.28</v>
      </c>
      <c r="I53">
        <v>5803</v>
      </c>
      <c r="J53">
        <v>5457</v>
      </c>
      <c r="K53">
        <v>5334</v>
      </c>
      <c r="L53">
        <v>-13.56</v>
      </c>
      <c r="M53">
        <v>-6.79</v>
      </c>
      <c r="N53">
        <v>-4.38</v>
      </c>
      <c r="O53">
        <v>12.42</v>
      </c>
      <c r="P53" t="b">
        <v>1</v>
      </c>
      <c r="Q53">
        <v>0</v>
      </c>
      <c r="R53">
        <v>726</v>
      </c>
      <c r="U53" t="s">
        <v>729</v>
      </c>
      <c r="V53" t="s">
        <v>1050</v>
      </c>
      <c r="W53">
        <v>0</v>
      </c>
      <c r="Y53" t="s">
        <v>1367</v>
      </c>
      <c r="Z53">
        <v>0</v>
      </c>
      <c r="AA53">
        <v>553</v>
      </c>
      <c r="AB53">
        <v>54925</v>
      </c>
      <c r="AC53" t="s">
        <v>1672</v>
      </c>
      <c r="AD53">
        <v>41.76</v>
      </c>
      <c r="AE53" t="s">
        <v>1993</v>
      </c>
      <c r="AF53" t="s">
        <v>2314</v>
      </c>
      <c r="AG53">
        <v>605</v>
      </c>
      <c r="AH53">
        <v>102</v>
      </c>
      <c r="AK53" t="b">
        <v>1</v>
      </c>
    </row>
    <row r="54" spans="1:37">
      <c r="A54" s="1" t="s">
        <v>88</v>
      </c>
      <c r="B54" t="s">
        <v>409</v>
      </c>
      <c r="C54">
        <f>HYPERLINK("https://finance.naver.com/item/coinfo.nhn?code=038290", "A038290")</f>
        <v>0</v>
      </c>
      <c r="D54">
        <f>HYPERLINK("http://comp.fnguide.com/SVO2/ASP/SVD_Consensus.asp?pGB=1&amp;gicode=A038290&amp;cID=&amp;MenuYn=Y&amp;ReportGB=&amp;NewMenuID=108&amp;stkGb=701", "마크로젠")</f>
        <v>0</v>
      </c>
      <c r="E54">
        <v>3</v>
      </c>
      <c r="F54">
        <v>20650</v>
      </c>
      <c r="G54">
        <v>0</v>
      </c>
      <c r="H54">
        <v>287.65</v>
      </c>
      <c r="I54">
        <v>34787</v>
      </c>
      <c r="J54">
        <v>26966</v>
      </c>
      <c r="K54">
        <v>24188</v>
      </c>
      <c r="L54">
        <v>-68.45999999999999</v>
      </c>
      <c r="M54">
        <v>-30.59</v>
      </c>
      <c r="N54">
        <v>-17.13</v>
      </c>
      <c r="O54">
        <v>19.19</v>
      </c>
      <c r="P54" t="b">
        <v>0</v>
      </c>
      <c r="Q54">
        <v>0</v>
      </c>
      <c r="R54">
        <v>103</v>
      </c>
      <c r="U54" t="s">
        <v>730</v>
      </c>
      <c r="V54" t="s">
        <v>1051</v>
      </c>
      <c r="W54">
        <v>0</v>
      </c>
      <c r="Y54" t="s">
        <v>1368</v>
      </c>
      <c r="Z54">
        <v>0</v>
      </c>
      <c r="AA54">
        <v>2239</v>
      </c>
      <c r="AB54">
        <v>15935</v>
      </c>
      <c r="AC54" t="s">
        <v>1673</v>
      </c>
      <c r="AD54">
        <v>11.33</v>
      </c>
      <c r="AE54" t="s">
        <v>1994</v>
      </c>
      <c r="AF54" t="s">
        <v>2315</v>
      </c>
      <c r="AG54">
        <v>1292</v>
      </c>
      <c r="AH54">
        <v>118</v>
      </c>
      <c r="AI54">
        <v>801343</v>
      </c>
      <c r="AJ54">
        <v>1.02</v>
      </c>
      <c r="AK54" t="b">
        <v>1</v>
      </c>
    </row>
    <row r="55" spans="1:37">
      <c r="A55" s="1" t="s">
        <v>89</v>
      </c>
      <c r="B55" t="s">
        <v>410</v>
      </c>
      <c r="C55">
        <f>HYPERLINK("https://finance.naver.com/item/coinfo.nhn?code=267980", "A267980")</f>
        <v>0</v>
      </c>
      <c r="D55">
        <f>HYPERLINK("http://comp.fnguide.com/SVO2/ASP/SVD_Consensus.asp?pGB=1&amp;gicode=A267980&amp;cID=&amp;MenuYn=Y&amp;ReportGB=&amp;NewMenuID=108&amp;stkGb=701", "매일유업")</f>
        <v>0</v>
      </c>
      <c r="E55">
        <v>3</v>
      </c>
      <c r="F55">
        <v>50700</v>
      </c>
      <c r="G55">
        <v>-0.3</v>
      </c>
      <c r="H55">
        <v>7.26</v>
      </c>
      <c r="I55">
        <v>96303</v>
      </c>
      <c r="J55">
        <v>81995</v>
      </c>
      <c r="K55">
        <v>76912</v>
      </c>
      <c r="L55">
        <v>-89.95</v>
      </c>
      <c r="M55">
        <v>-61.73</v>
      </c>
      <c r="N55">
        <v>-51.7</v>
      </c>
      <c r="O55">
        <v>15.33</v>
      </c>
      <c r="P55" t="b">
        <v>1</v>
      </c>
      <c r="Q55">
        <v>0</v>
      </c>
      <c r="R55">
        <v>9466</v>
      </c>
      <c r="S55">
        <v>3557</v>
      </c>
      <c r="T55">
        <v>-62.4</v>
      </c>
      <c r="U55" t="s">
        <v>731</v>
      </c>
      <c r="V55" t="s">
        <v>1052</v>
      </c>
      <c r="W55">
        <v>-24.29279042481955</v>
      </c>
      <c r="X55">
        <v>-83.7</v>
      </c>
      <c r="Y55" t="s">
        <v>1369</v>
      </c>
      <c r="Z55">
        <v>-20.00597229108997</v>
      </c>
      <c r="AA55">
        <v>3977</v>
      </c>
      <c r="AB55">
        <v>6522</v>
      </c>
      <c r="AC55" t="s">
        <v>1674</v>
      </c>
      <c r="AD55">
        <v>56.51</v>
      </c>
      <c r="AE55" t="s">
        <v>1995</v>
      </c>
      <c r="AF55" t="s">
        <v>2316</v>
      </c>
      <c r="AG55">
        <v>15519</v>
      </c>
      <c r="AH55">
        <v>878</v>
      </c>
      <c r="AI55">
        <v>658519</v>
      </c>
      <c r="AJ55">
        <v>1.75</v>
      </c>
      <c r="AK55" t="b">
        <v>1</v>
      </c>
    </row>
    <row r="56" spans="1:37">
      <c r="A56" s="1" t="s">
        <v>90</v>
      </c>
      <c r="B56" t="s">
        <v>411</v>
      </c>
      <c r="C56">
        <f>HYPERLINK("https://finance.naver.com/item/coinfo.nhn?code=093520", "A093520")</f>
        <v>0</v>
      </c>
      <c r="D56">
        <f>HYPERLINK("http://comp.fnguide.com/SVO2/ASP/SVD_Consensus.asp?pGB=1&amp;gicode=A093520&amp;cID=&amp;MenuYn=Y&amp;ReportGB=&amp;NewMenuID=108&amp;stkGb=701", "매커스")</f>
        <v>0</v>
      </c>
      <c r="E56">
        <v>3</v>
      </c>
      <c r="F56">
        <v>8690</v>
      </c>
      <c r="G56">
        <v>0.08</v>
      </c>
      <c r="H56">
        <v>5.2</v>
      </c>
      <c r="I56">
        <v>15997</v>
      </c>
      <c r="J56">
        <v>11316</v>
      </c>
      <c r="K56">
        <v>9654</v>
      </c>
      <c r="L56">
        <v>-84.08</v>
      </c>
      <c r="M56">
        <v>-30.22</v>
      </c>
      <c r="N56">
        <v>-11.09</v>
      </c>
      <c r="O56">
        <v>24.7</v>
      </c>
      <c r="P56" t="b">
        <v>1</v>
      </c>
      <c r="Q56">
        <v>0</v>
      </c>
      <c r="R56">
        <v>1545</v>
      </c>
      <c r="S56">
        <v>1346</v>
      </c>
      <c r="T56">
        <v>-12.9</v>
      </c>
      <c r="U56" t="s">
        <v>732</v>
      </c>
      <c r="V56" t="s">
        <v>1053</v>
      </c>
      <c r="W56">
        <v>65.67769663606732</v>
      </c>
      <c r="X56">
        <v>18.9</v>
      </c>
      <c r="Y56" t="s">
        <v>1370</v>
      </c>
      <c r="Z56">
        <v>26.53067687528363</v>
      </c>
      <c r="AA56">
        <v>1405</v>
      </c>
      <c r="AB56">
        <v>44345</v>
      </c>
      <c r="AC56" t="s">
        <v>1675</v>
      </c>
      <c r="AD56">
        <v>15.93</v>
      </c>
      <c r="AE56" t="s">
        <v>1996</v>
      </c>
      <c r="AF56" t="s">
        <v>2317</v>
      </c>
      <c r="AG56">
        <v>1407</v>
      </c>
      <c r="AH56">
        <v>260</v>
      </c>
      <c r="AI56">
        <v>4993545</v>
      </c>
      <c r="AJ56">
        <v>1.49</v>
      </c>
      <c r="AK56" t="b">
        <v>1</v>
      </c>
    </row>
    <row r="57" spans="1:37">
      <c r="A57" s="1" t="s">
        <v>91</v>
      </c>
      <c r="B57" t="s">
        <v>412</v>
      </c>
      <c r="C57">
        <f>HYPERLINK("https://finance.naver.com/item/coinfo.nhn?code=016610", "A016610")</f>
        <v>0</v>
      </c>
      <c r="D57">
        <f>HYPERLINK("http://comp.fnguide.com/SVO2/ASP/SVD_Consensus.asp?pGB=1&amp;gicode=A016610&amp;cID=&amp;MenuYn=Y&amp;ReportGB=&amp;NewMenuID=108&amp;stkGb=701", "DB금융투자")</f>
        <v>0</v>
      </c>
      <c r="E57">
        <v>3</v>
      </c>
      <c r="F57">
        <v>4260</v>
      </c>
      <c r="G57">
        <v>0</v>
      </c>
      <c r="H57">
        <v>2.38</v>
      </c>
      <c r="I57">
        <v>25116</v>
      </c>
      <c r="J57">
        <v>23728</v>
      </c>
      <c r="K57">
        <v>23234</v>
      </c>
      <c r="L57">
        <v>-489.58</v>
      </c>
      <c r="M57">
        <v>-456.98</v>
      </c>
      <c r="N57">
        <v>-445.41</v>
      </c>
      <c r="O57">
        <v>12.31</v>
      </c>
      <c r="P57" t="b">
        <v>1</v>
      </c>
      <c r="Q57">
        <v>0</v>
      </c>
      <c r="R57">
        <v>2763</v>
      </c>
      <c r="U57" t="s">
        <v>733</v>
      </c>
      <c r="V57" t="s">
        <v>1054</v>
      </c>
      <c r="W57">
        <v>0</v>
      </c>
      <c r="X57">
        <v>1.6</v>
      </c>
      <c r="Y57" t="s">
        <v>1371</v>
      </c>
      <c r="Z57">
        <v>8.711263915758671</v>
      </c>
      <c r="AA57">
        <v>1808</v>
      </c>
      <c r="AB57">
        <v>43626</v>
      </c>
      <c r="AC57" t="s">
        <v>1676</v>
      </c>
      <c r="AD57">
        <v>33.66</v>
      </c>
      <c r="AE57" t="s">
        <v>1997</v>
      </c>
      <c r="AF57" t="s">
        <v>2318</v>
      </c>
      <c r="AG57">
        <v>4275</v>
      </c>
      <c r="AH57">
        <v>1696</v>
      </c>
      <c r="AI57">
        <v>1667500</v>
      </c>
      <c r="AJ57">
        <v>7.6</v>
      </c>
      <c r="AK57" t="b">
        <v>1</v>
      </c>
    </row>
    <row r="58" spans="1:37">
      <c r="A58" s="1" t="s">
        <v>92</v>
      </c>
      <c r="B58" t="s">
        <v>413</v>
      </c>
      <c r="C58">
        <f>HYPERLINK("https://finance.naver.com/item/coinfo.nhn?code=014100", "A014100")</f>
        <v>0</v>
      </c>
      <c r="D58">
        <f>HYPERLINK("http://comp.fnguide.com/SVO2/ASP/SVD_Consensus.asp?pGB=1&amp;gicode=A014100&amp;cID=&amp;MenuYn=Y&amp;ReportGB=&amp;NewMenuID=108&amp;stkGb=701", "메디앙스")</f>
        <v>0</v>
      </c>
      <c r="E58">
        <v>3</v>
      </c>
      <c r="F58">
        <v>3185</v>
      </c>
      <c r="G58">
        <v>0</v>
      </c>
      <c r="H58">
        <v>16.89</v>
      </c>
      <c r="I58">
        <v>9112</v>
      </c>
      <c r="J58">
        <v>8651</v>
      </c>
      <c r="K58">
        <v>8487</v>
      </c>
      <c r="L58">
        <v>-186.09</v>
      </c>
      <c r="M58">
        <v>-171.6</v>
      </c>
      <c r="N58">
        <v>-166.46</v>
      </c>
      <c r="O58">
        <v>12.19</v>
      </c>
      <c r="P58" t="b">
        <v>1</v>
      </c>
      <c r="Q58">
        <v>0</v>
      </c>
      <c r="R58">
        <v>370</v>
      </c>
      <c r="U58" t="s">
        <v>734</v>
      </c>
      <c r="V58" t="s">
        <v>1055</v>
      </c>
      <c r="W58">
        <v>0</v>
      </c>
      <c r="Y58" t="s">
        <v>1372</v>
      </c>
      <c r="Z58">
        <v>0</v>
      </c>
      <c r="AA58">
        <v>376</v>
      </c>
      <c r="AB58">
        <v>20411</v>
      </c>
      <c r="AC58" t="s">
        <v>1677</v>
      </c>
      <c r="AD58">
        <v>31.93</v>
      </c>
      <c r="AE58" t="s">
        <v>1998</v>
      </c>
      <c r="AF58" t="s">
        <v>2319</v>
      </c>
      <c r="AG58">
        <v>715</v>
      </c>
      <c r="AH58">
        <v>45</v>
      </c>
      <c r="AI58">
        <v>499287</v>
      </c>
      <c r="AK58" t="b">
        <v>1</v>
      </c>
    </row>
    <row r="59" spans="1:37">
      <c r="A59" s="1" t="s">
        <v>93</v>
      </c>
      <c r="B59" t="s">
        <v>414</v>
      </c>
      <c r="C59">
        <f>HYPERLINK("https://finance.naver.com/item/coinfo.nhn?code=058110", "A058110")</f>
        <v>0</v>
      </c>
      <c r="D59">
        <f>HYPERLINK("http://comp.fnguide.com/SVO2/ASP/SVD_Consensus.asp?pGB=1&amp;gicode=A058110&amp;cID=&amp;MenuYn=Y&amp;ReportGB=&amp;NewMenuID=108&amp;stkGb=701", "멕아이씨에스")</f>
        <v>0</v>
      </c>
      <c r="E59">
        <v>3</v>
      </c>
      <c r="F59">
        <v>6200</v>
      </c>
      <c r="G59">
        <v>0</v>
      </c>
      <c r="H59">
        <v>17.59</v>
      </c>
      <c r="I59">
        <v>19060</v>
      </c>
      <c r="J59">
        <v>11385</v>
      </c>
      <c r="K59">
        <v>8658</v>
      </c>
      <c r="L59">
        <v>-207.42</v>
      </c>
      <c r="M59">
        <v>-83.63</v>
      </c>
      <c r="N59">
        <v>-39.65</v>
      </c>
      <c r="O59">
        <v>46.38</v>
      </c>
      <c r="P59" t="b">
        <v>1</v>
      </c>
      <c r="Q59">
        <v>0</v>
      </c>
      <c r="R59">
        <v>603</v>
      </c>
      <c r="U59" t="s">
        <v>735</v>
      </c>
      <c r="V59" t="s">
        <v>1056</v>
      </c>
      <c r="W59">
        <v>0</v>
      </c>
      <c r="X59">
        <v>-88.90000000000001</v>
      </c>
      <c r="Y59" t="s">
        <v>1373</v>
      </c>
      <c r="Z59">
        <v>0</v>
      </c>
      <c r="AA59">
        <v>995</v>
      </c>
      <c r="AB59">
        <v>676361</v>
      </c>
      <c r="AC59" t="s">
        <v>1678</v>
      </c>
      <c r="AD59">
        <v>25.24</v>
      </c>
      <c r="AE59" t="s">
        <v>1999</v>
      </c>
      <c r="AF59" t="s">
        <v>2320</v>
      </c>
      <c r="AG59">
        <v>493</v>
      </c>
      <c r="AH59">
        <v>106</v>
      </c>
      <c r="AI59">
        <v>371000</v>
      </c>
      <c r="AJ59">
        <v>0.78</v>
      </c>
      <c r="AK59" t="b">
        <v>1</v>
      </c>
    </row>
    <row r="60" spans="1:37">
      <c r="A60" s="1" t="s">
        <v>94</v>
      </c>
      <c r="B60" t="s">
        <v>415</v>
      </c>
      <c r="C60">
        <f>HYPERLINK("https://finance.naver.com/item/coinfo.nhn?code=100790", "A100790")</f>
        <v>0</v>
      </c>
      <c r="D60">
        <f>HYPERLINK("http://comp.fnguide.com/SVO2/ASP/SVD_Consensus.asp?pGB=1&amp;gicode=A100790&amp;cID=&amp;MenuYn=Y&amp;ReportGB=&amp;NewMenuID=108&amp;stkGb=701", "미래에셋벤처투자")</f>
        <v>0</v>
      </c>
      <c r="E60">
        <v>3</v>
      </c>
      <c r="F60">
        <v>4390</v>
      </c>
      <c r="G60">
        <v>0</v>
      </c>
      <c r="H60">
        <v>4.86</v>
      </c>
      <c r="I60">
        <v>12363</v>
      </c>
      <c r="J60">
        <v>8542</v>
      </c>
      <c r="K60">
        <v>7184</v>
      </c>
      <c r="L60">
        <v>-181.62</v>
      </c>
      <c r="M60">
        <v>-94.56999999999999</v>
      </c>
      <c r="N60">
        <v>-63.64</v>
      </c>
      <c r="O60">
        <v>26.57</v>
      </c>
      <c r="P60" t="b">
        <v>0</v>
      </c>
      <c r="Q60">
        <v>0</v>
      </c>
      <c r="R60">
        <v>1657</v>
      </c>
      <c r="U60" t="s">
        <v>736</v>
      </c>
      <c r="V60" t="s">
        <v>1057</v>
      </c>
      <c r="W60">
        <v>0</v>
      </c>
      <c r="Y60" t="s">
        <v>1321</v>
      </c>
      <c r="Z60">
        <v>0</v>
      </c>
      <c r="AA60">
        <v>2128</v>
      </c>
      <c r="AB60">
        <v>179619</v>
      </c>
      <c r="AC60" t="s">
        <v>1679</v>
      </c>
      <c r="AD60">
        <v>63.51</v>
      </c>
      <c r="AE60" t="s">
        <v>2000</v>
      </c>
      <c r="AF60" t="s">
        <v>2321</v>
      </c>
      <c r="AG60">
        <v>2748</v>
      </c>
      <c r="AH60">
        <v>964</v>
      </c>
      <c r="AI60">
        <v>505050</v>
      </c>
      <c r="AJ60">
        <v>0.98</v>
      </c>
      <c r="AK60" t="b">
        <v>1</v>
      </c>
    </row>
    <row r="61" spans="1:37">
      <c r="A61" s="1" t="s">
        <v>95</v>
      </c>
      <c r="B61" t="s">
        <v>416</v>
      </c>
      <c r="C61">
        <f>HYPERLINK("https://finance.naver.com/item/coinfo.nhn?code=950190", "A950190")</f>
        <v>0</v>
      </c>
      <c r="D61">
        <f>HYPERLINK("http://comp.fnguide.com/SVO2/ASP/SVD_Consensus.asp?pGB=1&amp;gicode=A950190&amp;cID=&amp;MenuYn=Y&amp;ReportGB=&amp;NewMenuID=108&amp;stkGb=701", "미투젠")</f>
        <v>0</v>
      </c>
      <c r="E61">
        <v>3</v>
      </c>
      <c r="F61">
        <v>12700</v>
      </c>
      <c r="G61">
        <v>0</v>
      </c>
      <c r="H61">
        <v>10.45</v>
      </c>
      <c r="I61">
        <v>40686</v>
      </c>
      <c r="J61">
        <v>24319</v>
      </c>
      <c r="K61">
        <v>18505</v>
      </c>
      <c r="L61">
        <v>-220.36</v>
      </c>
      <c r="M61">
        <v>-91.48999999999999</v>
      </c>
      <c r="N61">
        <v>-45.71</v>
      </c>
      <c r="O61">
        <v>46.23</v>
      </c>
      <c r="P61" t="b">
        <v>0</v>
      </c>
      <c r="Q61">
        <v>0</v>
      </c>
      <c r="R61">
        <v>2243</v>
      </c>
      <c r="U61" t="s">
        <v>737</v>
      </c>
      <c r="V61" t="s">
        <v>1058</v>
      </c>
      <c r="W61">
        <v>0</v>
      </c>
      <c r="X61">
        <v>471.4</v>
      </c>
      <c r="Y61" t="s">
        <v>1374</v>
      </c>
      <c r="Z61">
        <v>87.05622836768032</v>
      </c>
      <c r="AA61">
        <v>1725</v>
      </c>
      <c r="AB61">
        <v>21089</v>
      </c>
      <c r="AC61" t="s">
        <v>1680</v>
      </c>
      <c r="AD61">
        <v>44.27</v>
      </c>
      <c r="AE61" t="s">
        <v>2001</v>
      </c>
      <c r="AF61" t="s">
        <v>2322</v>
      </c>
      <c r="AG61">
        <v>944</v>
      </c>
      <c r="AH61">
        <v>367</v>
      </c>
      <c r="AI61">
        <v>1227391</v>
      </c>
      <c r="AK61" t="b">
        <v>1</v>
      </c>
    </row>
    <row r="62" spans="1:37">
      <c r="A62" s="1" t="s">
        <v>96</v>
      </c>
      <c r="B62" t="s">
        <v>417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1615</v>
      </c>
      <c r="G62">
        <v>0</v>
      </c>
      <c r="H62">
        <v>5.86</v>
      </c>
      <c r="I62">
        <v>4099</v>
      </c>
      <c r="J62">
        <v>2847</v>
      </c>
      <c r="K62">
        <v>2402</v>
      </c>
      <c r="L62">
        <v>-153.83</v>
      </c>
      <c r="M62">
        <v>-76.26000000000001</v>
      </c>
      <c r="N62">
        <v>-48.71</v>
      </c>
      <c r="O62">
        <v>26.15</v>
      </c>
      <c r="P62" t="b">
        <v>1</v>
      </c>
      <c r="Q62">
        <v>0</v>
      </c>
      <c r="R62">
        <v>947</v>
      </c>
      <c r="U62" t="s">
        <v>738</v>
      </c>
      <c r="V62" t="s">
        <v>1059</v>
      </c>
      <c r="W62">
        <v>0</v>
      </c>
      <c r="Y62" t="s">
        <v>1336</v>
      </c>
      <c r="Z62">
        <v>0</v>
      </c>
      <c r="AA62">
        <v>1358</v>
      </c>
      <c r="AB62">
        <v>3691562</v>
      </c>
      <c r="AC62" t="s">
        <v>1681</v>
      </c>
      <c r="AD62">
        <v>16.19</v>
      </c>
      <c r="AE62" t="s">
        <v>2002</v>
      </c>
      <c r="AF62" t="s">
        <v>2323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418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4420</v>
      </c>
      <c r="G63">
        <v>0</v>
      </c>
      <c r="H63">
        <v>5.49</v>
      </c>
      <c r="I63">
        <v>25655</v>
      </c>
      <c r="J63">
        <v>18142</v>
      </c>
      <c r="K63">
        <v>15472</v>
      </c>
      <c r="L63">
        <v>-480.44</v>
      </c>
      <c r="M63">
        <v>-310.44</v>
      </c>
      <c r="N63">
        <v>-250.05</v>
      </c>
      <c r="O63">
        <v>24.74</v>
      </c>
      <c r="P63" t="b">
        <v>1</v>
      </c>
      <c r="Q63">
        <v>0</v>
      </c>
      <c r="R63">
        <v>4405</v>
      </c>
      <c r="U63" t="s">
        <v>739</v>
      </c>
      <c r="V63" t="s">
        <v>1060</v>
      </c>
      <c r="W63">
        <v>0</v>
      </c>
      <c r="Y63" t="s">
        <v>1375</v>
      </c>
      <c r="Z63">
        <v>0</v>
      </c>
      <c r="AA63">
        <v>2435</v>
      </c>
      <c r="AB63">
        <v>19221187</v>
      </c>
      <c r="AC63" t="s">
        <v>1682</v>
      </c>
      <c r="AD63">
        <v>13.67</v>
      </c>
      <c r="AE63" t="s">
        <v>2003</v>
      </c>
      <c r="AF63" t="s">
        <v>2324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419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9100</v>
      </c>
      <c r="G64">
        <v>0</v>
      </c>
      <c r="H64">
        <v>20.55</v>
      </c>
      <c r="I64">
        <v>16769</v>
      </c>
      <c r="J64">
        <v>14672</v>
      </c>
      <c r="K64">
        <v>13927</v>
      </c>
      <c r="L64">
        <v>-84.27</v>
      </c>
      <c r="M64">
        <v>-61.23</v>
      </c>
      <c r="N64">
        <v>-53.04</v>
      </c>
      <c r="O64">
        <v>14.44</v>
      </c>
      <c r="P64" t="b">
        <v>1</v>
      </c>
      <c r="Q64">
        <v>0</v>
      </c>
      <c r="R64">
        <v>686</v>
      </c>
      <c r="U64" t="s">
        <v>740</v>
      </c>
      <c r="V64" t="s">
        <v>1061</v>
      </c>
      <c r="W64">
        <v>0</v>
      </c>
      <c r="X64">
        <v>-25.5</v>
      </c>
      <c r="Y64" t="s">
        <v>1376</v>
      </c>
      <c r="Z64">
        <v>0</v>
      </c>
      <c r="AA64">
        <v>506</v>
      </c>
      <c r="AB64">
        <v>6714</v>
      </c>
      <c r="AC64" t="s">
        <v>1683</v>
      </c>
      <c r="AD64">
        <v>38.58</v>
      </c>
      <c r="AE64" t="s">
        <v>2004</v>
      </c>
      <c r="AF64" t="s">
        <v>2325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420</v>
      </c>
      <c r="C65">
        <f>HYPERLINK("https://finance.naver.com/item/coinfo.nhn?code=067900", "A067900")</f>
        <v>0</v>
      </c>
      <c r="D65">
        <f>HYPERLINK("http://comp.fnguide.com/SVO2/ASP/SVD_Consensus.asp?pGB=1&amp;gicode=A067900&amp;cID=&amp;MenuYn=Y&amp;ReportGB=&amp;NewMenuID=108&amp;stkGb=701", "와이엔텍")</f>
        <v>0</v>
      </c>
      <c r="E65">
        <v>3</v>
      </c>
      <c r="F65">
        <v>8950</v>
      </c>
      <c r="G65">
        <v>0</v>
      </c>
      <c r="H65">
        <v>8.42</v>
      </c>
      <c r="I65">
        <v>13555</v>
      </c>
      <c r="J65">
        <v>11990</v>
      </c>
      <c r="K65">
        <v>11434</v>
      </c>
      <c r="L65">
        <v>-51.45</v>
      </c>
      <c r="M65">
        <v>-33.96</v>
      </c>
      <c r="N65">
        <v>-27.75</v>
      </c>
      <c r="O65">
        <v>14.1</v>
      </c>
      <c r="P65" t="b">
        <v>1</v>
      </c>
      <c r="Q65">
        <v>0</v>
      </c>
      <c r="R65">
        <v>1277</v>
      </c>
      <c r="U65" t="s">
        <v>741</v>
      </c>
      <c r="V65" t="s">
        <v>1062</v>
      </c>
      <c r="W65">
        <v>0</v>
      </c>
      <c r="X65">
        <v>-6</v>
      </c>
      <c r="Y65" t="s">
        <v>1377</v>
      </c>
      <c r="Z65">
        <v>13.68776455674241</v>
      </c>
      <c r="AA65">
        <v>1629</v>
      </c>
      <c r="AB65">
        <v>125387</v>
      </c>
      <c r="AC65" t="s">
        <v>1684</v>
      </c>
      <c r="AD65">
        <v>45.95</v>
      </c>
      <c r="AE65" t="s">
        <v>2005</v>
      </c>
      <c r="AF65" t="s">
        <v>2326</v>
      </c>
      <c r="AG65">
        <v>1118</v>
      </c>
      <c r="AH65">
        <v>324</v>
      </c>
      <c r="AI65">
        <v>100000</v>
      </c>
      <c r="AK65" t="b">
        <v>1</v>
      </c>
    </row>
    <row r="66" spans="1:37">
      <c r="A66" s="1" t="s">
        <v>100</v>
      </c>
      <c r="B66" t="s">
        <v>421</v>
      </c>
      <c r="C66">
        <f>HYPERLINK("https://finance.naver.com/item/coinfo.nhn?code=046970", "A046970")</f>
        <v>0</v>
      </c>
      <c r="D66">
        <f>HYPERLINK("http://comp.fnguide.com/SVO2/ASP/SVD_Consensus.asp?pGB=1&amp;gicode=A046970&amp;cID=&amp;MenuYn=Y&amp;ReportGB=&amp;NewMenuID=108&amp;stkGb=701", "우리로")</f>
        <v>0</v>
      </c>
      <c r="E66">
        <v>3</v>
      </c>
      <c r="F66">
        <v>1445</v>
      </c>
      <c r="G66">
        <v>0</v>
      </c>
      <c r="H66">
        <v>4.46</v>
      </c>
      <c r="I66">
        <v>2594</v>
      </c>
      <c r="J66">
        <v>1900</v>
      </c>
      <c r="K66">
        <v>1654</v>
      </c>
      <c r="L66">
        <v>-79.51000000000001</v>
      </c>
      <c r="M66">
        <v>-31.51</v>
      </c>
      <c r="N66">
        <v>-14.46</v>
      </c>
      <c r="O66">
        <v>22.32</v>
      </c>
      <c r="P66" t="b">
        <v>1</v>
      </c>
      <c r="Q66">
        <v>0</v>
      </c>
      <c r="R66">
        <v>428</v>
      </c>
      <c r="U66" t="s">
        <v>742</v>
      </c>
      <c r="V66" t="s">
        <v>1063</v>
      </c>
      <c r="W66">
        <v>0</v>
      </c>
      <c r="X66">
        <v>-84.2</v>
      </c>
      <c r="Y66" t="s">
        <v>1378</v>
      </c>
      <c r="Z66">
        <v>0</v>
      </c>
      <c r="AA66">
        <v>463</v>
      </c>
      <c r="AB66">
        <v>395747</v>
      </c>
      <c r="AC66" t="s">
        <v>1685</v>
      </c>
      <c r="AD66">
        <v>12.9</v>
      </c>
      <c r="AE66" t="s">
        <v>2006</v>
      </c>
      <c r="AF66" t="s">
        <v>2327</v>
      </c>
      <c r="AG66">
        <v>1074</v>
      </c>
      <c r="AH66">
        <v>38</v>
      </c>
      <c r="AI66">
        <v>425842</v>
      </c>
      <c r="AK66" t="b">
        <v>1</v>
      </c>
    </row>
    <row r="67" spans="1:37">
      <c r="A67" s="1" t="s">
        <v>101</v>
      </c>
      <c r="B67" t="s">
        <v>422</v>
      </c>
      <c r="C67">
        <f>HYPERLINK("https://finance.naver.com/item/coinfo.nhn?code=066620", "A066620")</f>
        <v>0</v>
      </c>
      <c r="D67">
        <f>HYPERLINK("http://comp.fnguide.com/SVO2/ASP/SVD_Consensus.asp?pGB=1&amp;gicode=A066620&amp;cID=&amp;MenuYn=Y&amp;ReportGB=&amp;NewMenuID=108&amp;stkGb=701", "국보디자인")</f>
        <v>0</v>
      </c>
      <c r="E67">
        <v>3</v>
      </c>
      <c r="F67">
        <v>16500</v>
      </c>
      <c r="G67">
        <v>0</v>
      </c>
      <c r="H67">
        <v>8.06</v>
      </c>
      <c r="I67">
        <v>35690</v>
      </c>
      <c r="J67">
        <v>34315</v>
      </c>
      <c r="K67">
        <v>33827</v>
      </c>
      <c r="L67">
        <v>-116.3</v>
      </c>
      <c r="M67">
        <v>-107.97</v>
      </c>
      <c r="N67">
        <v>-105.01</v>
      </c>
      <c r="O67">
        <v>11.89</v>
      </c>
      <c r="P67" t="b">
        <v>1</v>
      </c>
      <c r="Q67">
        <v>0</v>
      </c>
      <c r="R67">
        <v>2606</v>
      </c>
      <c r="U67" t="s">
        <v>743</v>
      </c>
      <c r="V67" t="s">
        <v>1064</v>
      </c>
      <c r="W67">
        <v>0</v>
      </c>
      <c r="X67">
        <v>15.3</v>
      </c>
      <c r="Y67" t="s">
        <v>1379</v>
      </c>
      <c r="Z67">
        <v>11.04852779783594</v>
      </c>
      <c r="AA67">
        <v>1238</v>
      </c>
      <c r="AB67">
        <v>3611</v>
      </c>
      <c r="AC67" t="s">
        <v>1686</v>
      </c>
      <c r="AD67">
        <v>53.09</v>
      </c>
      <c r="AE67" t="s">
        <v>2007</v>
      </c>
      <c r="AF67" t="s">
        <v>2328</v>
      </c>
      <c r="AG67">
        <v>3230</v>
      </c>
      <c r="AH67">
        <v>257</v>
      </c>
      <c r="AI67">
        <v>627314</v>
      </c>
      <c r="AJ67">
        <v>1.62</v>
      </c>
      <c r="AK67" t="b">
        <v>1</v>
      </c>
    </row>
    <row r="68" spans="1:37">
      <c r="A68" s="1" t="s">
        <v>102</v>
      </c>
      <c r="B68" t="s">
        <v>423</v>
      </c>
      <c r="C68">
        <f>HYPERLINK("https://finance.naver.com/item/coinfo.nhn?code=082850", "A082850")</f>
        <v>0</v>
      </c>
      <c r="D68">
        <f>HYPERLINK("http://comp.fnguide.com/SVO2/ASP/SVD_Consensus.asp?pGB=1&amp;gicode=A082850&amp;cID=&amp;MenuYn=Y&amp;ReportGB=&amp;NewMenuID=108&amp;stkGb=701", "우리바이오")</f>
        <v>0</v>
      </c>
      <c r="E68">
        <v>3</v>
      </c>
      <c r="F68">
        <v>3125</v>
      </c>
      <c r="G68">
        <v>0</v>
      </c>
      <c r="H68">
        <v>6.29</v>
      </c>
      <c r="I68">
        <v>5648</v>
      </c>
      <c r="J68">
        <v>4415</v>
      </c>
      <c r="K68">
        <v>3977</v>
      </c>
      <c r="L68">
        <v>-80.73</v>
      </c>
      <c r="M68">
        <v>-41.28</v>
      </c>
      <c r="N68">
        <v>-27.26</v>
      </c>
      <c r="O68">
        <v>18.78</v>
      </c>
      <c r="P68" t="b">
        <v>1</v>
      </c>
      <c r="Q68">
        <v>0</v>
      </c>
      <c r="R68">
        <v>709</v>
      </c>
      <c r="U68" t="s">
        <v>744</v>
      </c>
      <c r="V68" t="s">
        <v>1065</v>
      </c>
      <c r="W68">
        <v>0</v>
      </c>
      <c r="X68">
        <v>-10.6</v>
      </c>
      <c r="Y68" t="s">
        <v>1380</v>
      </c>
      <c r="Z68">
        <v>0</v>
      </c>
      <c r="AA68">
        <v>1500</v>
      </c>
      <c r="AB68">
        <v>129242</v>
      </c>
      <c r="AC68" t="s">
        <v>1687</v>
      </c>
      <c r="AD68">
        <v>34.29</v>
      </c>
      <c r="AE68" t="s">
        <v>2008</v>
      </c>
      <c r="AF68" t="s">
        <v>2329</v>
      </c>
      <c r="AG68">
        <v>15433</v>
      </c>
      <c r="AH68">
        <v>428</v>
      </c>
      <c r="AI68">
        <v>1249200</v>
      </c>
      <c r="AK68" t="b">
        <v>1</v>
      </c>
    </row>
    <row r="69" spans="1:37">
      <c r="A69" s="1" t="s">
        <v>103</v>
      </c>
      <c r="B69" t="s">
        <v>424</v>
      </c>
      <c r="C69">
        <f>HYPERLINK("https://finance.naver.com/item/coinfo.nhn?code=900310", "A900310")</f>
        <v>0</v>
      </c>
      <c r="D69">
        <f>HYPERLINK("http://comp.fnguide.com/SVO2/ASP/SVD_Consensus.asp?pGB=1&amp;gicode=A900310&amp;cID=&amp;MenuYn=Y&amp;ReportGB=&amp;NewMenuID=108&amp;stkGb=701", "컬러레이")</f>
        <v>0</v>
      </c>
      <c r="E69">
        <v>3</v>
      </c>
      <c r="F69">
        <v>1285</v>
      </c>
      <c r="G69">
        <v>0</v>
      </c>
      <c r="H69">
        <v>3.14</v>
      </c>
      <c r="I69">
        <v>4204</v>
      </c>
      <c r="J69">
        <v>3858</v>
      </c>
      <c r="K69">
        <v>3735</v>
      </c>
      <c r="L69">
        <v>-227.13</v>
      </c>
      <c r="M69">
        <v>-200.23</v>
      </c>
      <c r="N69">
        <v>-190.68</v>
      </c>
      <c r="O69">
        <v>13.05</v>
      </c>
      <c r="P69" t="b">
        <v>0</v>
      </c>
      <c r="Q69">
        <v>0</v>
      </c>
      <c r="R69">
        <v>449</v>
      </c>
      <c r="U69" t="s">
        <v>745</v>
      </c>
      <c r="V69" t="s">
        <v>1066</v>
      </c>
      <c r="W69">
        <v>0</v>
      </c>
      <c r="X69">
        <v>-56.2</v>
      </c>
      <c r="Y69" t="s">
        <v>1381</v>
      </c>
      <c r="Z69">
        <v>-17.59767214729504</v>
      </c>
      <c r="AA69">
        <v>823</v>
      </c>
      <c r="AB69">
        <v>3136480</v>
      </c>
      <c r="AC69" t="s">
        <v>1688</v>
      </c>
      <c r="AD69">
        <v>45.56</v>
      </c>
      <c r="AE69" t="s">
        <v>2009</v>
      </c>
      <c r="AF69" t="s">
        <v>2330</v>
      </c>
      <c r="AG69">
        <v>564</v>
      </c>
      <c r="AH69">
        <v>293</v>
      </c>
      <c r="AK69" t="b">
        <v>1</v>
      </c>
    </row>
    <row r="70" spans="1:37">
      <c r="A70" s="1" t="s">
        <v>104</v>
      </c>
      <c r="B70" t="s">
        <v>425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6130</v>
      </c>
      <c r="G70">
        <v>0</v>
      </c>
      <c r="H70">
        <v>6.58</v>
      </c>
      <c r="I70">
        <v>10389</v>
      </c>
      <c r="J70">
        <v>7419</v>
      </c>
      <c r="K70">
        <v>6364</v>
      </c>
      <c r="L70">
        <v>-69.48</v>
      </c>
      <c r="M70">
        <v>-21.03</v>
      </c>
      <c r="N70">
        <v>-3.82</v>
      </c>
      <c r="O70">
        <v>24.02</v>
      </c>
      <c r="P70" t="b">
        <v>0</v>
      </c>
      <c r="Q70">
        <v>0</v>
      </c>
      <c r="R70">
        <v>1210</v>
      </c>
      <c r="U70" t="s">
        <v>746</v>
      </c>
      <c r="V70" t="s">
        <v>1067</v>
      </c>
      <c r="W70">
        <v>0</v>
      </c>
      <c r="Y70" t="s">
        <v>1321</v>
      </c>
      <c r="Z70">
        <v>-17.59767214729504</v>
      </c>
      <c r="AA70">
        <v>957</v>
      </c>
      <c r="AB70">
        <v>6051001</v>
      </c>
      <c r="AC70" t="s">
        <v>1689</v>
      </c>
      <c r="AD70">
        <v>71.36</v>
      </c>
      <c r="AE70" t="s">
        <v>2010</v>
      </c>
      <c r="AF70" t="s">
        <v>2331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426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6350</v>
      </c>
      <c r="G71">
        <v>0</v>
      </c>
      <c r="H71">
        <v>12.53</v>
      </c>
      <c r="I71">
        <v>16877</v>
      </c>
      <c r="J71">
        <v>14320</v>
      </c>
      <c r="K71">
        <v>13412</v>
      </c>
      <c r="L71">
        <v>-165.78</v>
      </c>
      <c r="M71">
        <v>-125.52</v>
      </c>
      <c r="N71">
        <v>-111.22</v>
      </c>
      <c r="O71">
        <v>15.45</v>
      </c>
      <c r="P71" t="b">
        <v>1</v>
      </c>
      <c r="Q71">
        <v>0</v>
      </c>
      <c r="R71">
        <v>667</v>
      </c>
      <c r="U71" t="s">
        <v>747</v>
      </c>
      <c r="V71" t="s">
        <v>1068</v>
      </c>
      <c r="W71">
        <v>0</v>
      </c>
      <c r="X71">
        <v>-7.3</v>
      </c>
      <c r="Y71" t="s">
        <v>1382</v>
      </c>
      <c r="Z71">
        <v>9.793367492585038</v>
      </c>
      <c r="AA71">
        <v>748</v>
      </c>
      <c r="AB71">
        <v>16490</v>
      </c>
      <c r="AC71" t="s">
        <v>1690</v>
      </c>
      <c r="AD71">
        <v>31.8</v>
      </c>
      <c r="AE71" t="s">
        <v>2011</v>
      </c>
      <c r="AF71" t="s">
        <v>2332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427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7770</v>
      </c>
      <c r="G72">
        <v>0</v>
      </c>
      <c r="H72">
        <v>4.77</v>
      </c>
      <c r="I72">
        <v>22263</v>
      </c>
      <c r="J72">
        <v>18409</v>
      </c>
      <c r="K72">
        <v>17039</v>
      </c>
      <c r="L72">
        <v>-186.52</v>
      </c>
      <c r="M72">
        <v>-136.92</v>
      </c>
      <c r="N72">
        <v>-119.3</v>
      </c>
      <c r="O72">
        <v>16.39</v>
      </c>
      <c r="P72" t="b">
        <v>0</v>
      </c>
      <c r="Q72">
        <v>0</v>
      </c>
      <c r="R72">
        <v>2612</v>
      </c>
      <c r="U72" t="s">
        <v>748</v>
      </c>
      <c r="V72" t="s">
        <v>1069</v>
      </c>
      <c r="W72">
        <v>0</v>
      </c>
      <c r="X72">
        <v>-2.7</v>
      </c>
      <c r="Y72" t="s">
        <v>1383</v>
      </c>
      <c r="Z72">
        <v>10.5852093882677</v>
      </c>
      <c r="AA72">
        <v>496</v>
      </c>
      <c r="AB72">
        <v>5739</v>
      </c>
      <c r="AC72" t="s">
        <v>1691</v>
      </c>
      <c r="AD72">
        <v>50.75</v>
      </c>
      <c r="AE72" t="s">
        <v>2012</v>
      </c>
      <c r="AF72" t="s">
        <v>2333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428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4715</v>
      </c>
      <c r="G73">
        <v>0</v>
      </c>
      <c r="H73">
        <v>11.76</v>
      </c>
      <c r="I73">
        <v>9490</v>
      </c>
      <c r="J73">
        <v>7204</v>
      </c>
      <c r="K73">
        <v>6392</v>
      </c>
      <c r="L73">
        <v>-101.28</v>
      </c>
      <c r="M73">
        <v>-52.8</v>
      </c>
      <c r="N73">
        <v>-35.57</v>
      </c>
      <c r="O73">
        <v>20.26</v>
      </c>
      <c r="P73" t="b">
        <v>1</v>
      </c>
      <c r="Q73">
        <v>0</v>
      </c>
      <c r="R73">
        <v>719</v>
      </c>
      <c r="U73" t="s">
        <v>749</v>
      </c>
      <c r="V73" t="s">
        <v>1070</v>
      </c>
      <c r="W73">
        <v>0</v>
      </c>
      <c r="X73">
        <v>-10.4</v>
      </c>
      <c r="Y73" t="s">
        <v>1384</v>
      </c>
      <c r="Z73">
        <v>5.902267919935422</v>
      </c>
      <c r="AA73">
        <v>4173</v>
      </c>
      <c r="AB73">
        <v>140555</v>
      </c>
      <c r="AC73" t="s">
        <v>1692</v>
      </c>
      <c r="AD73">
        <v>70.98</v>
      </c>
      <c r="AE73" t="s">
        <v>2013</v>
      </c>
      <c r="AF73" t="s">
        <v>2334</v>
      </c>
      <c r="AG73">
        <v>6740</v>
      </c>
      <c r="AH73">
        <v>924</v>
      </c>
      <c r="AI73">
        <v>3612538</v>
      </c>
      <c r="AJ73">
        <v>1.54</v>
      </c>
      <c r="AK73" t="b">
        <v>1</v>
      </c>
    </row>
    <row r="74" spans="1:37">
      <c r="A74" s="1" t="s">
        <v>108</v>
      </c>
      <c r="B74" t="s">
        <v>429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20450</v>
      </c>
      <c r="G74">
        <v>0</v>
      </c>
      <c r="H74">
        <v>7.55</v>
      </c>
      <c r="I74">
        <v>52150</v>
      </c>
      <c r="J74">
        <v>39712</v>
      </c>
      <c r="K74">
        <v>35294</v>
      </c>
      <c r="L74">
        <v>-155.01</v>
      </c>
      <c r="M74">
        <v>-94.19</v>
      </c>
      <c r="N74">
        <v>-72.59</v>
      </c>
      <c r="O74">
        <v>20.09</v>
      </c>
      <c r="P74" t="b">
        <v>1</v>
      </c>
      <c r="Q74">
        <v>0</v>
      </c>
      <c r="R74">
        <v>5829</v>
      </c>
      <c r="U74" t="s">
        <v>750</v>
      </c>
      <c r="V74" t="s">
        <v>1071</v>
      </c>
      <c r="W74">
        <v>0</v>
      </c>
      <c r="X74">
        <v>-93.59999999999999</v>
      </c>
      <c r="Y74" t="s">
        <v>1385</v>
      </c>
      <c r="Z74">
        <v>-35.61872002082017</v>
      </c>
      <c r="AA74">
        <v>2396</v>
      </c>
      <c r="AB74">
        <v>14998</v>
      </c>
      <c r="AC74" t="s">
        <v>1693</v>
      </c>
      <c r="AD74">
        <v>40.12</v>
      </c>
      <c r="AE74" t="s">
        <v>2014</v>
      </c>
      <c r="AF74" t="s">
        <v>2335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430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4810</v>
      </c>
      <c r="G75">
        <v>0</v>
      </c>
      <c r="H75">
        <v>2.7</v>
      </c>
      <c r="I75">
        <v>13512</v>
      </c>
      <c r="J75">
        <v>8101</v>
      </c>
      <c r="K75">
        <v>6178</v>
      </c>
      <c r="L75">
        <v>-180.92</v>
      </c>
      <c r="M75">
        <v>-68.41</v>
      </c>
      <c r="N75">
        <v>-28.44</v>
      </c>
      <c r="O75">
        <v>45.59</v>
      </c>
      <c r="P75" t="b">
        <v>1</v>
      </c>
      <c r="Q75">
        <v>0</v>
      </c>
      <c r="R75">
        <v>1658</v>
      </c>
      <c r="U75" t="s">
        <v>751</v>
      </c>
      <c r="V75" t="s">
        <v>1072</v>
      </c>
      <c r="W75">
        <v>0</v>
      </c>
      <c r="X75">
        <v>114.5</v>
      </c>
      <c r="Y75" t="s">
        <v>1386</v>
      </c>
      <c r="Z75">
        <v>258.2262315827145</v>
      </c>
      <c r="AA75">
        <v>1848</v>
      </c>
      <c r="AB75">
        <v>230724</v>
      </c>
      <c r="AC75" t="s">
        <v>1694</v>
      </c>
      <c r="AD75">
        <v>38.76</v>
      </c>
      <c r="AE75" t="s">
        <v>2015</v>
      </c>
      <c r="AF75" t="s">
        <v>2336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431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17250</v>
      </c>
      <c r="G76">
        <v>0.12</v>
      </c>
      <c r="H76">
        <v>7.95</v>
      </c>
      <c r="I76">
        <v>29159</v>
      </c>
      <c r="J76">
        <v>22638</v>
      </c>
      <c r="K76">
        <v>20321</v>
      </c>
      <c r="L76">
        <v>-69.04000000000001</v>
      </c>
      <c r="M76">
        <v>-31.23</v>
      </c>
      <c r="N76">
        <v>-17.8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752</v>
      </c>
      <c r="V76" t="s">
        <v>1073</v>
      </c>
      <c r="W76">
        <v>65.21124942204042</v>
      </c>
      <c r="X76">
        <v>-25.7</v>
      </c>
      <c r="Y76" t="s">
        <v>1387</v>
      </c>
      <c r="Z76">
        <v>0.07108992082707211</v>
      </c>
      <c r="AA76">
        <v>3410</v>
      </c>
      <c r="AB76">
        <v>30672</v>
      </c>
      <c r="AC76" t="s">
        <v>1695</v>
      </c>
      <c r="AD76">
        <v>29.26</v>
      </c>
      <c r="AE76" t="s">
        <v>2016</v>
      </c>
      <c r="AF76" t="s">
        <v>2337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432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3115</v>
      </c>
      <c r="G77">
        <v>0</v>
      </c>
      <c r="H77">
        <v>1.47</v>
      </c>
      <c r="I77">
        <v>25411</v>
      </c>
      <c r="J77">
        <v>15870</v>
      </c>
      <c r="K77">
        <v>12481</v>
      </c>
      <c r="L77">
        <v>-715.76</v>
      </c>
      <c r="M77">
        <v>-409.47</v>
      </c>
      <c r="N77">
        <v>-300.67</v>
      </c>
      <c r="O77">
        <v>38.12</v>
      </c>
      <c r="P77" t="b">
        <v>1</v>
      </c>
      <c r="Q77">
        <v>0</v>
      </c>
      <c r="R77">
        <v>3860</v>
      </c>
      <c r="U77" t="s">
        <v>753</v>
      </c>
      <c r="V77" t="s">
        <v>1074</v>
      </c>
      <c r="W77">
        <v>0</v>
      </c>
      <c r="X77">
        <v>4.7</v>
      </c>
      <c r="Y77" t="s">
        <v>1388</v>
      </c>
      <c r="Z77">
        <v>0</v>
      </c>
      <c r="AA77">
        <v>2831</v>
      </c>
      <c r="AB77">
        <v>270954</v>
      </c>
      <c r="AC77" t="s">
        <v>1696</v>
      </c>
      <c r="AD77">
        <v>47.89</v>
      </c>
      <c r="AE77" t="s">
        <v>2017</v>
      </c>
      <c r="AF77" t="s">
        <v>2338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433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2450</v>
      </c>
      <c r="G78">
        <v>0</v>
      </c>
      <c r="H78">
        <v>5.18</v>
      </c>
      <c r="I78">
        <v>22458</v>
      </c>
      <c r="J78">
        <v>15001</v>
      </c>
      <c r="K78">
        <v>12352</v>
      </c>
      <c r="L78">
        <v>-816.63</v>
      </c>
      <c r="M78">
        <v>-512.29</v>
      </c>
      <c r="N78">
        <v>-404.17</v>
      </c>
      <c r="O78">
        <v>29.68</v>
      </c>
      <c r="P78" t="b">
        <v>1</v>
      </c>
      <c r="Q78">
        <v>0</v>
      </c>
      <c r="R78">
        <v>1131</v>
      </c>
      <c r="U78" t="s">
        <v>754</v>
      </c>
      <c r="V78" t="s">
        <v>1075</v>
      </c>
      <c r="W78">
        <v>0</v>
      </c>
      <c r="X78">
        <v>978.3</v>
      </c>
      <c r="Y78" t="s">
        <v>1389</v>
      </c>
      <c r="Z78">
        <v>0</v>
      </c>
      <c r="AA78">
        <v>390</v>
      </c>
      <c r="AB78">
        <v>297570</v>
      </c>
      <c r="AC78" t="s">
        <v>1697</v>
      </c>
      <c r="AD78">
        <v>31.83</v>
      </c>
      <c r="AE78" t="s">
        <v>2018</v>
      </c>
      <c r="AF78" t="s">
        <v>2339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434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8470</v>
      </c>
      <c r="G79">
        <v>-0.77</v>
      </c>
      <c r="H79">
        <v>9.970000000000001</v>
      </c>
      <c r="I79">
        <v>10865</v>
      </c>
      <c r="J79">
        <v>9596</v>
      </c>
      <c r="K79">
        <v>9145</v>
      </c>
      <c r="L79">
        <v>-28.28</v>
      </c>
      <c r="M79">
        <v>-13.29</v>
      </c>
      <c r="N79">
        <v>-7.97</v>
      </c>
      <c r="O79">
        <v>14.15</v>
      </c>
      <c r="P79" t="b">
        <v>1</v>
      </c>
      <c r="Q79">
        <v>0</v>
      </c>
      <c r="R79">
        <v>1334</v>
      </c>
      <c r="S79">
        <v>743</v>
      </c>
      <c r="T79">
        <v>-44.3</v>
      </c>
      <c r="U79" t="s">
        <v>755</v>
      </c>
      <c r="V79" t="s">
        <v>1076</v>
      </c>
      <c r="W79">
        <v>-12.92190805241452</v>
      </c>
      <c r="X79">
        <v>-45.1</v>
      </c>
      <c r="Y79" t="s">
        <v>1390</v>
      </c>
      <c r="Z79">
        <v>116.9123069602466</v>
      </c>
      <c r="AA79">
        <v>4990</v>
      </c>
      <c r="AB79">
        <v>181058</v>
      </c>
      <c r="AC79" t="s">
        <v>1698</v>
      </c>
      <c r="AD79">
        <v>26.89</v>
      </c>
      <c r="AE79" t="s">
        <v>2019</v>
      </c>
      <c r="AF79" t="s">
        <v>2340</v>
      </c>
      <c r="AG79">
        <v>13127</v>
      </c>
      <c r="AH79">
        <v>787</v>
      </c>
      <c r="AI79">
        <v>4946269</v>
      </c>
      <c r="AJ79">
        <v>2.63</v>
      </c>
      <c r="AK79" t="b">
        <v>1</v>
      </c>
    </row>
    <row r="80" spans="1:37">
      <c r="A80" s="1" t="s">
        <v>114</v>
      </c>
      <c r="B80" t="s">
        <v>435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1735</v>
      </c>
      <c r="G80">
        <v>0</v>
      </c>
      <c r="H80">
        <v>3</v>
      </c>
      <c r="I80">
        <v>3847</v>
      </c>
      <c r="J80">
        <v>2995</v>
      </c>
      <c r="K80">
        <v>2692</v>
      </c>
      <c r="L80">
        <v>-121.71</v>
      </c>
      <c r="M80">
        <v>-72.61</v>
      </c>
      <c r="N80">
        <v>-55.17</v>
      </c>
      <c r="O80">
        <v>18.98</v>
      </c>
      <c r="P80" t="b">
        <v>1</v>
      </c>
      <c r="Q80">
        <v>0</v>
      </c>
      <c r="R80">
        <v>578</v>
      </c>
      <c r="U80" t="s">
        <v>756</v>
      </c>
      <c r="V80" t="s">
        <v>1077</v>
      </c>
      <c r="W80">
        <v>0</v>
      </c>
      <c r="X80">
        <v>-39.8</v>
      </c>
      <c r="Y80" t="s">
        <v>1391</v>
      </c>
      <c r="Z80">
        <v>14.0751436057007</v>
      </c>
      <c r="AA80">
        <v>462</v>
      </c>
      <c r="AB80">
        <v>70230</v>
      </c>
      <c r="AC80" t="s">
        <v>1699</v>
      </c>
      <c r="AD80">
        <v>48.59</v>
      </c>
      <c r="AE80" t="s">
        <v>2020</v>
      </c>
      <c r="AF80" t="s">
        <v>2341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436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3</v>
      </c>
      <c r="F81">
        <v>15550</v>
      </c>
      <c r="G81">
        <v>0</v>
      </c>
      <c r="H81">
        <v>11.82</v>
      </c>
      <c r="I81">
        <v>17166</v>
      </c>
      <c r="J81">
        <v>16537</v>
      </c>
      <c r="K81">
        <v>16314</v>
      </c>
      <c r="L81">
        <v>-10.39</v>
      </c>
      <c r="M81">
        <v>-6.35</v>
      </c>
      <c r="N81">
        <v>-4.91</v>
      </c>
      <c r="O81">
        <v>11.84</v>
      </c>
      <c r="P81" t="b">
        <v>1</v>
      </c>
      <c r="Q81">
        <v>0</v>
      </c>
      <c r="R81">
        <v>1430</v>
      </c>
      <c r="U81" t="s">
        <v>757</v>
      </c>
      <c r="V81" t="s">
        <v>1078</v>
      </c>
      <c r="W81">
        <v>0</v>
      </c>
      <c r="X81">
        <v>14</v>
      </c>
      <c r="Y81" t="s">
        <v>1392</v>
      </c>
      <c r="Z81">
        <v>4.217239555051377</v>
      </c>
      <c r="AA81">
        <v>1928</v>
      </c>
      <c r="AB81">
        <v>16548</v>
      </c>
      <c r="AC81" t="s">
        <v>1700</v>
      </c>
      <c r="AD81">
        <v>61.38</v>
      </c>
      <c r="AE81" t="s">
        <v>2021</v>
      </c>
      <c r="AF81" t="s">
        <v>2342</v>
      </c>
      <c r="AG81">
        <v>2220</v>
      </c>
      <c r="AH81">
        <v>261</v>
      </c>
      <c r="AI81">
        <v>287382</v>
      </c>
      <c r="AJ81">
        <v>2.07</v>
      </c>
      <c r="AK81" t="b">
        <v>1</v>
      </c>
    </row>
    <row r="82" spans="1:37">
      <c r="A82" s="1" t="s">
        <v>116</v>
      </c>
      <c r="B82" t="s">
        <v>437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5730</v>
      </c>
      <c r="G82">
        <v>0</v>
      </c>
      <c r="H82">
        <v>11.87</v>
      </c>
      <c r="I82">
        <v>11564</v>
      </c>
      <c r="J82">
        <v>10391</v>
      </c>
      <c r="K82">
        <v>9975</v>
      </c>
      <c r="L82">
        <v>-101.82</v>
      </c>
      <c r="M82">
        <v>-81.34999999999999</v>
      </c>
      <c r="N82">
        <v>-74.08</v>
      </c>
      <c r="O82">
        <v>13.64</v>
      </c>
      <c r="P82" t="b">
        <v>1</v>
      </c>
      <c r="Q82">
        <v>0</v>
      </c>
      <c r="R82">
        <v>593</v>
      </c>
      <c r="U82" t="s">
        <v>758</v>
      </c>
      <c r="V82" t="s">
        <v>1079</v>
      </c>
      <c r="W82">
        <v>0</v>
      </c>
      <c r="X82">
        <v>-21.1</v>
      </c>
      <c r="Y82" t="s">
        <v>1393</v>
      </c>
      <c r="Z82">
        <v>12.4633702923983</v>
      </c>
      <c r="AA82">
        <v>573</v>
      </c>
      <c r="AB82">
        <v>7058</v>
      </c>
      <c r="AC82" t="s">
        <v>1701</v>
      </c>
      <c r="AD82">
        <v>45.33</v>
      </c>
      <c r="AE82" t="s">
        <v>2022</v>
      </c>
      <c r="AF82" t="s">
        <v>2343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438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22200</v>
      </c>
      <c r="G83">
        <v>0</v>
      </c>
      <c r="H83">
        <v>6.26</v>
      </c>
      <c r="I83">
        <v>39149</v>
      </c>
      <c r="J83">
        <v>33172</v>
      </c>
      <c r="K83">
        <v>31049</v>
      </c>
      <c r="L83">
        <v>-76.34</v>
      </c>
      <c r="M83">
        <v>-49.42</v>
      </c>
      <c r="N83">
        <v>-39.86</v>
      </c>
      <c r="O83">
        <v>15.5</v>
      </c>
      <c r="P83" t="b">
        <v>1</v>
      </c>
      <c r="Q83">
        <v>0</v>
      </c>
      <c r="R83">
        <v>4288</v>
      </c>
      <c r="U83" t="s">
        <v>759</v>
      </c>
      <c r="V83" t="s">
        <v>1080</v>
      </c>
      <c r="W83">
        <v>0</v>
      </c>
      <c r="X83">
        <v>10.3</v>
      </c>
      <c r="Y83" t="s">
        <v>1394</v>
      </c>
      <c r="Z83">
        <v>12.58934899830966</v>
      </c>
      <c r="AA83">
        <v>2442</v>
      </c>
      <c r="AB83">
        <v>7553</v>
      </c>
      <c r="AC83" t="s">
        <v>1702</v>
      </c>
      <c r="AD83">
        <v>29.9</v>
      </c>
      <c r="AE83" t="s">
        <v>2023</v>
      </c>
      <c r="AF83" t="s">
        <v>2344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439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8180</v>
      </c>
      <c r="G84">
        <v>0</v>
      </c>
      <c r="H84">
        <v>12.62</v>
      </c>
      <c r="I84">
        <v>13084</v>
      </c>
      <c r="J84">
        <v>9837</v>
      </c>
      <c r="K84">
        <v>8683</v>
      </c>
      <c r="L84">
        <v>-59.96</v>
      </c>
      <c r="M84">
        <v>-20.26</v>
      </c>
      <c r="N84">
        <v>-6.15</v>
      </c>
      <c r="O84">
        <v>20.79</v>
      </c>
      <c r="P84" t="b">
        <v>1</v>
      </c>
      <c r="Q84">
        <v>0</v>
      </c>
      <c r="R84">
        <v>1695</v>
      </c>
      <c r="U84" t="s">
        <v>760</v>
      </c>
      <c r="V84" t="s">
        <v>1081</v>
      </c>
      <c r="W84">
        <v>0</v>
      </c>
      <c r="Y84" t="s">
        <v>1395</v>
      </c>
      <c r="Z84">
        <v>0</v>
      </c>
      <c r="AA84">
        <v>627</v>
      </c>
      <c r="AB84">
        <v>77353</v>
      </c>
      <c r="AC84" t="s">
        <v>1703</v>
      </c>
      <c r="AD84">
        <v>10.45</v>
      </c>
      <c r="AE84" t="s">
        <v>2024</v>
      </c>
      <c r="AF84" t="s">
        <v>2345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440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7550</v>
      </c>
      <c r="G85">
        <v>0</v>
      </c>
      <c r="H85">
        <v>8.279999999999999</v>
      </c>
      <c r="I85">
        <v>27040</v>
      </c>
      <c r="J85">
        <v>19278</v>
      </c>
      <c r="K85">
        <v>16520</v>
      </c>
      <c r="L85">
        <v>-258.14</v>
      </c>
      <c r="M85">
        <v>-155.33</v>
      </c>
      <c r="N85">
        <v>-118.81</v>
      </c>
      <c r="O85">
        <v>24.14</v>
      </c>
      <c r="P85" t="b">
        <v>1</v>
      </c>
      <c r="Q85">
        <v>0</v>
      </c>
      <c r="R85">
        <v>2162</v>
      </c>
      <c r="U85" t="s">
        <v>761</v>
      </c>
      <c r="V85" t="s">
        <v>1082</v>
      </c>
      <c r="W85">
        <v>0</v>
      </c>
      <c r="X85">
        <v>-33.3</v>
      </c>
      <c r="Y85" t="s">
        <v>1396</v>
      </c>
      <c r="Z85">
        <v>-5.738888250522411</v>
      </c>
      <c r="AA85">
        <v>1628</v>
      </c>
      <c r="AB85">
        <v>22066</v>
      </c>
      <c r="AC85" t="s">
        <v>1704</v>
      </c>
      <c r="AD85">
        <v>74.23</v>
      </c>
      <c r="AE85" t="s">
        <v>2025</v>
      </c>
      <c r="AF85" t="s">
        <v>2346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441</v>
      </c>
      <c r="C86">
        <f>HYPERLINK("https://finance.naver.com/item/coinfo.nhn?code=004590", "A004590")</f>
        <v>0</v>
      </c>
      <c r="D86">
        <f>HYPERLINK("http://comp.fnguide.com/SVO2/ASP/SVD_Consensus.asp?pGB=1&amp;gicode=A004590&amp;cID=&amp;MenuYn=Y&amp;ReportGB=&amp;NewMenuID=108&amp;stkGb=701", "한국가구")</f>
        <v>0</v>
      </c>
      <c r="E86">
        <v>3</v>
      </c>
      <c r="F86">
        <v>4285</v>
      </c>
      <c r="G86">
        <v>0</v>
      </c>
      <c r="H86">
        <v>4.42</v>
      </c>
      <c r="I86">
        <v>9916</v>
      </c>
      <c r="J86">
        <v>9228</v>
      </c>
      <c r="K86">
        <v>8984</v>
      </c>
      <c r="L86">
        <v>-131.41</v>
      </c>
      <c r="M86">
        <v>-115.36</v>
      </c>
      <c r="N86">
        <v>-109.65</v>
      </c>
      <c r="O86">
        <v>12.69</v>
      </c>
      <c r="P86" t="b">
        <v>1</v>
      </c>
      <c r="Q86">
        <v>0</v>
      </c>
      <c r="R86">
        <v>1459</v>
      </c>
      <c r="U86" t="s">
        <v>762</v>
      </c>
      <c r="V86" t="s">
        <v>1083</v>
      </c>
      <c r="W86">
        <v>0</v>
      </c>
      <c r="X86">
        <v>-8.699999999999999</v>
      </c>
      <c r="Y86" t="s">
        <v>1397</v>
      </c>
      <c r="Z86">
        <v>29.51114496944196</v>
      </c>
      <c r="AA86">
        <v>643</v>
      </c>
      <c r="AB86">
        <v>160805</v>
      </c>
      <c r="AC86" t="s">
        <v>1705</v>
      </c>
      <c r="AD86">
        <v>55.79</v>
      </c>
      <c r="AE86" t="s">
        <v>2026</v>
      </c>
      <c r="AF86" t="s">
        <v>2347</v>
      </c>
      <c r="AG86">
        <v>930</v>
      </c>
      <c r="AH86">
        <v>149</v>
      </c>
      <c r="AJ86">
        <v>2.71</v>
      </c>
      <c r="AK86" t="b">
        <v>1</v>
      </c>
    </row>
    <row r="87" spans="1:37">
      <c r="A87" s="1" t="s">
        <v>121</v>
      </c>
      <c r="B87" t="s">
        <v>442</v>
      </c>
      <c r="C87">
        <f>HYPERLINK("https://finance.naver.com/item/coinfo.nhn?code=039340", "A039340")</f>
        <v>0</v>
      </c>
      <c r="D87">
        <f>HYPERLINK("http://comp.fnguide.com/SVO2/ASP/SVD_Consensus.asp?pGB=1&amp;gicode=A039340&amp;cID=&amp;MenuYn=Y&amp;ReportGB=&amp;NewMenuID=108&amp;stkGb=701", "한국경제TV")</f>
        <v>0</v>
      </c>
      <c r="E87">
        <v>3</v>
      </c>
      <c r="F87">
        <v>5800</v>
      </c>
      <c r="G87">
        <v>0</v>
      </c>
      <c r="H87">
        <v>6.7</v>
      </c>
      <c r="I87">
        <v>10383</v>
      </c>
      <c r="J87">
        <v>8749</v>
      </c>
      <c r="K87">
        <v>8169</v>
      </c>
      <c r="L87">
        <v>-79.01000000000001</v>
      </c>
      <c r="M87">
        <v>-50.85</v>
      </c>
      <c r="N87">
        <v>-40.84</v>
      </c>
      <c r="O87">
        <v>15.7</v>
      </c>
      <c r="P87" t="b">
        <v>1</v>
      </c>
      <c r="Q87">
        <v>0</v>
      </c>
      <c r="R87">
        <v>1103</v>
      </c>
      <c r="U87" t="s">
        <v>763</v>
      </c>
      <c r="V87" t="s">
        <v>1084</v>
      </c>
      <c r="W87">
        <v>0</v>
      </c>
      <c r="X87">
        <v>-46.6</v>
      </c>
      <c r="Y87" t="s">
        <v>1398</v>
      </c>
      <c r="Z87">
        <v>2.03717838189923</v>
      </c>
      <c r="AA87">
        <v>1334</v>
      </c>
      <c r="AB87">
        <v>51282</v>
      </c>
      <c r="AC87" t="s">
        <v>1706</v>
      </c>
      <c r="AD87">
        <v>46.04</v>
      </c>
      <c r="AE87" t="s">
        <v>2027</v>
      </c>
      <c r="AF87" t="s">
        <v>2348</v>
      </c>
      <c r="AG87">
        <v>1194</v>
      </c>
      <c r="AH87">
        <v>265</v>
      </c>
      <c r="AI87">
        <v>1738061</v>
      </c>
      <c r="AJ87">
        <v>2.71</v>
      </c>
      <c r="AK87" t="b">
        <v>1</v>
      </c>
    </row>
    <row r="88" spans="1:37">
      <c r="A88" s="1" t="s">
        <v>122</v>
      </c>
      <c r="B88" t="s">
        <v>443</v>
      </c>
      <c r="C88">
        <f>HYPERLINK("https://finance.naver.com/item/coinfo.nhn?code=017890", "A017890")</f>
        <v>0</v>
      </c>
      <c r="D88">
        <f>HYPERLINK("http://comp.fnguide.com/SVO2/ASP/SVD_Consensus.asp?pGB=1&amp;gicode=A017890&amp;cID=&amp;MenuYn=Y&amp;ReportGB=&amp;NewMenuID=108&amp;stkGb=701", "한국알콜")</f>
        <v>0</v>
      </c>
      <c r="E88">
        <v>3</v>
      </c>
      <c r="F88">
        <v>10400</v>
      </c>
      <c r="G88">
        <v>0</v>
      </c>
      <c r="H88">
        <v>5.55</v>
      </c>
      <c r="I88">
        <v>22840</v>
      </c>
      <c r="J88">
        <v>21545</v>
      </c>
      <c r="K88">
        <v>21085</v>
      </c>
      <c r="L88">
        <v>-119.61</v>
      </c>
      <c r="M88">
        <v>-107.16</v>
      </c>
      <c r="N88">
        <v>-102.74</v>
      </c>
      <c r="O88">
        <v>12.34</v>
      </c>
      <c r="P88" t="b">
        <v>1</v>
      </c>
      <c r="Q88">
        <v>0</v>
      </c>
      <c r="R88">
        <v>2125</v>
      </c>
      <c r="U88" t="s">
        <v>764</v>
      </c>
      <c r="V88" t="s">
        <v>1085</v>
      </c>
      <c r="W88">
        <v>0</v>
      </c>
      <c r="X88">
        <v>-25.5</v>
      </c>
      <c r="Y88" t="s">
        <v>1399</v>
      </c>
      <c r="Z88">
        <v>11.17546032100911</v>
      </c>
      <c r="AA88">
        <v>2247</v>
      </c>
      <c r="AB88">
        <v>32328</v>
      </c>
      <c r="AC88" t="s">
        <v>1707</v>
      </c>
      <c r="AD88">
        <v>38.58</v>
      </c>
      <c r="AE88" t="s">
        <v>2028</v>
      </c>
      <c r="AF88" t="s">
        <v>2349</v>
      </c>
      <c r="AG88">
        <v>5017</v>
      </c>
      <c r="AH88">
        <v>540</v>
      </c>
      <c r="AI88">
        <v>1025167</v>
      </c>
      <c r="AJ88">
        <v>0.85</v>
      </c>
      <c r="AK88" t="b">
        <v>1</v>
      </c>
    </row>
    <row r="89" spans="1:37">
      <c r="A89" s="1" t="s">
        <v>123</v>
      </c>
      <c r="B89" t="s">
        <v>444</v>
      </c>
      <c r="C89">
        <f>HYPERLINK("https://finance.naver.com/item/coinfo.nhn?code=023760", "A023760")</f>
        <v>0</v>
      </c>
      <c r="D89">
        <f>HYPERLINK("http://comp.fnguide.com/SVO2/ASP/SVD_Consensus.asp?pGB=1&amp;gicode=A023760&amp;cID=&amp;MenuYn=Y&amp;ReportGB=&amp;NewMenuID=108&amp;stkGb=701", "한국캐피탈")</f>
        <v>0</v>
      </c>
      <c r="E89">
        <v>3</v>
      </c>
      <c r="F89">
        <v>735</v>
      </c>
      <c r="G89">
        <v>0</v>
      </c>
      <c r="H89">
        <v>5.01</v>
      </c>
      <c r="I89">
        <v>1455</v>
      </c>
      <c r="J89">
        <v>1370</v>
      </c>
      <c r="K89">
        <v>1339</v>
      </c>
      <c r="L89">
        <v>-97.98</v>
      </c>
      <c r="M89">
        <v>-86.34</v>
      </c>
      <c r="N89">
        <v>-82.20999999999999</v>
      </c>
      <c r="O89">
        <v>12.4</v>
      </c>
      <c r="P89" t="b">
        <v>0</v>
      </c>
      <c r="Q89">
        <v>0</v>
      </c>
      <c r="R89">
        <v>168</v>
      </c>
      <c r="U89" t="s">
        <v>765</v>
      </c>
      <c r="V89" t="s">
        <v>1086</v>
      </c>
      <c r="W89">
        <v>0</v>
      </c>
      <c r="Y89" t="s">
        <v>1321</v>
      </c>
      <c r="Z89">
        <v>11.17546032100911</v>
      </c>
      <c r="AA89">
        <v>2320</v>
      </c>
      <c r="AB89">
        <v>493599</v>
      </c>
      <c r="AC89" t="s">
        <v>1708</v>
      </c>
      <c r="AD89">
        <v>80.41</v>
      </c>
      <c r="AE89" t="s">
        <v>2029</v>
      </c>
      <c r="AF89" t="s">
        <v>2350</v>
      </c>
      <c r="AG89">
        <v>1156</v>
      </c>
      <c r="AH89">
        <v>747</v>
      </c>
      <c r="AI89">
        <v>3052001</v>
      </c>
      <c r="AJ89">
        <v>4.15</v>
      </c>
      <c r="AK89" t="b">
        <v>1</v>
      </c>
    </row>
    <row r="90" spans="1:37">
      <c r="A90" s="1" t="s">
        <v>124</v>
      </c>
      <c r="B90" t="s">
        <v>445</v>
      </c>
      <c r="C90">
        <f>HYPERLINK("https://finance.naver.com/item/coinfo.nhn?code=054040", "A054040")</f>
        <v>0</v>
      </c>
      <c r="D90">
        <f>HYPERLINK("http://comp.fnguide.com/SVO2/ASP/SVD_Consensus.asp?pGB=1&amp;gicode=A054040&amp;cID=&amp;MenuYn=Y&amp;ReportGB=&amp;NewMenuID=108&amp;stkGb=701", "한국컴퓨터")</f>
        <v>0</v>
      </c>
      <c r="E90">
        <v>3</v>
      </c>
      <c r="F90">
        <v>4390</v>
      </c>
      <c r="G90">
        <v>0</v>
      </c>
      <c r="H90">
        <v>5.43</v>
      </c>
      <c r="I90">
        <v>8005</v>
      </c>
      <c r="J90">
        <v>7874</v>
      </c>
      <c r="K90">
        <v>7828</v>
      </c>
      <c r="L90">
        <v>-82.34</v>
      </c>
      <c r="M90">
        <v>-79.36</v>
      </c>
      <c r="N90">
        <v>-78.3</v>
      </c>
      <c r="O90">
        <v>11.37</v>
      </c>
      <c r="P90" t="b">
        <v>1</v>
      </c>
      <c r="Q90">
        <v>0</v>
      </c>
      <c r="R90">
        <v>945</v>
      </c>
      <c r="U90" t="s">
        <v>766</v>
      </c>
      <c r="V90" t="s">
        <v>1087</v>
      </c>
      <c r="W90">
        <v>0</v>
      </c>
      <c r="X90">
        <v>44.5</v>
      </c>
      <c r="Y90" t="s">
        <v>1400</v>
      </c>
      <c r="Z90">
        <v>0</v>
      </c>
      <c r="AA90">
        <v>706</v>
      </c>
      <c r="AB90">
        <v>24426</v>
      </c>
      <c r="AC90" t="s">
        <v>1709</v>
      </c>
      <c r="AD90">
        <v>42.11</v>
      </c>
      <c r="AE90" t="s">
        <v>2030</v>
      </c>
      <c r="AF90" t="s">
        <v>2351</v>
      </c>
      <c r="AG90">
        <v>1945</v>
      </c>
      <c r="AH90">
        <v>138</v>
      </c>
      <c r="AI90">
        <v>1220484</v>
      </c>
      <c r="AJ90">
        <v>3.51</v>
      </c>
      <c r="AK90" t="b">
        <v>1</v>
      </c>
    </row>
    <row r="91" spans="1:37">
      <c r="A91" s="1" t="s">
        <v>125</v>
      </c>
      <c r="B91" t="s">
        <v>446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3160</v>
      </c>
      <c r="G91">
        <v>0</v>
      </c>
      <c r="H91">
        <v>9.06</v>
      </c>
      <c r="I91">
        <v>4965</v>
      </c>
      <c r="J91">
        <v>4764</v>
      </c>
      <c r="K91">
        <v>4693</v>
      </c>
      <c r="L91">
        <v>-57.13</v>
      </c>
      <c r="M91">
        <v>-50.77</v>
      </c>
      <c r="N91">
        <v>-48.51</v>
      </c>
      <c r="O91">
        <v>11.94</v>
      </c>
      <c r="P91" t="b">
        <v>1</v>
      </c>
      <c r="Q91">
        <v>0</v>
      </c>
      <c r="R91">
        <v>461</v>
      </c>
      <c r="U91" t="s">
        <v>767</v>
      </c>
      <c r="V91" t="s">
        <v>1088</v>
      </c>
      <c r="W91">
        <v>0</v>
      </c>
      <c r="X91">
        <v>-13.1</v>
      </c>
      <c r="Y91" t="s">
        <v>1401</v>
      </c>
      <c r="Z91">
        <v>46.70778561796693</v>
      </c>
      <c r="AA91">
        <v>517</v>
      </c>
      <c r="AB91">
        <v>8949</v>
      </c>
      <c r="AC91" t="s">
        <v>1710</v>
      </c>
      <c r="AD91">
        <v>45.81</v>
      </c>
      <c r="AE91" t="s">
        <v>2031</v>
      </c>
      <c r="AF91" t="s">
        <v>2352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447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14450</v>
      </c>
      <c r="G92">
        <v>0</v>
      </c>
      <c r="H92">
        <v>6.62</v>
      </c>
      <c r="I92">
        <v>26370</v>
      </c>
      <c r="J92">
        <v>25183</v>
      </c>
      <c r="K92">
        <v>24761</v>
      </c>
      <c r="L92">
        <v>-82.48999999999999</v>
      </c>
      <c r="M92">
        <v>-74.27</v>
      </c>
      <c r="N92">
        <v>-71.36</v>
      </c>
      <c r="O92">
        <v>12.05</v>
      </c>
      <c r="P92" t="b">
        <v>1</v>
      </c>
      <c r="Q92">
        <v>0</v>
      </c>
      <c r="R92">
        <v>2547</v>
      </c>
      <c r="U92" t="s">
        <v>768</v>
      </c>
      <c r="V92" t="s">
        <v>1089</v>
      </c>
      <c r="W92">
        <v>0</v>
      </c>
      <c r="X92">
        <v>68.3</v>
      </c>
      <c r="Y92" t="s">
        <v>1402</v>
      </c>
      <c r="Z92">
        <v>17.46501689940196</v>
      </c>
      <c r="AA92">
        <v>2601</v>
      </c>
      <c r="AB92">
        <v>17835</v>
      </c>
      <c r="AC92" t="s">
        <v>1711</v>
      </c>
      <c r="AD92">
        <v>46.04</v>
      </c>
      <c r="AE92" t="s">
        <v>2032</v>
      </c>
      <c r="AF92" t="s">
        <v>2353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448</v>
      </c>
      <c r="C93">
        <f>HYPERLINK("https://finance.naver.com/item/coinfo.nhn?code=007770", "A007770")</f>
        <v>0</v>
      </c>
      <c r="D93">
        <f>HYPERLINK("http://comp.fnguide.com/SVO2/ASP/SVD_Consensus.asp?pGB=1&amp;gicode=A007770&amp;cID=&amp;MenuYn=Y&amp;ReportGB=&amp;NewMenuID=108&amp;stkGb=701", "한일화학")</f>
        <v>0</v>
      </c>
      <c r="E93">
        <v>3</v>
      </c>
      <c r="F93">
        <v>17450</v>
      </c>
      <c r="G93">
        <v>0</v>
      </c>
      <c r="H93">
        <v>2.47</v>
      </c>
      <c r="I93">
        <v>33304</v>
      </c>
      <c r="J93">
        <v>32733</v>
      </c>
      <c r="K93">
        <v>32530</v>
      </c>
      <c r="L93">
        <v>-90.84999999999999</v>
      </c>
      <c r="M93">
        <v>-87.58</v>
      </c>
      <c r="N93">
        <v>-86.42</v>
      </c>
      <c r="O93">
        <v>11.39</v>
      </c>
      <c r="P93" t="b">
        <v>1</v>
      </c>
      <c r="Q93">
        <v>0</v>
      </c>
      <c r="R93">
        <v>6465</v>
      </c>
      <c r="U93" t="s">
        <v>769</v>
      </c>
      <c r="V93" t="s">
        <v>1090</v>
      </c>
      <c r="W93">
        <v>0</v>
      </c>
      <c r="X93">
        <v>249.2</v>
      </c>
      <c r="Y93" t="s">
        <v>1403</v>
      </c>
      <c r="Z93">
        <v>0</v>
      </c>
      <c r="AA93">
        <v>613</v>
      </c>
      <c r="AB93">
        <v>38952</v>
      </c>
      <c r="AC93" t="s">
        <v>1712</v>
      </c>
      <c r="AD93">
        <v>65.39</v>
      </c>
      <c r="AE93" t="s">
        <v>2033</v>
      </c>
      <c r="AF93" t="s">
        <v>2354</v>
      </c>
      <c r="AG93">
        <v>1139</v>
      </c>
      <c r="AH93">
        <v>5</v>
      </c>
      <c r="AJ93">
        <v>0.75</v>
      </c>
      <c r="AK93" t="b">
        <v>1</v>
      </c>
    </row>
    <row r="94" spans="1:37">
      <c r="A94" s="1" t="s">
        <v>128</v>
      </c>
      <c r="B94" t="s">
        <v>449</v>
      </c>
      <c r="C94">
        <f>HYPERLINK("https://finance.naver.com/item/coinfo.nhn?code=034810", "A034810")</f>
        <v>0</v>
      </c>
      <c r="D94">
        <f>HYPERLINK("http://comp.fnguide.com/SVO2/ASP/SVD_Consensus.asp?pGB=1&amp;gicode=A034810&amp;cID=&amp;MenuYn=Y&amp;ReportGB=&amp;NewMenuID=108&amp;stkGb=701", "해성산업")</f>
        <v>0</v>
      </c>
      <c r="E94">
        <v>3</v>
      </c>
      <c r="F94">
        <v>11000</v>
      </c>
      <c r="G94">
        <v>0</v>
      </c>
      <c r="H94">
        <v>6.95</v>
      </c>
      <c r="I94">
        <v>90741</v>
      </c>
      <c r="J94">
        <v>57922</v>
      </c>
      <c r="K94">
        <v>46263</v>
      </c>
      <c r="L94">
        <v>-724.92</v>
      </c>
      <c r="M94">
        <v>-426.56</v>
      </c>
      <c r="N94">
        <v>-320.57</v>
      </c>
      <c r="O94">
        <v>34.96</v>
      </c>
      <c r="P94" t="b">
        <v>0</v>
      </c>
      <c r="Q94">
        <v>0</v>
      </c>
      <c r="R94">
        <v>1987</v>
      </c>
      <c r="U94" t="s">
        <v>770</v>
      </c>
      <c r="V94" t="s">
        <v>1091</v>
      </c>
      <c r="W94">
        <v>0</v>
      </c>
      <c r="X94">
        <v>-44.7</v>
      </c>
      <c r="Y94" t="s">
        <v>1404</v>
      </c>
      <c r="Z94">
        <v>25.79782641890633</v>
      </c>
      <c r="AA94">
        <v>2899</v>
      </c>
      <c r="AB94">
        <v>168077</v>
      </c>
      <c r="AC94" t="s">
        <v>1713</v>
      </c>
      <c r="AD94">
        <v>63.76</v>
      </c>
      <c r="AE94" t="s">
        <v>2034</v>
      </c>
      <c r="AF94" t="s">
        <v>2355</v>
      </c>
      <c r="AG94">
        <v>18729</v>
      </c>
      <c r="AH94">
        <v>934</v>
      </c>
      <c r="AI94">
        <v>764637</v>
      </c>
      <c r="AJ94">
        <v>1.27</v>
      </c>
      <c r="AK94" t="b">
        <v>1</v>
      </c>
    </row>
    <row r="95" spans="1:37">
      <c r="A95" s="1" t="s">
        <v>129</v>
      </c>
      <c r="B95" t="s">
        <v>450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4575</v>
      </c>
      <c r="G95">
        <v>0</v>
      </c>
      <c r="H95">
        <v>4.16</v>
      </c>
      <c r="I95">
        <v>11145</v>
      </c>
      <c r="J95">
        <v>7600</v>
      </c>
      <c r="K95">
        <v>6340</v>
      </c>
      <c r="L95">
        <v>-143.61</v>
      </c>
      <c r="M95">
        <v>-66.11</v>
      </c>
      <c r="N95">
        <v>-38.58</v>
      </c>
      <c r="O95">
        <v>27.71</v>
      </c>
      <c r="P95" t="b">
        <v>1</v>
      </c>
      <c r="Q95">
        <v>0</v>
      </c>
      <c r="R95">
        <v>1551</v>
      </c>
      <c r="U95" t="s">
        <v>771</v>
      </c>
      <c r="V95" t="s">
        <v>1092</v>
      </c>
      <c r="W95">
        <v>0</v>
      </c>
      <c r="X95">
        <v>42.1</v>
      </c>
      <c r="Y95" t="s">
        <v>1405</v>
      </c>
      <c r="Z95">
        <v>-14.83419133087784</v>
      </c>
      <c r="AA95">
        <v>440</v>
      </c>
      <c r="AB95">
        <v>14173</v>
      </c>
      <c r="AC95" t="s">
        <v>1714</v>
      </c>
      <c r="AD95">
        <v>46.84</v>
      </c>
      <c r="AE95" t="s">
        <v>2035</v>
      </c>
      <c r="AF95" t="s">
        <v>2356</v>
      </c>
      <c r="AG95">
        <v>265</v>
      </c>
      <c r="AH95">
        <v>29</v>
      </c>
      <c r="AI95">
        <v>289297</v>
      </c>
      <c r="AJ95">
        <v>0.62</v>
      </c>
      <c r="AK95" t="b">
        <v>1</v>
      </c>
    </row>
    <row r="96" spans="1:37">
      <c r="A96" s="1" t="s">
        <v>130</v>
      </c>
      <c r="B96" t="s">
        <v>451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1180</v>
      </c>
      <c r="G96">
        <v>0</v>
      </c>
      <c r="I96">
        <v>3345</v>
      </c>
      <c r="J96">
        <v>2057</v>
      </c>
      <c r="K96">
        <v>1600</v>
      </c>
      <c r="L96">
        <v>-183.45</v>
      </c>
      <c r="M96">
        <v>-74.33</v>
      </c>
      <c r="N96">
        <v>-35.56</v>
      </c>
      <c r="O96">
        <v>40.65</v>
      </c>
      <c r="P96" t="b">
        <v>0</v>
      </c>
      <c r="Q96">
        <v>0</v>
      </c>
      <c r="R96">
        <v>-204</v>
      </c>
      <c r="U96" t="s">
        <v>772</v>
      </c>
      <c r="V96" t="s">
        <v>1093</v>
      </c>
      <c r="W96">
        <v>0</v>
      </c>
      <c r="Y96" t="s">
        <v>1406</v>
      </c>
      <c r="Z96">
        <v>0</v>
      </c>
      <c r="AA96">
        <v>453</v>
      </c>
      <c r="AB96">
        <v>174918</v>
      </c>
      <c r="AC96" t="s">
        <v>1715</v>
      </c>
      <c r="AD96">
        <v>38.31</v>
      </c>
      <c r="AE96" t="s">
        <v>2036</v>
      </c>
      <c r="AF96" t="s">
        <v>2272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452</v>
      </c>
      <c r="C97">
        <f>HYPERLINK("https://finance.naver.com/item/coinfo.nhn?code=205470", "A205470")</f>
        <v>0</v>
      </c>
      <c r="D97">
        <f>HYPERLINK("http://comp.fnguide.com/SVO2/ASP/SVD_Consensus.asp?pGB=1&amp;gicode=A205470&amp;cID=&amp;MenuYn=Y&amp;ReportGB=&amp;NewMenuID=108&amp;stkGb=701", "휴마시스")</f>
        <v>0</v>
      </c>
      <c r="E97">
        <v>3</v>
      </c>
      <c r="F97">
        <v>17800</v>
      </c>
      <c r="G97">
        <v>0</v>
      </c>
      <c r="H97">
        <v>3.78</v>
      </c>
      <c r="I97">
        <v>47010</v>
      </c>
      <c r="J97">
        <v>25512</v>
      </c>
      <c r="K97">
        <v>17874</v>
      </c>
      <c r="L97">
        <v>-164.1</v>
      </c>
      <c r="M97">
        <v>-43.32</v>
      </c>
      <c r="N97">
        <v>-0.42</v>
      </c>
      <c r="O97">
        <v>82.15000000000001</v>
      </c>
      <c r="P97" t="b">
        <v>1</v>
      </c>
      <c r="Q97">
        <v>0</v>
      </c>
      <c r="R97">
        <v>4418</v>
      </c>
      <c r="U97" t="s">
        <v>773</v>
      </c>
      <c r="V97" t="s">
        <v>1094</v>
      </c>
      <c r="W97">
        <v>0</v>
      </c>
      <c r="X97">
        <v>205.6</v>
      </c>
      <c r="Y97" t="s">
        <v>1407</v>
      </c>
      <c r="Z97">
        <v>0</v>
      </c>
      <c r="AA97">
        <v>6036</v>
      </c>
      <c r="AB97">
        <v>1340807</v>
      </c>
      <c r="AC97" t="s">
        <v>1716</v>
      </c>
      <c r="AD97">
        <v>8.56</v>
      </c>
      <c r="AE97" t="s">
        <v>2037</v>
      </c>
      <c r="AF97" t="s">
        <v>2357</v>
      </c>
      <c r="AG97">
        <v>3218</v>
      </c>
      <c r="AH97">
        <v>1936</v>
      </c>
      <c r="AI97">
        <v>1878843</v>
      </c>
      <c r="AJ97">
        <v>1.2</v>
      </c>
      <c r="AK97" t="b">
        <v>1</v>
      </c>
    </row>
    <row r="98" spans="1:37">
      <c r="A98" s="1" t="s">
        <v>132</v>
      </c>
      <c r="B98" t="s">
        <v>453</v>
      </c>
      <c r="C98">
        <f>HYPERLINK("https://finance.naver.com/item/coinfo.nhn?code=052300", "A052300")</f>
        <v>0</v>
      </c>
      <c r="D98">
        <f>HYPERLINK("http://comp.fnguide.com/SVO2/ASP/SVD_Consensus.asp?pGB=1&amp;gicode=A052300&amp;cID=&amp;MenuYn=Y&amp;ReportGB=&amp;NewMenuID=108&amp;stkGb=701", "초록뱀컴퍼니")</f>
        <v>0</v>
      </c>
      <c r="E98">
        <v>3</v>
      </c>
      <c r="F98">
        <v>517</v>
      </c>
      <c r="G98">
        <v>0</v>
      </c>
      <c r="H98">
        <v>1.72</v>
      </c>
      <c r="I98">
        <v>4376</v>
      </c>
      <c r="J98">
        <v>3259</v>
      </c>
      <c r="K98">
        <v>2862</v>
      </c>
      <c r="L98">
        <v>-746.48</v>
      </c>
      <c r="M98">
        <v>-530.34</v>
      </c>
      <c r="N98">
        <v>-453.56</v>
      </c>
      <c r="O98">
        <v>21.33</v>
      </c>
      <c r="P98" t="b">
        <v>1</v>
      </c>
      <c r="Q98">
        <v>0</v>
      </c>
      <c r="R98">
        <v>772</v>
      </c>
      <c r="U98" t="s">
        <v>774</v>
      </c>
      <c r="V98" t="s">
        <v>1095</v>
      </c>
      <c r="W98">
        <v>0</v>
      </c>
      <c r="Y98" t="s">
        <v>1408</v>
      </c>
      <c r="Z98">
        <v>0</v>
      </c>
      <c r="AA98">
        <v>613</v>
      </c>
      <c r="AB98">
        <v>642477</v>
      </c>
      <c r="AC98" t="s">
        <v>1717</v>
      </c>
      <c r="AD98">
        <v>16.34</v>
      </c>
      <c r="AE98" t="s">
        <v>2038</v>
      </c>
      <c r="AF98" t="s">
        <v>2358</v>
      </c>
      <c r="AG98">
        <v>620</v>
      </c>
      <c r="AH98">
        <v>-15</v>
      </c>
      <c r="AI98">
        <v>12034</v>
      </c>
      <c r="AK98" t="b">
        <v>1</v>
      </c>
    </row>
    <row r="99" spans="1:37">
      <c r="A99" s="1" t="s">
        <v>133</v>
      </c>
      <c r="B99" t="s">
        <v>454</v>
      </c>
      <c r="C99">
        <f>HYPERLINK("https://finance.naver.com/item/coinfo.nhn?code=064800", "A064800")</f>
        <v>0</v>
      </c>
      <c r="D99">
        <f>HYPERLINK("http://comp.fnguide.com/SVO2/ASP/SVD_Consensus.asp?pGB=1&amp;gicode=A064800&amp;cID=&amp;MenuYn=Y&amp;ReportGB=&amp;NewMenuID=108&amp;stkGb=701", "젬백스링크")</f>
        <v>0</v>
      </c>
      <c r="E99">
        <v>3</v>
      </c>
      <c r="F99">
        <v>1340</v>
      </c>
      <c r="G99">
        <v>0</v>
      </c>
      <c r="H99">
        <v>4.12</v>
      </c>
      <c r="I99">
        <v>2660</v>
      </c>
      <c r="J99">
        <v>2449</v>
      </c>
      <c r="K99">
        <v>2374</v>
      </c>
      <c r="L99">
        <v>-98.48</v>
      </c>
      <c r="M99">
        <v>-82.73999999999999</v>
      </c>
      <c r="N99">
        <v>-77.15000000000001</v>
      </c>
      <c r="O99">
        <v>12.97</v>
      </c>
      <c r="P99" t="b">
        <v>1</v>
      </c>
      <c r="Q99">
        <v>0</v>
      </c>
      <c r="R99">
        <v>415</v>
      </c>
      <c r="U99" t="s">
        <v>775</v>
      </c>
      <c r="V99" t="s">
        <v>1096</v>
      </c>
      <c r="W99">
        <v>0</v>
      </c>
      <c r="Y99" t="s">
        <v>1409</v>
      </c>
      <c r="Z99">
        <v>0</v>
      </c>
      <c r="AA99">
        <v>1122</v>
      </c>
      <c r="AB99">
        <v>358255</v>
      </c>
      <c r="AC99" t="s">
        <v>1718</v>
      </c>
      <c r="AD99">
        <v>23.46</v>
      </c>
      <c r="AE99" t="s">
        <v>2039</v>
      </c>
      <c r="AF99" t="s">
        <v>2359</v>
      </c>
      <c r="AG99">
        <v>1096</v>
      </c>
      <c r="AH99">
        <v>17</v>
      </c>
      <c r="AJ99">
        <v>1.17</v>
      </c>
      <c r="AK99" t="b">
        <v>1</v>
      </c>
    </row>
    <row r="100" spans="1:37">
      <c r="A100" s="1" t="s">
        <v>134</v>
      </c>
      <c r="B100" t="s">
        <v>455</v>
      </c>
      <c r="C100">
        <f>HYPERLINK("https://finance.naver.com/item/coinfo.nhn?code=199820", "A199820")</f>
        <v>0</v>
      </c>
      <c r="D100">
        <f>HYPERLINK("http://comp.fnguide.com/SVO2/ASP/SVD_Consensus.asp?pGB=1&amp;gicode=A199820&amp;cID=&amp;MenuYn=Y&amp;ReportGB=&amp;NewMenuID=108&amp;stkGb=701", "제일전기공업")</f>
        <v>0</v>
      </c>
      <c r="E100">
        <v>3</v>
      </c>
      <c r="F100">
        <v>9620</v>
      </c>
      <c r="G100">
        <v>0</v>
      </c>
      <c r="H100">
        <v>15.71</v>
      </c>
      <c r="I100">
        <v>14958</v>
      </c>
      <c r="J100">
        <v>12577</v>
      </c>
      <c r="K100">
        <v>11731</v>
      </c>
      <c r="L100">
        <v>-55.48</v>
      </c>
      <c r="M100">
        <v>-30.74</v>
      </c>
      <c r="N100">
        <v>-21.94</v>
      </c>
      <c r="O100">
        <v>15.77</v>
      </c>
      <c r="P100" t="b">
        <v>1</v>
      </c>
      <c r="Q100">
        <v>0</v>
      </c>
      <c r="R100">
        <v>1162</v>
      </c>
      <c r="U100" t="s">
        <v>776</v>
      </c>
      <c r="V100" t="s">
        <v>1097</v>
      </c>
      <c r="W100">
        <v>0</v>
      </c>
      <c r="X100">
        <v>-30.1</v>
      </c>
      <c r="Y100" t="s">
        <v>1410</v>
      </c>
      <c r="Z100">
        <v>-12.54554813746089</v>
      </c>
      <c r="AA100">
        <v>1069</v>
      </c>
      <c r="AB100">
        <v>4045</v>
      </c>
      <c r="AC100" t="s">
        <v>1719</v>
      </c>
      <c r="AD100">
        <v>60.52</v>
      </c>
      <c r="AE100" t="s">
        <v>2040</v>
      </c>
      <c r="AF100" t="s">
        <v>2360</v>
      </c>
      <c r="AG100">
        <v>1472</v>
      </c>
      <c r="AH100">
        <v>129</v>
      </c>
      <c r="AJ100">
        <v>1.64</v>
      </c>
      <c r="AK100" t="b">
        <v>1</v>
      </c>
    </row>
    <row r="101" spans="1:37">
      <c r="A101" s="1" t="s">
        <v>135</v>
      </c>
      <c r="B101" t="s">
        <v>456</v>
      </c>
      <c r="C101">
        <f>HYPERLINK("https://finance.naver.com/item/coinfo.nhn?code=084440", "A084440")</f>
        <v>0</v>
      </c>
      <c r="D101">
        <f>HYPERLINK("http://comp.fnguide.com/SVO2/ASP/SVD_Consensus.asp?pGB=1&amp;gicode=A084440&amp;cID=&amp;MenuYn=Y&amp;ReportGB=&amp;NewMenuID=108&amp;stkGb=701", "유비온")</f>
        <v>0</v>
      </c>
      <c r="E101">
        <v>3</v>
      </c>
      <c r="F101">
        <v>1275</v>
      </c>
      <c r="G101">
        <v>0</v>
      </c>
      <c r="H101">
        <v>15.95</v>
      </c>
      <c r="I101">
        <v>33562</v>
      </c>
      <c r="J101">
        <v>15954</v>
      </c>
      <c r="K101">
        <v>9698</v>
      </c>
      <c r="L101">
        <v>-2532.29</v>
      </c>
      <c r="M101">
        <v>-1151.26</v>
      </c>
      <c r="N101">
        <v>-660.64</v>
      </c>
      <c r="O101">
        <v>1656.99</v>
      </c>
      <c r="P101" t="b">
        <v>1</v>
      </c>
      <c r="Q101">
        <v>0</v>
      </c>
      <c r="R101">
        <v>128</v>
      </c>
      <c r="U101" t="s">
        <v>777</v>
      </c>
      <c r="V101" t="s">
        <v>1098</v>
      </c>
      <c r="W101">
        <v>0</v>
      </c>
      <c r="X101">
        <v>36.3</v>
      </c>
      <c r="Y101" t="s">
        <v>1411</v>
      </c>
      <c r="Z101">
        <v>0</v>
      </c>
      <c r="AA101">
        <v>251</v>
      </c>
      <c r="AB101">
        <v>99961</v>
      </c>
      <c r="AC101" t="s">
        <v>1720</v>
      </c>
      <c r="AD101">
        <v>34.47</v>
      </c>
      <c r="AE101" t="s">
        <v>2041</v>
      </c>
      <c r="AF101" t="s">
        <v>2361</v>
      </c>
      <c r="AG101">
        <v>315</v>
      </c>
      <c r="AH101">
        <v>23</v>
      </c>
      <c r="AK101" t="b">
        <v>1</v>
      </c>
    </row>
    <row r="102" spans="1:37">
      <c r="A102" s="1" t="s">
        <v>136</v>
      </c>
      <c r="B102" t="s">
        <v>457</v>
      </c>
      <c r="C102">
        <f>HYPERLINK("https://finance.naver.com/item/coinfo.nhn?code=037400", "A037400")</f>
        <v>0</v>
      </c>
      <c r="D102">
        <f>HYPERLINK("http://comp.fnguide.com/SVO2/ASP/SVD_Consensus.asp?pGB=1&amp;gicode=A037400&amp;cID=&amp;MenuYn=Y&amp;ReportGB=&amp;NewMenuID=108&amp;stkGb=701", "우리엔터프라이즈")</f>
        <v>0</v>
      </c>
      <c r="E102">
        <v>3</v>
      </c>
      <c r="F102">
        <v>1930</v>
      </c>
      <c r="G102">
        <v>0</v>
      </c>
      <c r="H102">
        <v>3.34</v>
      </c>
      <c r="I102">
        <v>5533</v>
      </c>
      <c r="J102">
        <v>4812</v>
      </c>
      <c r="K102">
        <v>4557</v>
      </c>
      <c r="L102">
        <v>-186.67</v>
      </c>
      <c r="M102">
        <v>-149.35</v>
      </c>
      <c r="N102">
        <v>-136.09</v>
      </c>
      <c r="O102">
        <v>14.62</v>
      </c>
      <c r="P102" t="b">
        <v>1</v>
      </c>
      <c r="Q102">
        <v>0</v>
      </c>
      <c r="R102">
        <v>818</v>
      </c>
      <c r="U102" t="s">
        <v>778</v>
      </c>
      <c r="V102" t="s">
        <v>1099</v>
      </c>
      <c r="W102">
        <v>0</v>
      </c>
      <c r="X102">
        <v>-20.4</v>
      </c>
      <c r="Y102" t="s">
        <v>1412</v>
      </c>
      <c r="Z102">
        <v>0</v>
      </c>
      <c r="AA102">
        <v>506</v>
      </c>
      <c r="AB102">
        <v>21508</v>
      </c>
      <c r="AC102" t="s">
        <v>1721</v>
      </c>
      <c r="AD102">
        <v>28.33</v>
      </c>
      <c r="AE102" t="s">
        <v>2042</v>
      </c>
      <c r="AF102" t="s">
        <v>2362</v>
      </c>
      <c r="AG102">
        <v>15679</v>
      </c>
      <c r="AH102">
        <v>442</v>
      </c>
      <c r="AI102">
        <v>1972510</v>
      </c>
      <c r="AK102" t="b">
        <v>1</v>
      </c>
    </row>
    <row r="103" spans="1:37">
      <c r="A103" s="1" t="s">
        <v>137</v>
      </c>
      <c r="B103" t="s">
        <v>458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1090</v>
      </c>
      <c r="G103">
        <v>0</v>
      </c>
      <c r="H103">
        <v>4.78</v>
      </c>
      <c r="I103">
        <v>1915</v>
      </c>
      <c r="J103">
        <v>1644</v>
      </c>
      <c r="K103">
        <v>1548</v>
      </c>
      <c r="L103">
        <v>-75.65000000000001</v>
      </c>
      <c r="M103">
        <v>-50.8</v>
      </c>
      <c r="N103">
        <v>-41.97</v>
      </c>
      <c r="O103">
        <v>15.05</v>
      </c>
      <c r="P103" t="b">
        <v>1</v>
      </c>
      <c r="Q103">
        <v>0</v>
      </c>
      <c r="R103">
        <v>351</v>
      </c>
      <c r="U103" t="s">
        <v>779</v>
      </c>
      <c r="V103" t="s">
        <v>1100</v>
      </c>
      <c r="W103">
        <v>0</v>
      </c>
      <c r="X103">
        <v>29.6</v>
      </c>
      <c r="Y103" t="s">
        <v>1413</v>
      </c>
      <c r="Z103">
        <v>0</v>
      </c>
      <c r="AA103">
        <v>561</v>
      </c>
      <c r="AB103">
        <v>129746</v>
      </c>
      <c r="AC103" t="s">
        <v>1722</v>
      </c>
      <c r="AD103">
        <v>39.7</v>
      </c>
      <c r="AE103" t="s">
        <v>2043</v>
      </c>
      <c r="AF103" t="s">
        <v>2363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459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4080</v>
      </c>
      <c r="G104">
        <v>0</v>
      </c>
      <c r="H104">
        <v>2.81</v>
      </c>
      <c r="I104">
        <v>34861</v>
      </c>
      <c r="J104">
        <v>22693</v>
      </c>
      <c r="K104">
        <v>18371</v>
      </c>
      <c r="L104">
        <v>-754.45</v>
      </c>
      <c r="M104">
        <v>-456.21</v>
      </c>
      <c r="N104">
        <v>-350.26</v>
      </c>
      <c r="O104">
        <v>32.49</v>
      </c>
      <c r="P104" t="b">
        <v>1</v>
      </c>
      <c r="Q104">
        <v>0</v>
      </c>
      <c r="R104">
        <v>1566</v>
      </c>
      <c r="U104" t="s">
        <v>780</v>
      </c>
      <c r="V104" t="s">
        <v>1101</v>
      </c>
      <c r="W104">
        <v>0</v>
      </c>
      <c r="X104">
        <v>-21.4</v>
      </c>
      <c r="Y104" t="s">
        <v>1414</v>
      </c>
      <c r="Z104">
        <v>0</v>
      </c>
      <c r="AA104">
        <v>742</v>
      </c>
      <c r="AB104">
        <v>17695</v>
      </c>
      <c r="AC104" t="s">
        <v>1723</v>
      </c>
      <c r="AD104">
        <v>47.54</v>
      </c>
      <c r="AE104" t="s">
        <v>2044</v>
      </c>
      <c r="AF104" t="s">
        <v>2364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460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30100</v>
      </c>
      <c r="G105">
        <v>0.2</v>
      </c>
      <c r="H105">
        <v>8.449999999999999</v>
      </c>
      <c r="I105">
        <v>34550</v>
      </c>
      <c r="J105">
        <v>32736</v>
      </c>
      <c r="K105">
        <v>32091</v>
      </c>
      <c r="L105">
        <v>-14.79</v>
      </c>
      <c r="M105">
        <v>-8.76</v>
      </c>
      <c r="N105">
        <v>-6.62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781</v>
      </c>
      <c r="V105" t="s">
        <v>1102</v>
      </c>
      <c r="W105">
        <v>41.57710357070825</v>
      </c>
      <c r="X105">
        <v>19.9</v>
      </c>
      <c r="Y105" t="s">
        <v>1415</v>
      </c>
      <c r="Z105">
        <v>25.26098356260405</v>
      </c>
      <c r="AA105">
        <v>3795</v>
      </c>
      <c r="AB105">
        <v>14090</v>
      </c>
      <c r="AC105" t="s">
        <v>1724</v>
      </c>
      <c r="AD105">
        <v>45.71</v>
      </c>
      <c r="AE105" t="s">
        <v>2045</v>
      </c>
      <c r="AF105" t="s">
        <v>2365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461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5380</v>
      </c>
      <c r="G106">
        <v>0</v>
      </c>
      <c r="H106">
        <v>1.35</v>
      </c>
      <c r="I106">
        <v>31068</v>
      </c>
      <c r="J106">
        <v>17463</v>
      </c>
      <c r="K106">
        <v>12630</v>
      </c>
      <c r="L106">
        <v>-477.47</v>
      </c>
      <c r="M106">
        <v>-224.6</v>
      </c>
      <c r="N106">
        <v>-134.77</v>
      </c>
      <c r="O106">
        <v>64.47</v>
      </c>
      <c r="P106" t="b">
        <v>1</v>
      </c>
      <c r="Q106">
        <v>0</v>
      </c>
      <c r="R106">
        <v>4040</v>
      </c>
      <c r="U106" t="s">
        <v>782</v>
      </c>
      <c r="V106" t="s">
        <v>1103</v>
      </c>
      <c r="W106">
        <v>0</v>
      </c>
      <c r="Y106" t="s">
        <v>1336</v>
      </c>
      <c r="Z106">
        <v>0</v>
      </c>
      <c r="AA106">
        <v>805</v>
      </c>
      <c r="AB106">
        <v>52486</v>
      </c>
      <c r="AC106" t="s">
        <v>1725</v>
      </c>
      <c r="AD106">
        <v>19.57</v>
      </c>
      <c r="AE106" t="s">
        <v>2046</v>
      </c>
      <c r="AF106" t="s">
        <v>2366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462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17200</v>
      </c>
      <c r="G107">
        <v>0.63</v>
      </c>
      <c r="H107">
        <v>11.75</v>
      </c>
      <c r="I107">
        <v>28960</v>
      </c>
      <c r="J107">
        <v>22700</v>
      </c>
      <c r="K107">
        <v>20476</v>
      </c>
      <c r="L107">
        <v>-68.37</v>
      </c>
      <c r="M107">
        <v>-31.98</v>
      </c>
      <c r="N107">
        <v>-19.05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783</v>
      </c>
      <c r="V107" t="s">
        <v>1104</v>
      </c>
      <c r="W107">
        <v>18.76938298857556</v>
      </c>
      <c r="X107">
        <v>-9.4</v>
      </c>
      <c r="Y107" t="s">
        <v>1416</v>
      </c>
      <c r="Z107">
        <v>21.05129642219477</v>
      </c>
      <c r="AA107">
        <v>6073</v>
      </c>
      <c r="AB107">
        <v>102990</v>
      </c>
      <c r="AC107" t="s">
        <v>1726</v>
      </c>
      <c r="AD107">
        <v>27.19</v>
      </c>
      <c r="AE107" t="s">
        <v>2047</v>
      </c>
      <c r="AF107" t="s">
        <v>2367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463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6390</v>
      </c>
      <c r="I108">
        <v>20236</v>
      </c>
      <c r="J108">
        <v>12942</v>
      </c>
      <c r="K108">
        <v>10350</v>
      </c>
      <c r="L108">
        <v>-216.69</v>
      </c>
      <c r="M108">
        <v>-102.53</v>
      </c>
      <c r="N108">
        <v>-61.97</v>
      </c>
      <c r="O108">
        <v>34.71</v>
      </c>
      <c r="P108" t="b">
        <v>0</v>
      </c>
      <c r="Q108">
        <v>0</v>
      </c>
      <c r="R108">
        <v>2501</v>
      </c>
      <c r="S108">
        <v>1137</v>
      </c>
      <c r="T108">
        <v>-54.5</v>
      </c>
      <c r="U108" t="s">
        <v>784</v>
      </c>
      <c r="V108" t="s">
        <v>1105</v>
      </c>
      <c r="W108">
        <v>-6.94827346669582</v>
      </c>
      <c r="X108">
        <v>-47.5</v>
      </c>
      <c r="Y108" t="s">
        <v>1417</v>
      </c>
      <c r="Z108">
        <v>23.85469601255852</v>
      </c>
      <c r="AA108">
        <v>984</v>
      </c>
      <c r="AB108">
        <v>170582</v>
      </c>
      <c r="AC108" t="s">
        <v>1727</v>
      </c>
      <c r="AD108">
        <v>64.56</v>
      </c>
      <c r="AE108" t="s">
        <v>2048</v>
      </c>
      <c r="AF108" t="s">
        <v>2368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464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12900</v>
      </c>
      <c r="G109">
        <v>0</v>
      </c>
      <c r="H109">
        <v>18.25</v>
      </c>
      <c r="I109">
        <v>21057</v>
      </c>
      <c r="J109">
        <v>16578</v>
      </c>
      <c r="K109">
        <v>14986</v>
      </c>
      <c r="L109">
        <v>-63.23</v>
      </c>
      <c r="M109">
        <v>-28.51</v>
      </c>
      <c r="N109">
        <v>-16.17</v>
      </c>
      <c r="O109">
        <v>18.45</v>
      </c>
      <c r="P109" t="b">
        <v>1</v>
      </c>
      <c r="Q109">
        <v>0</v>
      </c>
      <c r="R109">
        <v>1118</v>
      </c>
      <c r="U109" t="s">
        <v>785</v>
      </c>
      <c r="V109" t="s">
        <v>1106</v>
      </c>
      <c r="W109">
        <v>0</v>
      </c>
      <c r="X109">
        <v>-53.1</v>
      </c>
      <c r="Y109" t="s">
        <v>1418</v>
      </c>
      <c r="Z109">
        <v>-5.405706797840026</v>
      </c>
      <c r="AA109">
        <v>2306</v>
      </c>
      <c r="AB109">
        <v>26334</v>
      </c>
      <c r="AC109" t="s">
        <v>1728</v>
      </c>
      <c r="AD109">
        <v>47.92</v>
      </c>
      <c r="AE109" t="s">
        <v>2049</v>
      </c>
      <c r="AF109" t="s">
        <v>2369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465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12550</v>
      </c>
      <c r="G110">
        <v>0</v>
      </c>
      <c r="H110">
        <v>12.39</v>
      </c>
      <c r="I110">
        <v>15810</v>
      </c>
      <c r="J110">
        <v>14138</v>
      </c>
      <c r="K110">
        <v>13543</v>
      </c>
      <c r="L110">
        <v>-25.98</v>
      </c>
      <c r="M110">
        <v>-12.65</v>
      </c>
      <c r="N110">
        <v>-7.92</v>
      </c>
      <c r="O110">
        <v>13.78</v>
      </c>
      <c r="P110" t="b">
        <v>1</v>
      </c>
      <c r="Q110">
        <v>0</v>
      </c>
      <c r="R110">
        <v>1340</v>
      </c>
      <c r="U110" t="s">
        <v>786</v>
      </c>
      <c r="V110" t="s">
        <v>1107</v>
      </c>
      <c r="W110">
        <v>0</v>
      </c>
      <c r="X110">
        <v>24.7</v>
      </c>
      <c r="Y110" t="s">
        <v>1419</v>
      </c>
      <c r="Z110">
        <v>18.9288270941538</v>
      </c>
      <c r="AA110">
        <v>1740</v>
      </c>
      <c r="AB110">
        <v>14793</v>
      </c>
      <c r="AC110" t="s">
        <v>1729</v>
      </c>
      <c r="AD110">
        <v>44.77</v>
      </c>
      <c r="AE110" t="s">
        <v>2050</v>
      </c>
      <c r="AF110" t="s">
        <v>2370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466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1060</v>
      </c>
      <c r="G111">
        <v>0</v>
      </c>
      <c r="H111">
        <v>2.84</v>
      </c>
      <c r="I111">
        <v>3717</v>
      </c>
      <c r="J111">
        <v>3479</v>
      </c>
      <c r="K111">
        <v>3395</v>
      </c>
      <c r="L111">
        <v>-250.7</v>
      </c>
      <c r="M111">
        <v>-228.23</v>
      </c>
      <c r="N111">
        <v>-220.24</v>
      </c>
      <c r="O111">
        <v>12.54</v>
      </c>
      <c r="P111" t="b">
        <v>0</v>
      </c>
      <c r="Q111">
        <v>0</v>
      </c>
      <c r="R111">
        <v>396</v>
      </c>
      <c r="U111" t="s">
        <v>787</v>
      </c>
      <c r="V111" t="s">
        <v>1108</v>
      </c>
      <c r="W111">
        <v>0</v>
      </c>
      <c r="X111">
        <v>-19.7</v>
      </c>
      <c r="Y111" t="s">
        <v>1420</v>
      </c>
      <c r="Z111">
        <v>-10.65011714770059</v>
      </c>
      <c r="AA111">
        <v>509</v>
      </c>
      <c r="AB111">
        <v>263059</v>
      </c>
      <c r="AC111" t="s">
        <v>1730</v>
      </c>
      <c r="AD111">
        <v>47.42</v>
      </c>
      <c r="AE111" t="s">
        <v>2051</v>
      </c>
      <c r="AF111" t="s">
        <v>2371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467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6400</v>
      </c>
      <c r="G112">
        <v>0</v>
      </c>
      <c r="H112">
        <v>11.73</v>
      </c>
      <c r="I112">
        <v>11140</v>
      </c>
      <c r="J112">
        <v>8542</v>
      </c>
      <c r="K112">
        <v>7619</v>
      </c>
      <c r="L112">
        <v>-74.06</v>
      </c>
      <c r="M112">
        <v>-33.47</v>
      </c>
      <c r="N112">
        <v>-19.05</v>
      </c>
      <c r="O112">
        <v>19.73</v>
      </c>
      <c r="P112" t="b">
        <v>1</v>
      </c>
      <c r="Q112">
        <v>0</v>
      </c>
      <c r="R112">
        <v>1244</v>
      </c>
      <c r="U112" t="s">
        <v>788</v>
      </c>
      <c r="V112" t="s">
        <v>1109</v>
      </c>
      <c r="W112">
        <v>0</v>
      </c>
      <c r="X112">
        <v>-40.3</v>
      </c>
      <c r="Y112" t="s">
        <v>1421</v>
      </c>
      <c r="Z112">
        <v>-0.6920108212621678</v>
      </c>
      <c r="AA112">
        <v>1963</v>
      </c>
      <c r="AB112">
        <v>76379</v>
      </c>
      <c r="AC112" t="s">
        <v>1731</v>
      </c>
      <c r="AD112">
        <v>29.03</v>
      </c>
      <c r="AE112" t="s">
        <v>2052</v>
      </c>
      <c r="AF112" t="s">
        <v>2372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468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3760</v>
      </c>
      <c r="G113">
        <v>0</v>
      </c>
      <c r="H113">
        <v>23.9</v>
      </c>
      <c r="I113">
        <v>4001</v>
      </c>
      <c r="J113">
        <v>3883</v>
      </c>
      <c r="K113">
        <v>3842</v>
      </c>
      <c r="L113">
        <v>-6.41</v>
      </c>
      <c r="M113">
        <v>-3.28</v>
      </c>
      <c r="N113">
        <v>-2.17</v>
      </c>
      <c r="O113">
        <v>11.67</v>
      </c>
      <c r="P113" t="b">
        <v>1</v>
      </c>
      <c r="Q113">
        <v>0</v>
      </c>
      <c r="R113">
        <v>377</v>
      </c>
      <c r="U113" t="s">
        <v>789</v>
      </c>
      <c r="V113" t="s">
        <v>1110</v>
      </c>
      <c r="W113">
        <v>0</v>
      </c>
      <c r="X113">
        <v>-14.3</v>
      </c>
      <c r="Y113" t="s">
        <v>1422</v>
      </c>
      <c r="Z113">
        <v>4.176745134803683</v>
      </c>
      <c r="AA113">
        <v>940</v>
      </c>
      <c r="AB113">
        <v>30017</v>
      </c>
      <c r="AC113" t="s">
        <v>1732</v>
      </c>
      <c r="AD113">
        <v>62.71</v>
      </c>
      <c r="AE113" t="s">
        <v>2053</v>
      </c>
      <c r="AF113" t="s">
        <v>2373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469</v>
      </c>
      <c r="C114">
        <f>HYPERLINK("https://finance.naver.com/item/coinfo.nhn?code=089850", "A089850")</f>
        <v>0</v>
      </c>
      <c r="D114">
        <f>HYPERLINK("http://comp.fnguide.com/SVO2/ASP/SVD_Consensus.asp?pGB=1&amp;gicode=A089850&amp;cID=&amp;MenuYn=Y&amp;ReportGB=&amp;NewMenuID=108&amp;stkGb=701", "유비벨록스")</f>
        <v>0</v>
      </c>
      <c r="E114">
        <v>3</v>
      </c>
      <c r="F114">
        <v>12050</v>
      </c>
      <c r="G114">
        <v>0</v>
      </c>
      <c r="H114">
        <v>10.54</v>
      </c>
      <c r="I114">
        <v>13844</v>
      </c>
      <c r="J114">
        <v>13768</v>
      </c>
      <c r="K114">
        <v>13741</v>
      </c>
      <c r="L114">
        <v>-14.89</v>
      </c>
      <c r="M114">
        <v>-14.25</v>
      </c>
      <c r="N114">
        <v>-14.03</v>
      </c>
      <c r="O114">
        <v>11.14</v>
      </c>
      <c r="P114" t="b">
        <v>1</v>
      </c>
      <c r="Q114">
        <v>0</v>
      </c>
      <c r="R114">
        <v>1651</v>
      </c>
      <c r="U114" t="s">
        <v>790</v>
      </c>
      <c r="V114" t="s">
        <v>1111</v>
      </c>
      <c r="W114">
        <v>0</v>
      </c>
      <c r="X114">
        <v>1.8</v>
      </c>
      <c r="Y114" t="s">
        <v>1423</v>
      </c>
      <c r="Z114">
        <v>0</v>
      </c>
      <c r="AA114">
        <v>857</v>
      </c>
      <c r="AB114">
        <v>11742</v>
      </c>
      <c r="AC114" t="s">
        <v>1733</v>
      </c>
      <c r="AD114">
        <v>30.18</v>
      </c>
      <c r="AE114" t="s">
        <v>2054</v>
      </c>
      <c r="AF114" t="s">
        <v>2374</v>
      </c>
      <c r="AG114">
        <v>3233</v>
      </c>
      <c r="AH114">
        <v>244</v>
      </c>
      <c r="AI114">
        <v>378119</v>
      </c>
      <c r="AK114" t="b">
        <v>1</v>
      </c>
    </row>
    <row r="115" spans="1:37">
      <c r="A115" s="1" t="s">
        <v>149</v>
      </c>
      <c r="B115" t="s">
        <v>470</v>
      </c>
      <c r="C115">
        <f>HYPERLINK("https://finance.naver.com/item/coinfo.nhn?code=264450", "A264450")</f>
        <v>0</v>
      </c>
      <c r="D115">
        <f>HYPERLINK("http://comp.fnguide.com/SVO2/ASP/SVD_Consensus.asp?pGB=1&amp;gicode=A264450&amp;cID=&amp;MenuYn=Y&amp;ReportGB=&amp;NewMenuID=108&amp;stkGb=701", "유비쿼스")</f>
        <v>0</v>
      </c>
      <c r="E115">
        <v>3</v>
      </c>
      <c r="F115">
        <v>14600</v>
      </c>
      <c r="G115">
        <v>0</v>
      </c>
      <c r="H115">
        <v>8.09</v>
      </c>
      <c r="I115">
        <v>23032</v>
      </c>
      <c r="J115">
        <v>17441</v>
      </c>
      <c r="K115">
        <v>15455</v>
      </c>
      <c r="L115">
        <v>-57.75</v>
      </c>
      <c r="M115">
        <v>-19.46</v>
      </c>
      <c r="N115">
        <v>-5.86</v>
      </c>
      <c r="O115">
        <v>20.39</v>
      </c>
      <c r="P115" t="b">
        <v>1</v>
      </c>
      <c r="Q115">
        <v>0</v>
      </c>
      <c r="R115">
        <v>2811</v>
      </c>
      <c r="U115" t="s">
        <v>791</v>
      </c>
      <c r="V115" t="s">
        <v>1112</v>
      </c>
      <c r="W115">
        <v>0</v>
      </c>
      <c r="X115">
        <v>-25.6</v>
      </c>
      <c r="Y115" t="s">
        <v>1424</v>
      </c>
      <c r="Z115">
        <v>11.81647570550577</v>
      </c>
      <c r="AA115">
        <v>1496</v>
      </c>
      <c r="AB115">
        <v>7531</v>
      </c>
      <c r="AC115" t="s">
        <v>1734</v>
      </c>
      <c r="AD115">
        <v>39.57</v>
      </c>
      <c r="AE115" t="s">
        <v>2055</v>
      </c>
      <c r="AF115" t="s">
        <v>2375</v>
      </c>
      <c r="AG115">
        <v>1391</v>
      </c>
      <c r="AH115">
        <v>319</v>
      </c>
      <c r="AI115">
        <v>2204</v>
      </c>
      <c r="AJ115">
        <v>2.46</v>
      </c>
      <c r="AK115" t="b">
        <v>1</v>
      </c>
    </row>
    <row r="116" spans="1:37">
      <c r="A116" s="1" t="s">
        <v>150</v>
      </c>
      <c r="B116" t="s">
        <v>471</v>
      </c>
      <c r="C116">
        <f>HYPERLINK("https://finance.naver.com/item/coinfo.nhn?code=094970", "A094970")</f>
        <v>0</v>
      </c>
      <c r="D116">
        <f>HYPERLINK("http://comp.fnguide.com/SVO2/ASP/SVD_Consensus.asp?pGB=1&amp;gicode=A094970&amp;cID=&amp;MenuYn=Y&amp;ReportGB=&amp;NewMenuID=108&amp;stkGb=701", "제이엠티")</f>
        <v>0</v>
      </c>
      <c r="E116">
        <v>3</v>
      </c>
      <c r="F116">
        <v>3180</v>
      </c>
      <c r="G116">
        <v>0</v>
      </c>
      <c r="H116">
        <v>4.67</v>
      </c>
      <c r="I116">
        <v>6061</v>
      </c>
      <c r="J116">
        <v>5240</v>
      </c>
      <c r="K116">
        <v>4948</v>
      </c>
      <c r="L116">
        <v>-90.61</v>
      </c>
      <c r="M116">
        <v>-64.77</v>
      </c>
      <c r="N116">
        <v>-55.59</v>
      </c>
      <c r="O116">
        <v>14.82</v>
      </c>
      <c r="P116" t="b">
        <v>1</v>
      </c>
      <c r="Q116">
        <v>0</v>
      </c>
      <c r="R116">
        <v>906</v>
      </c>
      <c r="U116" t="s">
        <v>792</v>
      </c>
      <c r="V116" t="s">
        <v>1113</v>
      </c>
      <c r="W116">
        <v>0</v>
      </c>
      <c r="X116">
        <v>22.8</v>
      </c>
      <c r="Y116" t="s">
        <v>1425</v>
      </c>
      <c r="Z116">
        <v>18.95566872737979</v>
      </c>
      <c r="AA116">
        <v>533</v>
      </c>
      <c r="AB116">
        <v>53953</v>
      </c>
      <c r="AC116" t="s">
        <v>1735</v>
      </c>
      <c r="AD116">
        <v>43.98</v>
      </c>
      <c r="AE116" t="s">
        <v>2056</v>
      </c>
      <c r="AF116" t="s">
        <v>2376</v>
      </c>
      <c r="AG116">
        <v>794</v>
      </c>
      <c r="AH116">
        <v>163</v>
      </c>
      <c r="AI116">
        <v>36106</v>
      </c>
      <c r="AJ116">
        <v>3.54</v>
      </c>
      <c r="AK116" t="b">
        <v>1</v>
      </c>
    </row>
    <row r="117" spans="1:37">
      <c r="A117" s="1" t="s">
        <v>151</v>
      </c>
      <c r="B117" t="s">
        <v>472</v>
      </c>
      <c r="C117">
        <f>HYPERLINK("https://finance.naver.com/item/coinfo.nhn?code=024800", "A024800")</f>
        <v>0</v>
      </c>
      <c r="D117">
        <f>HYPERLINK("http://comp.fnguide.com/SVO2/ASP/SVD_Consensus.asp?pGB=1&amp;gicode=A024800&amp;cID=&amp;MenuYn=Y&amp;ReportGB=&amp;NewMenuID=108&amp;stkGb=701", "유성티엔에스")</f>
        <v>0</v>
      </c>
      <c r="E117">
        <v>3</v>
      </c>
      <c r="F117">
        <v>2385</v>
      </c>
      <c r="G117">
        <v>0</v>
      </c>
      <c r="H117">
        <v>2.98</v>
      </c>
      <c r="I117">
        <v>14989</v>
      </c>
      <c r="J117">
        <v>12732</v>
      </c>
      <c r="K117">
        <v>11930</v>
      </c>
      <c r="L117">
        <v>-528.49</v>
      </c>
      <c r="M117">
        <v>-433.82</v>
      </c>
      <c r="N117">
        <v>-400.19</v>
      </c>
      <c r="O117">
        <v>15.42</v>
      </c>
      <c r="P117" t="b">
        <v>1</v>
      </c>
      <c r="Q117">
        <v>0</v>
      </c>
      <c r="R117">
        <v>1055</v>
      </c>
      <c r="U117" t="s">
        <v>793</v>
      </c>
      <c r="V117" t="s">
        <v>1114</v>
      </c>
      <c r="W117">
        <v>0</v>
      </c>
      <c r="X117">
        <v>41.2</v>
      </c>
      <c r="Y117" t="s">
        <v>1426</v>
      </c>
      <c r="Z117">
        <v>24.7184957575344</v>
      </c>
      <c r="AA117">
        <v>746</v>
      </c>
      <c r="AB117">
        <v>14739</v>
      </c>
      <c r="AC117" t="s">
        <v>1736</v>
      </c>
      <c r="AD117">
        <v>52.36</v>
      </c>
      <c r="AE117" t="s">
        <v>2057</v>
      </c>
      <c r="AF117" t="s">
        <v>2377</v>
      </c>
      <c r="AG117">
        <v>2805</v>
      </c>
      <c r="AH117">
        <v>18</v>
      </c>
      <c r="AI117">
        <v>3652884</v>
      </c>
      <c r="AK117" t="b">
        <v>1</v>
      </c>
    </row>
    <row r="118" spans="1:37">
      <c r="A118" s="1" t="s">
        <v>152</v>
      </c>
      <c r="B118" t="s">
        <v>473</v>
      </c>
      <c r="C118">
        <f>HYPERLINK("https://finance.naver.com/item/coinfo.nhn?code=088390", "A088390")</f>
        <v>0</v>
      </c>
      <c r="D118">
        <f>HYPERLINK("http://comp.fnguide.com/SVO2/ASP/SVD_Consensus.asp?pGB=1&amp;gicode=A088390&amp;cID=&amp;MenuYn=Y&amp;ReportGB=&amp;NewMenuID=108&amp;stkGb=701", "이녹스")</f>
        <v>0</v>
      </c>
      <c r="E118">
        <v>3</v>
      </c>
      <c r="F118">
        <v>22900</v>
      </c>
      <c r="G118">
        <v>0</v>
      </c>
      <c r="H118">
        <v>5.81</v>
      </c>
      <c r="I118">
        <v>35770</v>
      </c>
      <c r="J118">
        <v>28069</v>
      </c>
      <c r="K118">
        <v>25333</v>
      </c>
      <c r="L118">
        <v>-56.2</v>
      </c>
      <c r="M118">
        <v>-22.57</v>
      </c>
      <c r="N118">
        <v>-10.62</v>
      </c>
      <c r="O118">
        <v>18.6</v>
      </c>
      <c r="P118" t="b">
        <v>1</v>
      </c>
      <c r="Q118">
        <v>0</v>
      </c>
      <c r="R118">
        <v>5580</v>
      </c>
      <c r="U118" t="s">
        <v>794</v>
      </c>
      <c r="V118" t="s">
        <v>1115</v>
      </c>
      <c r="W118">
        <v>0</v>
      </c>
      <c r="X118">
        <v>24.2</v>
      </c>
      <c r="Y118" t="s">
        <v>1427</v>
      </c>
      <c r="Z118">
        <v>0</v>
      </c>
      <c r="AA118">
        <v>2149</v>
      </c>
      <c r="AB118">
        <v>35897</v>
      </c>
      <c r="AC118" t="s">
        <v>1737</v>
      </c>
      <c r="AD118">
        <v>69.31</v>
      </c>
      <c r="AE118" t="s">
        <v>2058</v>
      </c>
      <c r="AF118" t="s">
        <v>2378</v>
      </c>
      <c r="AG118">
        <v>751</v>
      </c>
      <c r="AH118">
        <v>242</v>
      </c>
      <c r="AI118">
        <v>154552</v>
      </c>
      <c r="AK118" t="b">
        <v>1</v>
      </c>
    </row>
    <row r="119" spans="1:37">
      <c r="A119" s="1" t="s">
        <v>153</v>
      </c>
      <c r="B119" t="s">
        <v>474</v>
      </c>
      <c r="C119">
        <f>HYPERLINK("https://finance.naver.com/item/coinfo.nhn?code=078020", "A078020")</f>
        <v>0</v>
      </c>
      <c r="D119">
        <f>HYPERLINK("http://comp.fnguide.com/SVO2/ASP/SVD_Consensus.asp?pGB=1&amp;gicode=A078020&amp;cID=&amp;MenuYn=Y&amp;ReportGB=&amp;NewMenuID=108&amp;stkGb=701", "이베스트투자증권")</f>
        <v>0</v>
      </c>
      <c r="E119">
        <v>3</v>
      </c>
      <c r="F119">
        <v>5040</v>
      </c>
      <c r="G119">
        <v>0</v>
      </c>
      <c r="H119">
        <v>3.67</v>
      </c>
      <c r="I119">
        <v>30425</v>
      </c>
      <c r="J119">
        <v>24083</v>
      </c>
      <c r="K119">
        <v>21831</v>
      </c>
      <c r="L119">
        <v>-503.66</v>
      </c>
      <c r="M119">
        <v>-377.85</v>
      </c>
      <c r="N119">
        <v>-333.15</v>
      </c>
      <c r="O119">
        <v>18.2</v>
      </c>
      <c r="P119" t="b">
        <v>1</v>
      </c>
      <c r="Q119">
        <v>0</v>
      </c>
      <c r="R119">
        <v>2233</v>
      </c>
      <c r="U119" t="s">
        <v>795</v>
      </c>
      <c r="V119" t="s">
        <v>1116</v>
      </c>
      <c r="W119">
        <v>0</v>
      </c>
      <c r="X119">
        <v>6.4</v>
      </c>
      <c r="Y119" t="s">
        <v>1428</v>
      </c>
      <c r="Z119">
        <v>12.98269720211012</v>
      </c>
      <c r="AA119">
        <v>2796</v>
      </c>
      <c r="AB119">
        <v>30639</v>
      </c>
      <c r="AC119" t="s">
        <v>1738</v>
      </c>
      <c r="AD119">
        <v>62.41</v>
      </c>
      <c r="AE119" t="s">
        <v>2059</v>
      </c>
      <c r="AF119" t="s">
        <v>2379</v>
      </c>
      <c r="AG119">
        <v>4558</v>
      </c>
      <c r="AH119">
        <v>2258</v>
      </c>
      <c r="AI119">
        <v>5075498</v>
      </c>
      <c r="AJ119">
        <v>7.33</v>
      </c>
      <c r="AK119" t="b">
        <v>1</v>
      </c>
    </row>
    <row r="120" spans="1:37">
      <c r="A120" s="1" t="s">
        <v>154</v>
      </c>
      <c r="B120" t="s">
        <v>475</v>
      </c>
      <c r="C120">
        <f>HYPERLINK("https://finance.naver.com/item/coinfo.nhn?code=102710", "A102710")</f>
        <v>0</v>
      </c>
      <c r="D120">
        <f>HYPERLINK("http://comp.fnguide.com/SVO2/ASP/SVD_Consensus.asp?pGB=1&amp;gicode=A102710&amp;cID=&amp;MenuYn=Y&amp;ReportGB=&amp;NewMenuID=108&amp;stkGb=701", "이엔에프테크놀로지")</f>
        <v>0</v>
      </c>
      <c r="E120">
        <v>3</v>
      </c>
      <c r="F120">
        <v>22100</v>
      </c>
      <c r="G120">
        <v>0</v>
      </c>
      <c r="H120">
        <v>26.42</v>
      </c>
      <c r="I120">
        <v>24057</v>
      </c>
      <c r="J120">
        <v>23646</v>
      </c>
      <c r="K120">
        <v>23500</v>
      </c>
      <c r="L120">
        <v>-8.85</v>
      </c>
      <c r="M120">
        <v>-6.99</v>
      </c>
      <c r="N120">
        <v>-6.33</v>
      </c>
      <c r="O120">
        <v>11.39</v>
      </c>
      <c r="P120" t="b">
        <v>1</v>
      </c>
      <c r="Q120">
        <v>0</v>
      </c>
      <c r="R120">
        <v>1296</v>
      </c>
      <c r="U120" t="s">
        <v>796</v>
      </c>
      <c r="V120" t="s">
        <v>1117</v>
      </c>
      <c r="W120">
        <v>0</v>
      </c>
      <c r="X120">
        <v>164.6</v>
      </c>
      <c r="Y120" t="s">
        <v>1429</v>
      </c>
      <c r="Z120">
        <v>11.85202578049458</v>
      </c>
      <c r="AA120">
        <v>3158</v>
      </c>
      <c r="AB120">
        <v>43020</v>
      </c>
      <c r="AC120" t="s">
        <v>1739</v>
      </c>
      <c r="AD120">
        <v>35.64</v>
      </c>
      <c r="AE120" t="s">
        <v>2060</v>
      </c>
      <c r="AF120" t="s">
        <v>2380</v>
      </c>
      <c r="AG120">
        <v>5218</v>
      </c>
      <c r="AH120">
        <v>260</v>
      </c>
      <c r="AJ120">
        <v>0.44</v>
      </c>
      <c r="AK120" t="b">
        <v>1</v>
      </c>
    </row>
    <row r="121" spans="1:37">
      <c r="A121" s="1" t="s">
        <v>155</v>
      </c>
      <c r="B121" t="s">
        <v>476</v>
      </c>
      <c r="C121">
        <f>HYPERLINK("https://finance.naver.com/item/coinfo.nhn?code=123570", "A123570")</f>
        <v>0</v>
      </c>
      <c r="D121">
        <f>HYPERLINK("http://comp.fnguide.com/SVO2/ASP/SVD_Consensus.asp?pGB=1&amp;gicode=A123570&amp;cID=&amp;MenuYn=Y&amp;ReportGB=&amp;NewMenuID=108&amp;stkGb=701", "이엠넷")</f>
        <v>0</v>
      </c>
      <c r="E121">
        <v>3</v>
      </c>
      <c r="F121">
        <v>4180</v>
      </c>
      <c r="G121">
        <v>0</v>
      </c>
      <c r="H121">
        <v>5.88</v>
      </c>
      <c r="I121">
        <v>8661</v>
      </c>
      <c r="J121">
        <v>6269</v>
      </c>
      <c r="K121">
        <v>5419</v>
      </c>
      <c r="L121">
        <v>-107.2</v>
      </c>
      <c r="M121">
        <v>-49.97</v>
      </c>
      <c r="N121">
        <v>-29.63</v>
      </c>
      <c r="O121">
        <v>23.1</v>
      </c>
      <c r="P121" t="b">
        <v>1</v>
      </c>
      <c r="Q121">
        <v>0</v>
      </c>
      <c r="R121">
        <v>1157</v>
      </c>
      <c r="U121" t="s">
        <v>797</v>
      </c>
      <c r="V121" t="s">
        <v>1118</v>
      </c>
      <c r="W121">
        <v>0</v>
      </c>
      <c r="X121">
        <v>-77.90000000000001</v>
      </c>
      <c r="Y121" t="s">
        <v>1430</v>
      </c>
      <c r="Z121">
        <v>8.142968055987732</v>
      </c>
      <c r="AA121">
        <v>931</v>
      </c>
      <c r="AB121">
        <v>16242</v>
      </c>
      <c r="AC121" t="s">
        <v>1740</v>
      </c>
      <c r="AD121">
        <v>41.39</v>
      </c>
      <c r="AE121" t="s">
        <v>2061</v>
      </c>
      <c r="AF121" t="s">
        <v>2381</v>
      </c>
      <c r="AG121">
        <v>352</v>
      </c>
      <c r="AH121">
        <v>99</v>
      </c>
      <c r="AI121">
        <v>805382</v>
      </c>
      <c r="AJ121">
        <v>2.94</v>
      </c>
      <c r="AK121" t="b">
        <v>1</v>
      </c>
    </row>
    <row r="122" spans="1:37">
      <c r="A122" s="1" t="s">
        <v>156</v>
      </c>
      <c r="B122" t="s">
        <v>477</v>
      </c>
      <c r="C122">
        <f>HYPERLINK("https://finance.naver.com/item/coinfo.nhn?code=079950", "A079950")</f>
        <v>0</v>
      </c>
      <c r="D122">
        <f>HYPERLINK("http://comp.fnguide.com/SVO2/ASP/SVD_Consensus.asp?pGB=1&amp;gicode=A079950&amp;cID=&amp;MenuYn=Y&amp;ReportGB=&amp;NewMenuID=108&amp;stkGb=701", "인베니아")</f>
        <v>0</v>
      </c>
      <c r="E122">
        <v>3</v>
      </c>
      <c r="F122">
        <v>1575</v>
      </c>
      <c r="G122">
        <v>0</v>
      </c>
      <c r="H122">
        <v>5.04</v>
      </c>
      <c r="I122">
        <v>3022</v>
      </c>
      <c r="J122">
        <v>2730</v>
      </c>
      <c r="K122">
        <v>2626</v>
      </c>
      <c r="L122">
        <v>-91.88</v>
      </c>
      <c r="M122">
        <v>-73.33</v>
      </c>
      <c r="N122">
        <v>-66.73999999999999</v>
      </c>
      <c r="O122">
        <v>13.49</v>
      </c>
      <c r="P122" t="b">
        <v>1</v>
      </c>
      <c r="Q122">
        <v>0</v>
      </c>
      <c r="R122">
        <v>533</v>
      </c>
      <c r="U122" t="s">
        <v>798</v>
      </c>
      <c r="V122" t="s">
        <v>1119</v>
      </c>
      <c r="W122">
        <v>0</v>
      </c>
      <c r="Y122" t="s">
        <v>1431</v>
      </c>
      <c r="Z122">
        <v>0</v>
      </c>
      <c r="AA122">
        <v>365</v>
      </c>
      <c r="AB122">
        <v>29364</v>
      </c>
      <c r="AC122" t="s">
        <v>1741</v>
      </c>
      <c r="AD122">
        <v>28.93</v>
      </c>
      <c r="AE122" t="s">
        <v>2062</v>
      </c>
      <c r="AF122" t="s">
        <v>2382</v>
      </c>
      <c r="AG122">
        <v>1343</v>
      </c>
      <c r="AH122">
        <v>93</v>
      </c>
      <c r="AI122">
        <v>1410000</v>
      </c>
      <c r="AK122" t="b">
        <v>1</v>
      </c>
    </row>
    <row r="123" spans="1:37">
      <c r="A123" s="1" t="s">
        <v>157</v>
      </c>
      <c r="B123" t="s">
        <v>478</v>
      </c>
      <c r="C123">
        <f>HYPERLINK("https://finance.naver.com/item/coinfo.nhn?code=100030", "A100030")</f>
        <v>0</v>
      </c>
      <c r="D123">
        <f>HYPERLINK("http://comp.fnguide.com/SVO2/ASP/SVD_Consensus.asp?pGB=1&amp;gicode=A100030&amp;cID=&amp;MenuYn=Y&amp;ReportGB=&amp;NewMenuID=108&amp;stkGb=701", "인지소프트")</f>
        <v>0</v>
      </c>
      <c r="E123">
        <v>3</v>
      </c>
      <c r="F123">
        <v>18050</v>
      </c>
      <c r="G123">
        <v>0</v>
      </c>
      <c r="H123">
        <v>6.89</v>
      </c>
      <c r="I123">
        <v>24752</v>
      </c>
      <c r="J123">
        <v>20344</v>
      </c>
      <c r="K123">
        <v>18778</v>
      </c>
      <c r="L123">
        <v>-37.13</v>
      </c>
      <c r="M123">
        <v>-12.71</v>
      </c>
      <c r="N123">
        <v>-4.03</v>
      </c>
      <c r="O123">
        <v>16.63</v>
      </c>
      <c r="P123" t="b">
        <v>1</v>
      </c>
      <c r="Q123">
        <v>0</v>
      </c>
      <c r="R123">
        <v>2890</v>
      </c>
      <c r="U123" t="s">
        <v>799</v>
      </c>
      <c r="V123" t="s">
        <v>1120</v>
      </c>
      <c r="W123">
        <v>0</v>
      </c>
      <c r="X123">
        <v>569.2</v>
      </c>
      <c r="Y123" t="s">
        <v>1432</v>
      </c>
      <c r="Z123">
        <v>0</v>
      </c>
      <c r="AA123">
        <v>593</v>
      </c>
      <c r="AB123">
        <v>1017</v>
      </c>
      <c r="AC123" t="s">
        <v>1742</v>
      </c>
      <c r="AD123">
        <v>34.66</v>
      </c>
      <c r="AE123" t="s">
        <v>2063</v>
      </c>
      <c r="AF123" t="s">
        <v>2383</v>
      </c>
      <c r="AG123">
        <v>211</v>
      </c>
      <c r="AH123">
        <v>45</v>
      </c>
      <c r="AI123">
        <v>510266</v>
      </c>
      <c r="AK123" t="b">
        <v>1</v>
      </c>
    </row>
    <row r="124" spans="1:37">
      <c r="A124" s="1" t="s">
        <v>158</v>
      </c>
      <c r="B124" t="s">
        <v>479</v>
      </c>
      <c r="C124">
        <f>HYPERLINK("https://finance.naver.com/item/coinfo.nhn?code=211050", "A211050")</f>
        <v>0</v>
      </c>
      <c r="D124">
        <f>HYPERLINK("http://comp.fnguide.com/SVO2/ASP/SVD_Consensus.asp?pGB=1&amp;gicode=A211050&amp;cID=&amp;MenuYn=Y&amp;ReportGB=&amp;NewMenuID=108&amp;stkGb=701", "인카금융서비스")</f>
        <v>0</v>
      </c>
      <c r="E124">
        <v>3</v>
      </c>
      <c r="F124">
        <v>6950</v>
      </c>
      <c r="G124">
        <v>0</v>
      </c>
      <c r="H124">
        <v>5.12</v>
      </c>
      <c r="I124">
        <v>17795</v>
      </c>
      <c r="J124">
        <v>10530</v>
      </c>
      <c r="K124">
        <v>7948</v>
      </c>
      <c r="L124">
        <v>-156.05</v>
      </c>
      <c r="M124">
        <v>-51.5</v>
      </c>
      <c r="N124">
        <v>-14.36</v>
      </c>
      <c r="O124">
        <v>48.56</v>
      </c>
      <c r="P124" t="b">
        <v>0</v>
      </c>
      <c r="Q124">
        <v>0</v>
      </c>
      <c r="R124">
        <v>1824</v>
      </c>
      <c r="U124" t="s">
        <v>800</v>
      </c>
      <c r="V124" t="s">
        <v>1121</v>
      </c>
      <c r="W124">
        <v>0</v>
      </c>
      <c r="X124">
        <v>18.2</v>
      </c>
      <c r="Y124" t="s">
        <v>1433</v>
      </c>
      <c r="Z124">
        <v>100.5773834953652</v>
      </c>
      <c r="AA124">
        <v>714</v>
      </c>
      <c r="AB124">
        <v>42334</v>
      </c>
      <c r="AC124" t="s">
        <v>1743</v>
      </c>
      <c r="AD124">
        <v>40.32</v>
      </c>
      <c r="AE124" t="s">
        <v>2064</v>
      </c>
      <c r="AF124" t="s">
        <v>2384</v>
      </c>
      <c r="AG124">
        <v>3146</v>
      </c>
      <c r="AH124">
        <v>211</v>
      </c>
      <c r="AK124" t="b">
        <v>1</v>
      </c>
    </row>
    <row r="125" spans="1:37">
      <c r="A125" s="1" t="s">
        <v>159</v>
      </c>
      <c r="B125" t="s">
        <v>480</v>
      </c>
      <c r="C125">
        <f>HYPERLINK("https://finance.naver.com/item/coinfo.nhn?code=049070", "A049070")</f>
        <v>0</v>
      </c>
      <c r="D125">
        <f>HYPERLINK("http://comp.fnguide.com/SVO2/ASP/SVD_Consensus.asp?pGB=1&amp;gicode=A049070&amp;cID=&amp;MenuYn=Y&amp;ReportGB=&amp;NewMenuID=108&amp;stkGb=701", "인탑스")</f>
        <v>0</v>
      </c>
      <c r="E125">
        <v>3</v>
      </c>
      <c r="F125">
        <v>30450</v>
      </c>
      <c r="G125">
        <v>0.18</v>
      </c>
      <c r="H125">
        <v>7.38</v>
      </c>
      <c r="I125">
        <v>35767</v>
      </c>
      <c r="J125">
        <v>34370</v>
      </c>
      <c r="K125">
        <v>33874</v>
      </c>
      <c r="L125">
        <v>-17.46</v>
      </c>
      <c r="M125">
        <v>-12.87</v>
      </c>
      <c r="N125">
        <v>-11.24</v>
      </c>
      <c r="O125">
        <v>11.9</v>
      </c>
      <c r="P125" t="b">
        <v>1</v>
      </c>
      <c r="Q125">
        <v>3</v>
      </c>
      <c r="R125">
        <v>4371</v>
      </c>
      <c r="S125">
        <v>5826</v>
      </c>
      <c r="T125">
        <v>33.3</v>
      </c>
      <c r="U125" t="s">
        <v>801</v>
      </c>
      <c r="V125" t="s">
        <v>1122</v>
      </c>
      <c r="W125">
        <v>41.1081455251729</v>
      </c>
      <c r="X125">
        <v>69.5</v>
      </c>
      <c r="Y125" t="s">
        <v>1434</v>
      </c>
      <c r="Z125">
        <v>50.27477549525039</v>
      </c>
      <c r="AA125">
        <v>5237</v>
      </c>
      <c r="AB125">
        <v>260418</v>
      </c>
      <c r="AC125" t="s">
        <v>1744</v>
      </c>
      <c r="AD125">
        <v>37.91</v>
      </c>
      <c r="AE125" t="s">
        <v>2065</v>
      </c>
      <c r="AF125" t="s">
        <v>2385</v>
      </c>
      <c r="AG125">
        <v>10520</v>
      </c>
      <c r="AH125">
        <v>876</v>
      </c>
      <c r="AI125">
        <v>1035582</v>
      </c>
      <c r="AJ125">
        <v>1.46</v>
      </c>
      <c r="AK125" t="b">
        <v>1</v>
      </c>
    </row>
    <row r="126" spans="1:37">
      <c r="A126" s="1" t="s">
        <v>160</v>
      </c>
      <c r="B126" t="s">
        <v>481</v>
      </c>
      <c r="C126">
        <f>HYPERLINK("https://finance.naver.com/item/coinfo.nhn?code=101930", "A101930")</f>
        <v>0</v>
      </c>
      <c r="D126">
        <f>HYPERLINK("http://comp.fnguide.com/SVO2/ASP/SVD_Consensus.asp?pGB=1&amp;gicode=A101930&amp;cID=&amp;MenuYn=Y&amp;ReportGB=&amp;NewMenuID=108&amp;stkGb=701", "인화정공")</f>
        <v>0</v>
      </c>
      <c r="E126">
        <v>3</v>
      </c>
      <c r="F126">
        <v>12950</v>
      </c>
      <c r="G126">
        <v>0</v>
      </c>
      <c r="H126">
        <v>8.44</v>
      </c>
      <c r="I126">
        <v>21104</v>
      </c>
      <c r="J126">
        <v>20689</v>
      </c>
      <c r="K126">
        <v>20541</v>
      </c>
      <c r="L126">
        <v>-62.97</v>
      </c>
      <c r="M126">
        <v>-59.76</v>
      </c>
      <c r="N126">
        <v>-58.62</v>
      </c>
      <c r="O126">
        <v>11.45</v>
      </c>
      <c r="P126" t="b">
        <v>1</v>
      </c>
      <c r="Q126">
        <v>0</v>
      </c>
      <c r="R126">
        <v>1636</v>
      </c>
      <c r="U126" t="s">
        <v>802</v>
      </c>
      <c r="V126" t="s">
        <v>1123</v>
      </c>
      <c r="W126">
        <v>0</v>
      </c>
      <c r="Y126" t="s">
        <v>1435</v>
      </c>
      <c r="Z126">
        <v>0</v>
      </c>
      <c r="AA126">
        <v>1208</v>
      </c>
      <c r="AB126">
        <v>13268</v>
      </c>
      <c r="AC126" t="s">
        <v>1745</v>
      </c>
      <c r="AD126">
        <v>50.81</v>
      </c>
      <c r="AE126" t="s">
        <v>2066</v>
      </c>
      <c r="AF126" t="s">
        <v>2386</v>
      </c>
      <c r="AG126">
        <v>1105</v>
      </c>
      <c r="AH126">
        <v>36</v>
      </c>
      <c r="AK126" t="b">
        <v>1</v>
      </c>
    </row>
    <row r="127" spans="1:37">
      <c r="A127" s="1" t="s">
        <v>161</v>
      </c>
      <c r="B127" t="s">
        <v>482</v>
      </c>
      <c r="C127">
        <f>HYPERLINK("https://finance.naver.com/item/coinfo.nhn?code=225220", "A225220")</f>
        <v>0</v>
      </c>
      <c r="D127">
        <f>HYPERLINK("http://comp.fnguide.com/SVO2/ASP/SVD_Consensus.asp?pGB=1&amp;gicode=A225220&amp;cID=&amp;MenuYn=Y&amp;ReportGB=&amp;NewMenuID=108&amp;stkGb=701", "제놀루션")</f>
        <v>0</v>
      </c>
      <c r="E127">
        <v>3</v>
      </c>
      <c r="F127">
        <v>9750</v>
      </c>
      <c r="G127">
        <v>0</v>
      </c>
      <c r="H127">
        <v>4.39</v>
      </c>
      <c r="I127">
        <v>48244</v>
      </c>
      <c r="J127">
        <v>27656</v>
      </c>
      <c r="K127">
        <v>20343</v>
      </c>
      <c r="L127">
        <v>-394.81</v>
      </c>
      <c r="M127">
        <v>-183.66</v>
      </c>
      <c r="N127">
        <v>-108.64</v>
      </c>
      <c r="O127">
        <v>57.39</v>
      </c>
      <c r="P127" t="b">
        <v>1</v>
      </c>
      <c r="Q127">
        <v>0</v>
      </c>
      <c r="R127">
        <v>3595</v>
      </c>
      <c r="U127" t="s">
        <v>803</v>
      </c>
      <c r="V127" t="s">
        <v>1124</v>
      </c>
      <c r="W127">
        <v>0</v>
      </c>
      <c r="X127">
        <v>-35.1</v>
      </c>
      <c r="Y127" t="s">
        <v>1436</v>
      </c>
      <c r="Z127">
        <v>0</v>
      </c>
      <c r="AA127">
        <v>944</v>
      </c>
      <c r="AB127">
        <v>8873</v>
      </c>
      <c r="AC127" t="s">
        <v>1746</v>
      </c>
      <c r="AD127">
        <v>24.94</v>
      </c>
      <c r="AE127" t="s">
        <v>2067</v>
      </c>
      <c r="AF127" t="s">
        <v>2387</v>
      </c>
      <c r="AG127">
        <v>728</v>
      </c>
      <c r="AH127">
        <v>413</v>
      </c>
      <c r="AI127">
        <v>718108</v>
      </c>
      <c r="AJ127">
        <v>2.53</v>
      </c>
      <c r="AK127" t="b">
        <v>1</v>
      </c>
    </row>
    <row r="128" spans="1:37">
      <c r="A128" s="1" t="s">
        <v>162</v>
      </c>
      <c r="B128" t="s">
        <v>483</v>
      </c>
      <c r="C128">
        <f>HYPERLINK("https://finance.naver.com/item/coinfo.nhn?code=033320", "A033320")</f>
        <v>0</v>
      </c>
      <c r="D128">
        <f>HYPERLINK("http://comp.fnguide.com/SVO2/ASP/SVD_Consensus.asp?pGB=1&amp;gicode=A033320&amp;cID=&amp;MenuYn=Y&amp;ReportGB=&amp;NewMenuID=108&amp;stkGb=701", "제이씨현시스템")</f>
        <v>0</v>
      </c>
      <c r="E128">
        <v>3</v>
      </c>
      <c r="F128">
        <v>5600</v>
      </c>
      <c r="G128">
        <v>0</v>
      </c>
      <c r="H128">
        <v>8.77</v>
      </c>
      <c r="I128">
        <v>5977</v>
      </c>
      <c r="J128">
        <v>5890</v>
      </c>
      <c r="K128">
        <v>5859</v>
      </c>
      <c r="L128">
        <v>-6.74</v>
      </c>
      <c r="M128">
        <v>-5.18</v>
      </c>
      <c r="N128">
        <v>-4.62</v>
      </c>
      <c r="O128">
        <v>11.33</v>
      </c>
      <c r="P128" t="b">
        <v>1</v>
      </c>
      <c r="Q128">
        <v>0</v>
      </c>
      <c r="R128">
        <v>792</v>
      </c>
      <c r="U128" t="s">
        <v>804</v>
      </c>
      <c r="V128" t="s">
        <v>1125</v>
      </c>
      <c r="W128">
        <v>0</v>
      </c>
      <c r="Y128" t="s">
        <v>1437</v>
      </c>
      <c r="Z128">
        <v>0</v>
      </c>
      <c r="AA128">
        <v>1070</v>
      </c>
      <c r="AB128">
        <v>1124431</v>
      </c>
      <c r="AC128" t="s">
        <v>1747</v>
      </c>
      <c r="AD128">
        <v>46.29</v>
      </c>
      <c r="AE128" t="s">
        <v>2068</v>
      </c>
      <c r="AF128" t="s">
        <v>2388</v>
      </c>
      <c r="AG128">
        <v>2654</v>
      </c>
      <c r="AH128">
        <v>184</v>
      </c>
      <c r="AI128">
        <v>222481</v>
      </c>
      <c r="AJ128">
        <v>1.59</v>
      </c>
      <c r="AK128" t="b">
        <v>1</v>
      </c>
    </row>
    <row r="129" spans="1:37">
      <c r="A129" s="1" t="s">
        <v>163</v>
      </c>
      <c r="B129" t="s">
        <v>484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3450</v>
      </c>
      <c r="G129">
        <v>0</v>
      </c>
      <c r="H129">
        <v>3.21</v>
      </c>
      <c r="I129">
        <v>6409</v>
      </c>
      <c r="J129">
        <v>4711</v>
      </c>
      <c r="K129">
        <v>4108</v>
      </c>
      <c r="L129">
        <v>-85.76000000000001</v>
      </c>
      <c r="M129">
        <v>-36.56</v>
      </c>
      <c r="N129">
        <v>-19.08</v>
      </c>
      <c r="O129">
        <v>22.11</v>
      </c>
      <c r="P129" t="b">
        <v>1</v>
      </c>
      <c r="Q129">
        <v>0</v>
      </c>
      <c r="R129">
        <v>1067</v>
      </c>
      <c r="U129" t="s">
        <v>805</v>
      </c>
      <c r="V129" t="s">
        <v>1126</v>
      </c>
      <c r="W129">
        <v>0</v>
      </c>
      <c r="X129">
        <v>-89.2</v>
      </c>
      <c r="Y129" t="s">
        <v>1438</v>
      </c>
      <c r="Z129">
        <v>0</v>
      </c>
      <c r="AA129">
        <v>569</v>
      </c>
      <c r="AB129">
        <v>1519678</v>
      </c>
      <c r="AC129" t="s">
        <v>1748</v>
      </c>
      <c r="AD129">
        <v>33.34</v>
      </c>
      <c r="AE129" t="s">
        <v>2069</v>
      </c>
      <c r="AF129" t="s">
        <v>2389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7">
      <c r="A130" s="1" t="s">
        <v>164</v>
      </c>
      <c r="B130" t="s">
        <v>485</v>
      </c>
      <c r="C130">
        <f>HYPERLINK("https://finance.naver.com/item/coinfo.nhn?code=036800", "A036800")</f>
        <v>0</v>
      </c>
      <c r="D130">
        <f>HYPERLINK("http://comp.fnguide.com/SVO2/ASP/SVD_Consensus.asp?pGB=1&amp;gicode=A036800&amp;cID=&amp;MenuYn=Y&amp;ReportGB=&amp;NewMenuID=108&amp;stkGb=701", "나이스정보통신")</f>
        <v>0</v>
      </c>
      <c r="E130">
        <v>3</v>
      </c>
      <c r="F130">
        <v>26100</v>
      </c>
      <c r="G130">
        <v>0.58</v>
      </c>
      <c r="H130">
        <v>7.41</v>
      </c>
      <c r="I130">
        <v>32391</v>
      </c>
      <c r="J130">
        <v>31111</v>
      </c>
      <c r="K130">
        <v>30656</v>
      </c>
      <c r="L130">
        <v>-24.1</v>
      </c>
      <c r="M130">
        <v>-19.2</v>
      </c>
      <c r="N130">
        <v>-17.45</v>
      </c>
      <c r="O130">
        <v>11.91</v>
      </c>
      <c r="P130" t="b">
        <v>1</v>
      </c>
      <c r="Q130">
        <v>2</v>
      </c>
      <c r="R130">
        <v>3980</v>
      </c>
      <c r="S130">
        <v>4320</v>
      </c>
      <c r="T130">
        <v>8.5</v>
      </c>
      <c r="U130" t="s">
        <v>806</v>
      </c>
      <c r="V130" t="s">
        <v>1127</v>
      </c>
      <c r="W130">
        <v>12.7984003030015</v>
      </c>
      <c r="X130">
        <v>20.4</v>
      </c>
      <c r="Y130" t="s">
        <v>1439</v>
      </c>
      <c r="Z130">
        <v>5.503493165715834</v>
      </c>
      <c r="AA130">
        <v>2610</v>
      </c>
      <c r="AB130">
        <v>7558</v>
      </c>
      <c r="AC130" t="s">
        <v>1749</v>
      </c>
      <c r="AD130">
        <v>42.74</v>
      </c>
      <c r="AE130" t="s">
        <v>2070</v>
      </c>
      <c r="AF130" t="s">
        <v>2390</v>
      </c>
      <c r="AG130">
        <v>6705</v>
      </c>
      <c r="AH130">
        <v>468</v>
      </c>
      <c r="AI130">
        <v>732978</v>
      </c>
      <c r="AJ130">
        <v>2</v>
      </c>
      <c r="AK130" t="b">
        <v>1</v>
      </c>
    </row>
    <row r="131" spans="1:37">
      <c r="A131" s="1" t="s">
        <v>165</v>
      </c>
      <c r="B131" t="s">
        <v>486</v>
      </c>
      <c r="C131">
        <f>HYPERLINK("https://finance.naver.com/item/coinfo.nhn?code=010240", "A010240")</f>
        <v>0</v>
      </c>
      <c r="D131">
        <f>HYPERLINK("http://comp.fnguide.com/SVO2/ASP/SVD_Consensus.asp?pGB=1&amp;gicode=A010240&amp;cID=&amp;MenuYn=Y&amp;ReportGB=&amp;NewMenuID=108&amp;stkGb=701", "흥국")</f>
        <v>0</v>
      </c>
      <c r="E131">
        <v>3</v>
      </c>
      <c r="F131">
        <v>6160</v>
      </c>
      <c r="G131">
        <v>0</v>
      </c>
      <c r="H131">
        <v>8.050000000000001</v>
      </c>
      <c r="I131">
        <v>9960</v>
      </c>
      <c r="J131">
        <v>8628</v>
      </c>
      <c r="K131">
        <v>8154</v>
      </c>
      <c r="L131">
        <v>-61.69</v>
      </c>
      <c r="M131">
        <v>-40.06</v>
      </c>
      <c r="N131">
        <v>-32.38</v>
      </c>
      <c r="O131">
        <v>14.76</v>
      </c>
      <c r="P131" t="b">
        <v>1</v>
      </c>
      <c r="Q131">
        <v>0</v>
      </c>
      <c r="R131">
        <v>963</v>
      </c>
      <c r="U131" t="s">
        <v>807</v>
      </c>
      <c r="V131" t="s">
        <v>1128</v>
      </c>
      <c r="W131">
        <v>0</v>
      </c>
      <c r="X131">
        <v>-10.4</v>
      </c>
      <c r="Y131" t="s">
        <v>1440</v>
      </c>
      <c r="Z131">
        <v>8.857568294158579</v>
      </c>
      <c r="AA131">
        <v>759</v>
      </c>
      <c r="AB131">
        <v>47223</v>
      </c>
      <c r="AC131" t="s">
        <v>1750</v>
      </c>
      <c r="AD131">
        <v>50.73</v>
      </c>
      <c r="AE131" t="s">
        <v>2071</v>
      </c>
      <c r="AF131" t="s">
        <v>2391</v>
      </c>
      <c r="AG131">
        <v>1418</v>
      </c>
      <c r="AH131">
        <v>138</v>
      </c>
      <c r="AI131">
        <v>772811</v>
      </c>
      <c r="AJ131">
        <v>2.58</v>
      </c>
      <c r="AK131" t="b">
        <v>1</v>
      </c>
    </row>
    <row r="132" spans="1:37">
      <c r="A132" s="1" t="s">
        <v>166</v>
      </c>
      <c r="B132" t="s">
        <v>487</v>
      </c>
      <c r="C132">
        <f>HYPERLINK("https://finance.naver.com/item/coinfo.nhn?code=077500", "A077500")</f>
        <v>0</v>
      </c>
      <c r="D132">
        <f>HYPERLINK("http://comp.fnguide.com/SVO2/ASP/SVD_Consensus.asp?pGB=1&amp;gicode=A077500&amp;cID=&amp;MenuYn=Y&amp;ReportGB=&amp;NewMenuID=108&amp;stkGb=701", "유니퀘스트")</f>
        <v>0</v>
      </c>
      <c r="E132">
        <v>3</v>
      </c>
      <c r="F132">
        <v>9040</v>
      </c>
      <c r="G132">
        <v>0.18</v>
      </c>
      <c r="H132">
        <v>5.29</v>
      </c>
      <c r="I132">
        <v>18267</v>
      </c>
      <c r="J132">
        <v>14702</v>
      </c>
      <c r="K132">
        <v>13436</v>
      </c>
      <c r="L132">
        <v>-102.07</v>
      </c>
      <c r="M132">
        <v>-62.63</v>
      </c>
      <c r="N132">
        <v>-48.63</v>
      </c>
      <c r="O132">
        <v>17.48</v>
      </c>
      <c r="P132" t="b">
        <v>1</v>
      </c>
      <c r="Q132">
        <v>0</v>
      </c>
      <c r="R132">
        <v>2289</v>
      </c>
      <c r="S132">
        <v>2065</v>
      </c>
      <c r="T132">
        <v>-9.800000000000001</v>
      </c>
      <c r="U132" t="s">
        <v>808</v>
      </c>
      <c r="V132" t="s">
        <v>1129</v>
      </c>
      <c r="W132">
        <v>30.21800985409733</v>
      </c>
      <c r="X132">
        <v>28.5</v>
      </c>
      <c r="Y132" t="s">
        <v>1441</v>
      </c>
      <c r="Z132">
        <v>52.12644777739506</v>
      </c>
      <c r="AA132">
        <v>2473</v>
      </c>
      <c r="AB132">
        <v>126281</v>
      </c>
      <c r="AC132" t="s">
        <v>1751</v>
      </c>
      <c r="AD132">
        <v>44.59</v>
      </c>
      <c r="AE132" t="s">
        <v>2072</v>
      </c>
      <c r="AF132" t="s">
        <v>2392</v>
      </c>
      <c r="AG132">
        <v>5910</v>
      </c>
      <c r="AH132">
        <v>245</v>
      </c>
      <c r="AI132">
        <v>1160783</v>
      </c>
      <c r="AJ132">
        <v>2.48</v>
      </c>
      <c r="AK132" t="b">
        <v>1</v>
      </c>
    </row>
    <row r="133" spans="1:37">
      <c r="A133" s="1" t="s">
        <v>167</v>
      </c>
      <c r="B133" t="s">
        <v>488</v>
      </c>
      <c r="C133">
        <f>HYPERLINK("https://finance.naver.com/item/coinfo.nhn?code=072130", "A072130")</f>
        <v>0</v>
      </c>
      <c r="D133">
        <f>HYPERLINK("http://comp.fnguide.com/SVO2/ASP/SVD_Consensus.asp?pGB=1&amp;gicode=A072130&amp;cID=&amp;MenuYn=Y&amp;ReportGB=&amp;NewMenuID=108&amp;stkGb=701", "유엔젤")</f>
        <v>0</v>
      </c>
      <c r="E133">
        <v>3</v>
      </c>
      <c r="F133">
        <v>3290</v>
      </c>
      <c r="G133">
        <v>0</v>
      </c>
      <c r="H133">
        <v>4.74</v>
      </c>
      <c r="I133">
        <v>6558</v>
      </c>
      <c r="J133">
        <v>5401</v>
      </c>
      <c r="K133">
        <v>4990</v>
      </c>
      <c r="L133">
        <v>-99.33</v>
      </c>
      <c r="M133">
        <v>-64.16</v>
      </c>
      <c r="N133">
        <v>-51.66</v>
      </c>
      <c r="O133">
        <v>16.55</v>
      </c>
      <c r="P133" t="b">
        <v>1</v>
      </c>
      <c r="Q133">
        <v>0</v>
      </c>
      <c r="R133">
        <v>1113</v>
      </c>
      <c r="U133" t="s">
        <v>809</v>
      </c>
      <c r="V133" t="s">
        <v>1130</v>
      </c>
      <c r="W133">
        <v>0</v>
      </c>
      <c r="X133">
        <v>-96.7</v>
      </c>
      <c r="Y133" t="s">
        <v>1442</v>
      </c>
      <c r="Z133">
        <v>0</v>
      </c>
      <c r="AA133">
        <v>434</v>
      </c>
      <c r="AB133">
        <v>35284</v>
      </c>
      <c r="AC133" t="s">
        <v>1752</v>
      </c>
      <c r="AD133">
        <v>15.92</v>
      </c>
      <c r="AE133" t="s">
        <v>2073</v>
      </c>
      <c r="AF133" t="s">
        <v>2393</v>
      </c>
      <c r="AG133">
        <v>297</v>
      </c>
      <c r="AH133">
        <v>31</v>
      </c>
      <c r="AI133">
        <v>1241570</v>
      </c>
      <c r="AK133" t="b">
        <v>1</v>
      </c>
    </row>
    <row r="134" spans="1:37">
      <c r="A134" s="1" t="s">
        <v>168</v>
      </c>
      <c r="B134" t="s">
        <v>489</v>
      </c>
      <c r="C134">
        <f>HYPERLINK("https://finance.naver.com/item/coinfo.nhn?code=007690", "A007690")</f>
        <v>0</v>
      </c>
      <c r="D134">
        <f>HYPERLINK("http://comp.fnguide.com/SVO2/ASP/SVD_Consensus.asp?pGB=1&amp;gicode=A007690&amp;cID=&amp;MenuYn=Y&amp;ReportGB=&amp;NewMenuID=108&amp;stkGb=701", "국도화학")</f>
        <v>0</v>
      </c>
      <c r="E134">
        <v>3</v>
      </c>
      <c r="F134">
        <v>43800</v>
      </c>
      <c r="G134">
        <v>0</v>
      </c>
      <c r="H134">
        <v>2.83</v>
      </c>
      <c r="I134">
        <v>126415</v>
      </c>
      <c r="J134">
        <v>109474</v>
      </c>
      <c r="K134">
        <v>103456</v>
      </c>
      <c r="L134">
        <v>-188.62</v>
      </c>
      <c r="M134">
        <v>-149.94</v>
      </c>
      <c r="N134">
        <v>-136.2</v>
      </c>
      <c r="O134">
        <v>14.77</v>
      </c>
      <c r="P134" t="b">
        <v>1</v>
      </c>
      <c r="Q134">
        <v>0</v>
      </c>
      <c r="R134">
        <v>19980</v>
      </c>
      <c r="U134" t="s">
        <v>810</v>
      </c>
      <c r="V134" t="s">
        <v>1131</v>
      </c>
      <c r="W134">
        <v>0</v>
      </c>
      <c r="X134">
        <v>-42.1</v>
      </c>
      <c r="Y134" t="s">
        <v>1443</v>
      </c>
      <c r="Z134">
        <v>15.35740932456775</v>
      </c>
      <c r="AA134">
        <v>3947</v>
      </c>
      <c r="AB134">
        <v>11655</v>
      </c>
      <c r="AC134" t="s">
        <v>1753</v>
      </c>
      <c r="AD134">
        <v>28.23</v>
      </c>
      <c r="AE134" t="s">
        <v>2074</v>
      </c>
      <c r="AF134" t="s">
        <v>2394</v>
      </c>
      <c r="AG134">
        <v>15771</v>
      </c>
      <c r="AH134">
        <v>2047</v>
      </c>
      <c r="AI134">
        <v>520082</v>
      </c>
      <c r="AJ134">
        <v>3.89</v>
      </c>
      <c r="AK134" t="b">
        <v>1</v>
      </c>
    </row>
    <row r="135" spans="1:37">
      <c r="A135" s="1" t="s">
        <v>169</v>
      </c>
      <c r="B135" t="s">
        <v>490</v>
      </c>
      <c r="C135">
        <f>HYPERLINK("https://finance.naver.com/item/coinfo.nhn?code=111770", "A111770")</f>
        <v>0</v>
      </c>
      <c r="D135">
        <f>HYPERLINK("http://comp.fnguide.com/SVO2/ASP/SVD_Consensus.asp?pGB=1&amp;gicode=A111770&amp;cID=&amp;MenuYn=Y&amp;ReportGB=&amp;NewMenuID=108&amp;stkGb=701", "영원무역")</f>
        <v>0</v>
      </c>
      <c r="E135">
        <v>3</v>
      </c>
      <c r="F135">
        <v>43750</v>
      </c>
      <c r="G135">
        <v>0.12</v>
      </c>
      <c r="H135">
        <v>6.49</v>
      </c>
      <c r="I135">
        <v>53559</v>
      </c>
      <c r="J135">
        <v>51988</v>
      </c>
      <c r="K135">
        <v>51429</v>
      </c>
      <c r="L135">
        <v>-22.42</v>
      </c>
      <c r="M135">
        <v>-18.83</v>
      </c>
      <c r="N135">
        <v>-17.55</v>
      </c>
      <c r="O135">
        <v>11.67</v>
      </c>
      <c r="P135" t="b">
        <v>1</v>
      </c>
      <c r="Q135">
        <v>2</v>
      </c>
      <c r="R135">
        <v>6727</v>
      </c>
      <c r="S135">
        <v>13281</v>
      </c>
      <c r="T135">
        <v>97.40000000000001</v>
      </c>
      <c r="U135" t="s">
        <v>811</v>
      </c>
      <c r="V135" t="s">
        <v>1132</v>
      </c>
      <c r="W135">
        <v>52.39316107943213</v>
      </c>
      <c r="X135">
        <v>119</v>
      </c>
      <c r="Y135" t="s">
        <v>1444</v>
      </c>
      <c r="Z135">
        <v>43.12908084789924</v>
      </c>
      <c r="AA135">
        <v>19386</v>
      </c>
      <c r="AB135">
        <v>50498</v>
      </c>
      <c r="AC135" t="s">
        <v>1754</v>
      </c>
      <c r="AD135">
        <v>50.74</v>
      </c>
      <c r="AE135" t="s">
        <v>2075</v>
      </c>
      <c r="AF135" t="s">
        <v>2395</v>
      </c>
      <c r="AG135">
        <v>27925</v>
      </c>
      <c r="AH135">
        <v>4425</v>
      </c>
      <c r="AI135">
        <v>445407</v>
      </c>
      <c r="AJ135">
        <v>2.29</v>
      </c>
      <c r="AK135" t="b">
        <v>1</v>
      </c>
    </row>
    <row r="136" spans="1:37">
      <c r="A136" s="1" t="s">
        <v>170</v>
      </c>
      <c r="B136" t="s">
        <v>491</v>
      </c>
      <c r="C136">
        <f>HYPERLINK("https://finance.naver.com/item/coinfo.nhn?code=009970", "A009970")</f>
        <v>0</v>
      </c>
      <c r="D136">
        <f>HYPERLINK("http://comp.fnguide.com/SVO2/ASP/SVD_Consensus.asp?pGB=1&amp;gicode=A009970&amp;cID=&amp;MenuYn=Y&amp;ReportGB=&amp;NewMenuID=108&amp;stkGb=701", "영원무역홀딩스")</f>
        <v>0</v>
      </c>
      <c r="E136">
        <v>3</v>
      </c>
      <c r="F136">
        <v>60900</v>
      </c>
      <c r="G136">
        <v>0.06</v>
      </c>
      <c r="H136">
        <v>2.89</v>
      </c>
      <c r="I136">
        <v>146508</v>
      </c>
      <c r="J136">
        <v>143235</v>
      </c>
      <c r="K136">
        <v>142072</v>
      </c>
      <c r="L136">
        <v>-140.57</v>
      </c>
      <c r="M136">
        <v>-135.2</v>
      </c>
      <c r="N136">
        <v>-133.29</v>
      </c>
      <c r="O136">
        <v>11.51</v>
      </c>
      <c r="P136" t="b">
        <v>1</v>
      </c>
      <c r="Q136">
        <v>2</v>
      </c>
      <c r="R136">
        <v>16192</v>
      </c>
      <c r="S136">
        <v>27960</v>
      </c>
      <c r="T136">
        <v>72.7</v>
      </c>
      <c r="U136" t="s">
        <v>812</v>
      </c>
      <c r="V136" t="s">
        <v>1133</v>
      </c>
      <c r="W136">
        <v>46.6414008119135</v>
      </c>
      <c r="X136">
        <v>112.4</v>
      </c>
      <c r="Y136" t="s">
        <v>1445</v>
      </c>
      <c r="Z136">
        <v>45.63756444912443</v>
      </c>
      <c r="AA136">
        <v>8304</v>
      </c>
      <c r="AB136">
        <v>4449</v>
      </c>
      <c r="AC136" t="s">
        <v>1755</v>
      </c>
      <c r="AD136">
        <v>46.25</v>
      </c>
      <c r="AE136" t="s">
        <v>2076</v>
      </c>
      <c r="AF136" t="s">
        <v>2396</v>
      </c>
      <c r="AG136">
        <v>32405</v>
      </c>
      <c r="AH136">
        <v>5705</v>
      </c>
      <c r="AI136">
        <v>2030694</v>
      </c>
      <c r="AJ136">
        <v>4.28</v>
      </c>
      <c r="AK136" t="b">
        <v>1</v>
      </c>
    </row>
    <row r="137" spans="1:37">
      <c r="A137" s="1" t="s">
        <v>171</v>
      </c>
      <c r="B137" t="s">
        <v>492</v>
      </c>
      <c r="C137">
        <f>HYPERLINK("https://finance.naver.com/item/coinfo.nhn?code=002630", "A002630")</f>
        <v>0</v>
      </c>
      <c r="D137">
        <f>HYPERLINK("http://comp.fnguide.com/SVO2/ASP/SVD_Consensus.asp?pGB=1&amp;gicode=A002630&amp;cID=&amp;MenuYn=Y&amp;ReportGB=&amp;NewMenuID=108&amp;stkGb=701", "오리엔트바이오")</f>
        <v>0</v>
      </c>
      <c r="E137">
        <v>3</v>
      </c>
      <c r="F137">
        <v>661</v>
      </c>
      <c r="G137">
        <v>0</v>
      </c>
      <c r="H137">
        <v>3.21</v>
      </c>
      <c r="I137">
        <v>1653</v>
      </c>
      <c r="J137">
        <v>1151</v>
      </c>
      <c r="K137">
        <v>972</v>
      </c>
      <c r="L137">
        <v>-150.08</v>
      </c>
      <c r="M137">
        <v>-74.06999999999999</v>
      </c>
      <c r="N137">
        <v>-47.06</v>
      </c>
      <c r="O137">
        <v>25.96</v>
      </c>
      <c r="P137" t="b">
        <v>1</v>
      </c>
      <c r="Q137">
        <v>0</v>
      </c>
      <c r="R137">
        <v>288</v>
      </c>
      <c r="U137" t="s">
        <v>813</v>
      </c>
      <c r="V137" t="s">
        <v>1134</v>
      </c>
      <c r="W137">
        <v>0</v>
      </c>
      <c r="Y137" t="s">
        <v>1336</v>
      </c>
      <c r="Z137">
        <v>0</v>
      </c>
      <c r="AA137">
        <v>784</v>
      </c>
      <c r="AB137">
        <v>356716</v>
      </c>
      <c r="AC137" t="s">
        <v>1756</v>
      </c>
      <c r="AD137">
        <v>35.6</v>
      </c>
      <c r="AE137" t="s">
        <v>2077</v>
      </c>
      <c r="AF137" t="s">
        <v>2389</v>
      </c>
      <c r="AG137">
        <v>263</v>
      </c>
      <c r="AH137">
        <v>-38</v>
      </c>
      <c r="AI137">
        <v>14879</v>
      </c>
      <c r="AK137" t="b">
        <v>1</v>
      </c>
    </row>
    <row r="138" spans="1:37">
      <c r="A138" s="1" t="s">
        <v>172</v>
      </c>
      <c r="B138" t="s">
        <v>493</v>
      </c>
      <c r="C138">
        <f>HYPERLINK("https://finance.naver.com/item/coinfo.nhn?code=002990", "A002990")</f>
        <v>0</v>
      </c>
      <c r="D138">
        <f>HYPERLINK("http://comp.fnguide.com/SVO2/ASP/SVD_Consensus.asp?pGB=1&amp;gicode=A002990&amp;cID=&amp;MenuYn=Y&amp;ReportGB=&amp;NewMenuID=108&amp;stkGb=701", "금호건설")</f>
        <v>0</v>
      </c>
      <c r="E138">
        <v>3</v>
      </c>
      <c r="F138">
        <v>7890</v>
      </c>
      <c r="G138">
        <v>0.06</v>
      </c>
      <c r="H138">
        <v>2.89</v>
      </c>
      <c r="I138">
        <v>28104</v>
      </c>
      <c r="J138">
        <v>22866</v>
      </c>
      <c r="K138">
        <v>21005</v>
      </c>
      <c r="L138">
        <v>-256.2</v>
      </c>
      <c r="M138">
        <v>-189.81</v>
      </c>
      <c r="N138">
        <v>-166.22</v>
      </c>
      <c r="O138">
        <v>17.03</v>
      </c>
      <c r="P138" t="b">
        <v>1</v>
      </c>
      <c r="Q138">
        <v>0</v>
      </c>
      <c r="R138">
        <v>4011</v>
      </c>
      <c r="S138">
        <v>1029</v>
      </c>
      <c r="T138">
        <v>-74.3</v>
      </c>
      <c r="U138" t="s">
        <v>814</v>
      </c>
      <c r="V138" t="s">
        <v>1135</v>
      </c>
      <c r="W138">
        <v>47.23290516916472</v>
      </c>
      <c r="X138">
        <v>-76.40000000000001</v>
      </c>
      <c r="Y138" t="s">
        <v>1446</v>
      </c>
      <c r="Z138">
        <v>0</v>
      </c>
      <c r="AA138">
        <v>2916</v>
      </c>
      <c r="AB138">
        <v>347525</v>
      </c>
      <c r="AC138" t="s">
        <v>1757</v>
      </c>
      <c r="AD138">
        <v>47.51</v>
      </c>
      <c r="AE138" t="s">
        <v>2078</v>
      </c>
      <c r="AF138" t="s">
        <v>2397</v>
      </c>
      <c r="AG138">
        <v>20651</v>
      </c>
      <c r="AH138">
        <v>1116</v>
      </c>
      <c r="AI138">
        <v>1058230</v>
      </c>
      <c r="AJ138">
        <v>6.9</v>
      </c>
      <c r="AK138" t="b">
        <v>1</v>
      </c>
    </row>
    <row r="139" spans="1:37">
      <c r="A139" s="1" t="s">
        <v>173</v>
      </c>
      <c r="B139" t="s">
        <v>494</v>
      </c>
      <c r="C139">
        <f>HYPERLINK("https://finance.naver.com/item/coinfo.nhn?code=034120", "A034120")</f>
        <v>0</v>
      </c>
      <c r="D139">
        <f>HYPERLINK("http://comp.fnguide.com/SVO2/ASP/SVD_Consensus.asp?pGB=1&amp;gicode=A034120&amp;cID=&amp;MenuYn=Y&amp;ReportGB=&amp;NewMenuID=108&amp;stkGb=701", "SBS")</f>
        <v>0</v>
      </c>
      <c r="E139">
        <v>3</v>
      </c>
      <c r="F139">
        <v>32200</v>
      </c>
      <c r="G139">
        <v>0.07000000000000001</v>
      </c>
      <c r="H139">
        <v>6.62</v>
      </c>
      <c r="I139">
        <v>41061</v>
      </c>
      <c r="J139">
        <v>38996</v>
      </c>
      <c r="K139">
        <v>38262</v>
      </c>
      <c r="L139">
        <v>-27.52</v>
      </c>
      <c r="M139">
        <v>-21.11</v>
      </c>
      <c r="N139">
        <v>-18.83</v>
      </c>
      <c r="O139">
        <v>12.18</v>
      </c>
      <c r="P139" t="b">
        <v>1</v>
      </c>
      <c r="Q139">
        <v>2</v>
      </c>
      <c r="R139">
        <v>7456</v>
      </c>
      <c r="S139">
        <v>8714</v>
      </c>
      <c r="T139">
        <v>16.9</v>
      </c>
      <c r="U139" t="s">
        <v>815</v>
      </c>
      <c r="V139" t="s">
        <v>1136</v>
      </c>
      <c r="W139">
        <v>100.6668324017621</v>
      </c>
      <c r="X139">
        <v>-13.6</v>
      </c>
      <c r="Y139" t="s">
        <v>1447</v>
      </c>
      <c r="Z139">
        <v>0</v>
      </c>
      <c r="AA139">
        <v>5877</v>
      </c>
      <c r="AB139">
        <v>30696</v>
      </c>
      <c r="AC139" t="s">
        <v>1758</v>
      </c>
      <c r="AD139">
        <v>36.92</v>
      </c>
      <c r="AE139" t="s">
        <v>2079</v>
      </c>
      <c r="AF139" t="s">
        <v>2398</v>
      </c>
      <c r="AG139">
        <v>10790</v>
      </c>
      <c r="AH139">
        <v>1844</v>
      </c>
      <c r="AI139">
        <v>562514</v>
      </c>
      <c r="AJ139">
        <v>2.03</v>
      </c>
      <c r="AK139" t="b">
        <v>1</v>
      </c>
    </row>
    <row r="140" spans="1:37">
      <c r="A140" s="1" t="s">
        <v>174</v>
      </c>
      <c r="B140" t="s">
        <v>495</v>
      </c>
      <c r="C140">
        <f>HYPERLINK("https://finance.naver.com/item/coinfo.nhn?code=049800", "A049800")</f>
        <v>0</v>
      </c>
      <c r="D140">
        <f>HYPERLINK("http://comp.fnguide.com/SVO2/ASP/SVD_Consensus.asp?pGB=1&amp;gicode=A049800&amp;cID=&amp;MenuYn=Y&amp;ReportGB=&amp;NewMenuID=108&amp;stkGb=701", "우진플라임")</f>
        <v>0</v>
      </c>
      <c r="E140">
        <v>3</v>
      </c>
      <c r="F140">
        <v>3900</v>
      </c>
      <c r="G140">
        <v>0</v>
      </c>
      <c r="H140">
        <v>4.06</v>
      </c>
      <c r="I140">
        <v>7570</v>
      </c>
      <c r="J140">
        <v>5740</v>
      </c>
      <c r="K140">
        <v>5090</v>
      </c>
      <c r="L140">
        <v>-94.09999999999999</v>
      </c>
      <c r="M140">
        <v>-47.18</v>
      </c>
      <c r="N140">
        <v>-30.51</v>
      </c>
      <c r="O140">
        <v>20.32</v>
      </c>
      <c r="P140" t="b">
        <v>1</v>
      </c>
      <c r="Q140">
        <v>0</v>
      </c>
      <c r="R140">
        <v>1126</v>
      </c>
      <c r="U140" t="s">
        <v>816</v>
      </c>
      <c r="V140" t="s">
        <v>1137</v>
      </c>
      <c r="W140">
        <v>0</v>
      </c>
      <c r="X140">
        <v>64.09999999999999</v>
      </c>
      <c r="Y140" t="s">
        <v>1448</v>
      </c>
      <c r="Z140">
        <v>0</v>
      </c>
      <c r="AA140">
        <v>780</v>
      </c>
      <c r="AB140">
        <v>155661</v>
      </c>
      <c r="AC140" t="s">
        <v>1759</v>
      </c>
      <c r="AD140">
        <v>40.8</v>
      </c>
      <c r="AE140" t="s">
        <v>2080</v>
      </c>
      <c r="AF140" t="s">
        <v>2399</v>
      </c>
      <c r="AG140">
        <v>2340</v>
      </c>
      <c r="AH140">
        <v>166</v>
      </c>
      <c r="AJ140">
        <v>1.09</v>
      </c>
      <c r="AK140" t="b">
        <v>1</v>
      </c>
    </row>
    <row r="141" spans="1:37">
      <c r="A141" s="1" t="s">
        <v>175</v>
      </c>
      <c r="B141" t="s">
        <v>496</v>
      </c>
      <c r="C141">
        <f>HYPERLINK("https://finance.naver.com/item/coinfo.nhn?code=010060", "A010060")</f>
        <v>0</v>
      </c>
      <c r="D141">
        <f>HYPERLINK("http://comp.fnguide.com/SVO2/ASP/SVD_Consensus.asp?pGB=1&amp;gicode=A010060&amp;cID=&amp;MenuYn=Y&amp;ReportGB=&amp;NewMenuID=108&amp;stkGb=701", "OCI")</f>
        <v>0</v>
      </c>
      <c r="E141">
        <v>3</v>
      </c>
      <c r="F141">
        <v>86100</v>
      </c>
      <c r="G141">
        <v>0</v>
      </c>
      <c r="H141">
        <v>3.83</v>
      </c>
      <c r="I141">
        <v>141608</v>
      </c>
      <c r="J141">
        <v>135701</v>
      </c>
      <c r="K141">
        <v>133602</v>
      </c>
      <c r="L141">
        <v>-64.47</v>
      </c>
      <c r="M141">
        <v>-57.61</v>
      </c>
      <c r="N141">
        <v>-55.17</v>
      </c>
      <c r="O141">
        <v>11.96</v>
      </c>
      <c r="P141" t="b">
        <v>1</v>
      </c>
      <c r="Q141">
        <v>3</v>
      </c>
      <c r="R141">
        <v>27156</v>
      </c>
      <c r="S141">
        <v>31480</v>
      </c>
      <c r="T141">
        <v>15.9</v>
      </c>
      <c r="U141" t="s">
        <v>817</v>
      </c>
      <c r="V141" t="s">
        <v>1138</v>
      </c>
      <c r="W141">
        <v>0</v>
      </c>
      <c r="X141">
        <v>43.9</v>
      </c>
      <c r="Y141" t="s">
        <v>1449</v>
      </c>
      <c r="Z141">
        <v>0</v>
      </c>
      <c r="AA141">
        <v>20534</v>
      </c>
      <c r="AB141">
        <v>228826</v>
      </c>
      <c r="AC141" t="s">
        <v>1760</v>
      </c>
      <c r="AD141">
        <v>22.23</v>
      </c>
      <c r="AE141" t="s">
        <v>2081</v>
      </c>
      <c r="AF141" t="s">
        <v>2400</v>
      </c>
      <c r="AG141">
        <v>32440</v>
      </c>
      <c r="AH141">
        <v>6260</v>
      </c>
      <c r="AI141">
        <v>300000</v>
      </c>
      <c r="AJ141">
        <v>1.92</v>
      </c>
      <c r="AK141" t="b">
        <v>1</v>
      </c>
    </row>
    <row r="142" spans="1:37">
      <c r="A142" s="1" t="s">
        <v>176</v>
      </c>
      <c r="B142" t="s">
        <v>497</v>
      </c>
      <c r="C142">
        <f>HYPERLINK("https://finance.naver.com/item/coinfo.nhn?code=014830", "A014830")</f>
        <v>0</v>
      </c>
      <c r="D142">
        <f>HYPERLINK("http://comp.fnguide.com/SVO2/ASP/SVD_Consensus.asp?pGB=1&amp;gicode=A014830&amp;cID=&amp;MenuYn=Y&amp;ReportGB=&amp;NewMenuID=108&amp;stkGb=701", "유니드")</f>
        <v>0</v>
      </c>
      <c r="E142">
        <v>3</v>
      </c>
      <c r="F142">
        <v>83300</v>
      </c>
      <c r="G142">
        <v>0</v>
      </c>
      <c r="H142">
        <v>5.66</v>
      </c>
      <c r="I142">
        <v>209542</v>
      </c>
      <c r="J142">
        <v>178426</v>
      </c>
      <c r="K142">
        <v>167372</v>
      </c>
      <c r="L142">
        <v>-151.55</v>
      </c>
      <c r="M142">
        <v>-114.2</v>
      </c>
      <c r="N142">
        <v>-100.93</v>
      </c>
      <c r="O142">
        <v>15.33</v>
      </c>
      <c r="P142" t="b">
        <v>1</v>
      </c>
      <c r="Q142">
        <v>0</v>
      </c>
      <c r="R142">
        <v>20535</v>
      </c>
      <c r="U142" t="s">
        <v>818</v>
      </c>
      <c r="V142" t="s">
        <v>1139</v>
      </c>
      <c r="W142">
        <v>0</v>
      </c>
      <c r="X142">
        <v>-22.2</v>
      </c>
      <c r="Y142" t="s">
        <v>1450</v>
      </c>
      <c r="Z142">
        <v>29.10329492859021</v>
      </c>
      <c r="AA142">
        <v>5637</v>
      </c>
      <c r="AB142">
        <v>18109</v>
      </c>
      <c r="AC142" t="s">
        <v>1761</v>
      </c>
      <c r="AD142">
        <v>45.43</v>
      </c>
      <c r="AE142" t="s">
        <v>2082</v>
      </c>
      <c r="AF142" t="s">
        <v>2401</v>
      </c>
      <c r="AG142">
        <v>10973</v>
      </c>
      <c r="AH142">
        <v>1683</v>
      </c>
      <c r="AI142">
        <v>158000</v>
      </c>
      <c r="AJ142">
        <v>1.46</v>
      </c>
      <c r="AK142" t="b">
        <v>1</v>
      </c>
    </row>
    <row r="143" spans="1:37">
      <c r="A143" s="1" t="s">
        <v>177</v>
      </c>
      <c r="B143" t="s">
        <v>498</v>
      </c>
      <c r="C143">
        <f>HYPERLINK("https://finance.naver.com/item/coinfo.nhn?code=030210", "A030210")</f>
        <v>0</v>
      </c>
      <c r="D143">
        <f>HYPERLINK("http://comp.fnguide.com/SVO2/ASP/SVD_Consensus.asp?pGB=1&amp;gicode=A030210&amp;cID=&amp;MenuYn=Y&amp;ReportGB=&amp;NewMenuID=108&amp;stkGb=701", "다올투자증권")</f>
        <v>0</v>
      </c>
      <c r="E143">
        <v>3</v>
      </c>
      <c r="F143">
        <v>3130</v>
      </c>
      <c r="G143">
        <v>0</v>
      </c>
      <c r="H143">
        <v>2.11</v>
      </c>
      <c r="I143">
        <v>19196</v>
      </c>
      <c r="J143">
        <v>14923</v>
      </c>
      <c r="K143">
        <v>13405</v>
      </c>
      <c r="L143">
        <v>-513.29</v>
      </c>
      <c r="M143">
        <v>-376.78</v>
      </c>
      <c r="N143">
        <v>-328.29</v>
      </c>
      <c r="O143">
        <v>19.05</v>
      </c>
      <c r="P143" t="b">
        <v>1</v>
      </c>
      <c r="Q143">
        <v>0</v>
      </c>
      <c r="R143">
        <v>2459</v>
      </c>
      <c r="U143" t="s">
        <v>819</v>
      </c>
      <c r="V143" t="s">
        <v>1140</v>
      </c>
      <c r="W143">
        <v>0</v>
      </c>
      <c r="X143">
        <v>17.9</v>
      </c>
      <c r="Y143" t="s">
        <v>1451</v>
      </c>
      <c r="Z143">
        <v>14.41330509330177</v>
      </c>
      <c r="AA143">
        <v>1888</v>
      </c>
      <c r="AB143">
        <v>1670432</v>
      </c>
      <c r="AC143" t="s">
        <v>1762</v>
      </c>
      <c r="AD143">
        <v>25.81</v>
      </c>
      <c r="AE143" t="s">
        <v>2083</v>
      </c>
      <c r="AF143" t="s">
        <v>2402</v>
      </c>
      <c r="AG143">
        <v>4469</v>
      </c>
      <c r="AH143">
        <v>1482</v>
      </c>
      <c r="AI143">
        <v>1816241</v>
      </c>
      <c r="AJ143">
        <v>4.82</v>
      </c>
      <c r="AK143" t="b">
        <v>1</v>
      </c>
    </row>
    <row r="144" spans="1:37">
      <c r="A144" s="1" t="s">
        <v>178</v>
      </c>
      <c r="B144" t="s">
        <v>499</v>
      </c>
      <c r="C144">
        <f>HYPERLINK("https://finance.naver.com/item/coinfo.nhn?code=000700", "A000700")</f>
        <v>0</v>
      </c>
      <c r="D144">
        <f>HYPERLINK("http://comp.fnguide.com/SVO2/ASP/SVD_Consensus.asp?pGB=1&amp;gicode=A000700&amp;cID=&amp;MenuYn=Y&amp;ReportGB=&amp;NewMenuID=108&amp;stkGb=701", "유수홀딩스")</f>
        <v>0</v>
      </c>
      <c r="E144">
        <v>3</v>
      </c>
      <c r="F144">
        <v>6650</v>
      </c>
      <c r="G144">
        <v>0</v>
      </c>
      <c r="H144">
        <v>6.83</v>
      </c>
      <c r="I144">
        <v>16905</v>
      </c>
      <c r="J144">
        <v>14899</v>
      </c>
      <c r="K144">
        <v>14186</v>
      </c>
      <c r="L144">
        <v>-154.21</v>
      </c>
      <c r="M144">
        <v>-124.04</v>
      </c>
      <c r="N144">
        <v>-113.32</v>
      </c>
      <c r="O144">
        <v>14.21</v>
      </c>
      <c r="P144" t="b">
        <v>1</v>
      </c>
      <c r="Q144">
        <v>0</v>
      </c>
      <c r="R144">
        <v>923</v>
      </c>
      <c r="U144" t="s">
        <v>820</v>
      </c>
      <c r="V144" t="s">
        <v>1141</v>
      </c>
      <c r="W144">
        <v>0</v>
      </c>
      <c r="X144">
        <v>70.90000000000001</v>
      </c>
      <c r="Y144" t="s">
        <v>1452</v>
      </c>
      <c r="Z144">
        <v>0</v>
      </c>
      <c r="AA144">
        <v>1732</v>
      </c>
      <c r="AB144">
        <v>14790</v>
      </c>
      <c r="AC144" t="s">
        <v>1763</v>
      </c>
      <c r="AD144">
        <v>49.92</v>
      </c>
      <c r="AE144" t="s">
        <v>2084</v>
      </c>
      <c r="AF144" t="s">
        <v>2403</v>
      </c>
      <c r="AG144">
        <v>5037</v>
      </c>
      <c r="AH144">
        <v>203</v>
      </c>
      <c r="AI144">
        <v>2290582</v>
      </c>
      <c r="AJ144">
        <v>6.35</v>
      </c>
      <c r="AK144" t="b">
        <v>1</v>
      </c>
    </row>
    <row r="145" spans="1:37">
      <c r="A145" s="1" t="s">
        <v>179</v>
      </c>
      <c r="B145" t="s">
        <v>500</v>
      </c>
      <c r="C145">
        <f>HYPERLINK("https://finance.naver.com/item/coinfo.nhn?code=008260", "A008260")</f>
        <v>0</v>
      </c>
      <c r="D145">
        <f>HYPERLINK("http://comp.fnguide.com/SVO2/ASP/SVD_Consensus.asp?pGB=1&amp;gicode=A008260&amp;cID=&amp;MenuYn=Y&amp;ReportGB=&amp;NewMenuID=108&amp;stkGb=701", "NI스틸")</f>
        <v>0</v>
      </c>
      <c r="E145">
        <v>3</v>
      </c>
      <c r="F145">
        <v>4720</v>
      </c>
      <c r="G145">
        <v>0</v>
      </c>
      <c r="H145">
        <v>4.38</v>
      </c>
      <c r="I145">
        <v>5782</v>
      </c>
      <c r="J145">
        <v>5349</v>
      </c>
      <c r="K145">
        <v>5195</v>
      </c>
      <c r="L145">
        <v>-22.51</v>
      </c>
      <c r="M145">
        <v>-13.32</v>
      </c>
      <c r="N145">
        <v>-10.06</v>
      </c>
      <c r="O145">
        <v>12.84</v>
      </c>
      <c r="P145" t="b">
        <v>1</v>
      </c>
      <c r="Q145">
        <v>0</v>
      </c>
      <c r="R145">
        <v>771</v>
      </c>
      <c r="U145" t="s">
        <v>821</v>
      </c>
      <c r="V145" t="s">
        <v>1142</v>
      </c>
      <c r="W145">
        <v>0</v>
      </c>
      <c r="X145">
        <v>128</v>
      </c>
      <c r="Y145" t="s">
        <v>1453</v>
      </c>
      <c r="Z145">
        <v>35.42803412267732</v>
      </c>
      <c r="AA145">
        <v>1350</v>
      </c>
      <c r="AB145">
        <v>82545</v>
      </c>
      <c r="AC145" t="s">
        <v>1764</v>
      </c>
      <c r="AD145">
        <v>58.95</v>
      </c>
      <c r="AE145" t="s">
        <v>2085</v>
      </c>
      <c r="AF145" t="s">
        <v>2404</v>
      </c>
      <c r="AG145">
        <v>2482</v>
      </c>
      <c r="AH145">
        <v>312</v>
      </c>
      <c r="AJ145">
        <v>2.22</v>
      </c>
      <c r="AK145" t="b">
        <v>1</v>
      </c>
    </row>
    <row r="146" spans="1:37">
      <c r="A146" s="1" t="s">
        <v>180</v>
      </c>
      <c r="B146" t="s">
        <v>501</v>
      </c>
      <c r="C146">
        <f>HYPERLINK("https://finance.naver.com/item/coinfo.nhn?code=192400", "A192400")</f>
        <v>0</v>
      </c>
      <c r="D146">
        <f>HYPERLINK("http://comp.fnguide.com/SVO2/ASP/SVD_Consensus.asp?pGB=1&amp;gicode=A192400&amp;cID=&amp;MenuYn=Y&amp;ReportGB=&amp;NewMenuID=108&amp;stkGb=701", "쿠쿠홀딩스")</f>
        <v>0</v>
      </c>
      <c r="E146">
        <v>3</v>
      </c>
      <c r="F146">
        <v>16300</v>
      </c>
      <c r="G146">
        <v>0</v>
      </c>
      <c r="H146">
        <v>4.7</v>
      </c>
      <c r="I146">
        <v>40941</v>
      </c>
      <c r="J146">
        <v>34387</v>
      </c>
      <c r="K146">
        <v>32058</v>
      </c>
      <c r="L146">
        <v>-151.17</v>
      </c>
      <c r="M146">
        <v>-110.96</v>
      </c>
      <c r="N146">
        <v>-96.68000000000001</v>
      </c>
      <c r="O146">
        <v>15.81</v>
      </c>
      <c r="P146" t="b">
        <v>1</v>
      </c>
      <c r="Q146">
        <v>0</v>
      </c>
      <c r="R146">
        <v>4073</v>
      </c>
      <c r="U146" t="s">
        <v>822</v>
      </c>
      <c r="V146" t="s">
        <v>1143</v>
      </c>
      <c r="W146">
        <v>0</v>
      </c>
      <c r="X146">
        <v>-14.6</v>
      </c>
      <c r="Y146" t="s">
        <v>1454</v>
      </c>
      <c r="Z146">
        <v>-18.21145512949183</v>
      </c>
      <c r="AA146">
        <v>5797</v>
      </c>
      <c r="AB146">
        <v>11119</v>
      </c>
      <c r="AC146" t="s">
        <v>1765</v>
      </c>
      <c r="AD146">
        <v>64.86</v>
      </c>
      <c r="AE146" t="s">
        <v>2086</v>
      </c>
      <c r="AF146" t="s">
        <v>2405</v>
      </c>
      <c r="AG146">
        <v>6851</v>
      </c>
      <c r="AH146">
        <v>1070</v>
      </c>
      <c r="AI146">
        <v>4483800</v>
      </c>
      <c r="AJ146">
        <v>3.66</v>
      </c>
      <c r="AK146" t="b">
        <v>1</v>
      </c>
    </row>
    <row r="147" spans="1:37">
      <c r="A147" s="1" t="s">
        <v>181</v>
      </c>
      <c r="B147" t="s">
        <v>502</v>
      </c>
      <c r="C147">
        <f>HYPERLINK("https://finance.naver.com/item/coinfo.nhn?code=000760", "A000760")</f>
        <v>0</v>
      </c>
      <c r="D147">
        <f>HYPERLINK("http://comp.fnguide.com/SVO2/ASP/SVD_Consensus.asp?pGB=1&amp;gicode=A000760&amp;cID=&amp;MenuYn=Y&amp;ReportGB=&amp;NewMenuID=108&amp;stkGb=701", "이화산업")</f>
        <v>0</v>
      </c>
      <c r="E147">
        <v>3</v>
      </c>
      <c r="F147">
        <v>15900</v>
      </c>
      <c r="G147">
        <v>0</v>
      </c>
      <c r="H147">
        <v>0.92</v>
      </c>
      <c r="I147">
        <v>90892</v>
      </c>
      <c r="J147">
        <v>70483</v>
      </c>
      <c r="K147">
        <v>63232</v>
      </c>
      <c r="L147">
        <v>-471.65</v>
      </c>
      <c r="M147">
        <v>-343.29</v>
      </c>
      <c r="N147">
        <v>-297.69</v>
      </c>
      <c r="O147">
        <v>19.17</v>
      </c>
      <c r="P147" t="b">
        <v>1</v>
      </c>
      <c r="Q147">
        <v>0</v>
      </c>
      <c r="R147">
        <v>16817</v>
      </c>
      <c r="U147" t="s">
        <v>823</v>
      </c>
      <c r="V147" t="s">
        <v>1144</v>
      </c>
      <c r="W147">
        <v>0</v>
      </c>
      <c r="X147">
        <v>-98.90000000000001</v>
      </c>
      <c r="Y147" t="s">
        <v>1455</v>
      </c>
      <c r="Z147">
        <v>0</v>
      </c>
      <c r="AA147">
        <v>445</v>
      </c>
      <c r="AB147">
        <v>289</v>
      </c>
      <c r="AC147" t="s">
        <v>1766</v>
      </c>
      <c r="AD147">
        <v>72.81</v>
      </c>
      <c r="AE147" t="s">
        <v>2087</v>
      </c>
      <c r="AF147" t="s">
        <v>2406</v>
      </c>
      <c r="AG147">
        <v>578</v>
      </c>
      <c r="AH147">
        <v>-50</v>
      </c>
      <c r="AK147" t="b">
        <v>1</v>
      </c>
    </row>
    <row r="148" spans="1:37">
      <c r="A148" s="1" t="s">
        <v>182</v>
      </c>
      <c r="B148" t="s">
        <v>503</v>
      </c>
      <c r="C148">
        <f>HYPERLINK("https://finance.naver.com/item/coinfo.nhn?code=005940", "A005940")</f>
        <v>0</v>
      </c>
      <c r="D148">
        <f>HYPERLINK("http://comp.fnguide.com/SVO2/ASP/SVD_Consensus.asp?pGB=1&amp;gicode=A005940&amp;cID=&amp;MenuYn=Y&amp;ReportGB=&amp;NewMenuID=108&amp;stkGb=701", "NH투자증권")</f>
        <v>0</v>
      </c>
      <c r="E148">
        <v>3</v>
      </c>
      <c r="F148">
        <v>9320</v>
      </c>
      <c r="G148">
        <v>-0.27</v>
      </c>
      <c r="H148">
        <v>4.08</v>
      </c>
      <c r="I148">
        <v>23077</v>
      </c>
      <c r="J148">
        <v>21769</v>
      </c>
      <c r="K148">
        <v>21304</v>
      </c>
      <c r="L148">
        <v>-147.6</v>
      </c>
      <c r="M148">
        <v>-133.57</v>
      </c>
      <c r="N148">
        <v>-128.58</v>
      </c>
      <c r="O148">
        <v>12.34</v>
      </c>
      <c r="P148" t="b">
        <v>0</v>
      </c>
      <c r="Q148">
        <v>0</v>
      </c>
      <c r="R148">
        <v>3067</v>
      </c>
      <c r="S148">
        <v>973</v>
      </c>
      <c r="T148">
        <v>-68.3</v>
      </c>
      <c r="U148" t="s">
        <v>824</v>
      </c>
      <c r="V148" t="s">
        <v>1145</v>
      </c>
      <c r="W148">
        <v>-15.00207446815975</v>
      </c>
      <c r="X148">
        <v>4.4</v>
      </c>
      <c r="Y148" t="s">
        <v>1456</v>
      </c>
      <c r="Z148">
        <v>9.126059767570393</v>
      </c>
      <c r="AA148">
        <v>30911</v>
      </c>
      <c r="AB148">
        <v>658496</v>
      </c>
      <c r="AC148" t="s">
        <v>1767</v>
      </c>
      <c r="AD148">
        <v>56.83</v>
      </c>
      <c r="AE148" t="s">
        <v>2088</v>
      </c>
      <c r="AF148" t="s">
        <v>2407</v>
      </c>
      <c r="AG148">
        <v>23406</v>
      </c>
      <c r="AH148">
        <v>12939</v>
      </c>
      <c r="AI148">
        <v>683671</v>
      </c>
      <c r="AJ148">
        <v>8.4</v>
      </c>
      <c r="AK148" t="b">
        <v>1</v>
      </c>
    </row>
    <row r="149" spans="1:37">
      <c r="A149" s="1" t="s">
        <v>183</v>
      </c>
      <c r="B149" t="s">
        <v>504</v>
      </c>
      <c r="C149">
        <f>HYPERLINK("https://finance.naver.com/item/coinfo.nhn?code=035420", "A035420")</f>
        <v>0</v>
      </c>
      <c r="D149">
        <f>HYPERLINK("http://comp.fnguide.com/SVO2/ASP/SVD_Consensus.asp?pGB=1&amp;gicode=A035420&amp;cID=&amp;MenuYn=Y&amp;ReportGB=&amp;NewMenuID=108&amp;stkGb=701", "NAVER")</f>
        <v>0</v>
      </c>
      <c r="E149">
        <v>3</v>
      </c>
      <c r="F149">
        <v>195000</v>
      </c>
      <c r="G149">
        <v>0.23</v>
      </c>
      <c r="H149">
        <v>3.77</v>
      </c>
      <c r="I149">
        <v>859241</v>
      </c>
      <c r="J149">
        <v>488510</v>
      </c>
      <c r="K149">
        <v>356806</v>
      </c>
      <c r="L149">
        <v>-340.64</v>
      </c>
      <c r="M149">
        <v>-150.52</v>
      </c>
      <c r="N149">
        <v>-82.98</v>
      </c>
      <c r="O149">
        <v>60.19</v>
      </c>
      <c r="P149" t="b">
        <v>1</v>
      </c>
      <c r="Q149">
        <v>0</v>
      </c>
      <c r="R149">
        <v>100400</v>
      </c>
      <c r="S149">
        <v>5648</v>
      </c>
      <c r="T149">
        <v>-94.40000000000001</v>
      </c>
      <c r="U149" t="s">
        <v>825</v>
      </c>
      <c r="V149" t="s">
        <v>1146</v>
      </c>
      <c r="W149">
        <v>16.68882408364452</v>
      </c>
      <c r="X149">
        <v>-96.2</v>
      </c>
      <c r="Y149" t="s">
        <v>1457</v>
      </c>
      <c r="Z149">
        <v>-4.040909218237088</v>
      </c>
      <c r="AA149">
        <v>319896</v>
      </c>
      <c r="AB149">
        <v>869459</v>
      </c>
      <c r="AC149" t="s">
        <v>1768</v>
      </c>
      <c r="AD149">
        <v>8.289999999999999</v>
      </c>
      <c r="AE149" t="s">
        <v>2089</v>
      </c>
      <c r="AF149" t="s">
        <v>2408</v>
      </c>
      <c r="AG149">
        <v>68176</v>
      </c>
      <c r="AH149">
        <v>13255</v>
      </c>
      <c r="AI149">
        <v>14441741</v>
      </c>
      <c r="AJ149">
        <v>0.14</v>
      </c>
      <c r="AK149" t="b">
        <v>1</v>
      </c>
    </row>
    <row r="150" spans="1:37">
      <c r="A150" s="1" t="s">
        <v>184</v>
      </c>
      <c r="B150" t="s">
        <v>505</v>
      </c>
      <c r="C150">
        <f>HYPERLINK("https://finance.naver.com/item/coinfo.nhn?code=004000", "A004000")</f>
        <v>0</v>
      </c>
      <c r="D150">
        <f>HYPERLINK("http://comp.fnguide.com/SVO2/ASP/SVD_Consensus.asp?pGB=1&amp;gicode=A004000&amp;cID=&amp;MenuYn=Y&amp;ReportGB=&amp;NewMenuID=108&amp;stkGb=701", "롯데정밀화학")</f>
        <v>0</v>
      </c>
      <c r="E150">
        <v>3</v>
      </c>
      <c r="F150">
        <v>56200</v>
      </c>
      <c r="G150">
        <v>0.8100000000000001</v>
      </c>
      <c r="H150">
        <v>3.31</v>
      </c>
      <c r="I150">
        <v>167525</v>
      </c>
      <c r="J150">
        <v>124636</v>
      </c>
      <c r="K150">
        <v>109400</v>
      </c>
      <c r="L150">
        <v>-198.09</v>
      </c>
      <c r="M150">
        <v>-121.77</v>
      </c>
      <c r="N150">
        <v>-94.66</v>
      </c>
      <c r="O150">
        <v>21.39</v>
      </c>
      <c r="P150" t="b">
        <v>1</v>
      </c>
      <c r="Q150">
        <v>0</v>
      </c>
      <c r="R150">
        <v>22692</v>
      </c>
      <c r="S150">
        <v>7355</v>
      </c>
      <c r="T150">
        <v>-67.59999999999999</v>
      </c>
      <c r="U150" t="s">
        <v>826</v>
      </c>
      <c r="V150" t="s">
        <v>1147</v>
      </c>
      <c r="W150">
        <v>4.062295641186231</v>
      </c>
      <c r="X150">
        <v>-77.40000000000001</v>
      </c>
      <c r="Y150" t="s">
        <v>1458</v>
      </c>
      <c r="Z150">
        <v>8.195310997714135</v>
      </c>
      <c r="AA150">
        <v>14500</v>
      </c>
      <c r="AB150">
        <v>37457</v>
      </c>
      <c r="AC150" t="s">
        <v>1769</v>
      </c>
      <c r="AD150">
        <v>43.5</v>
      </c>
      <c r="AE150" t="s">
        <v>2090</v>
      </c>
      <c r="AF150" t="s">
        <v>2409</v>
      </c>
      <c r="AG150">
        <v>17803</v>
      </c>
      <c r="AH150">
        <v>2445</v>
      </c>
      <c r="AI150">
        <v>330000</v>
      </c>
      <c r="AJ150">
        <v>3.07</v>
      </c>
      <c r="AK150" t="b">
        <v>1</v>
      </c>
    </row>
    <row r="151" spans="1:37">
      <c r="A151" s="1" t="s">
        <v>185</v>
      </c>
      <c r="B151" t="s">
        <v>506</v>
      </c>
      <c r="C151">
        <f>HYPERLINK("https://finance.naver.com/item/coinfo.nhn?code=101140", "A101140")</f>
        <v>0</v>
      </c>
      <c r="D151">
        <f>HYPERLINK("http://comp.fnguide.com/SVO2/ASP/SVD_Consensus.asp?pGB=1&amp;gicode=A101140&amp;cID=&amp;MenuYn=Y&amp;ReportGB=&amp;NewMenuID=108&amp;stkGb=701", "인바이오젠")</f>
        <v>0</v>
      </c>
      <c r="E151">
        <v>3</v>
      </c>
      <c r="F151">
        <v>936</v>
      </c>
      <c r="G151">
        <v>0</v>
      </c>
      <c r="H151">
        <v>2.21</v>
      </c>
      <c r="I151">
        <v>10111</v>
      </c>
      <c r="J151">
        <v>6183</v>
      </c>
      <c r="K151">
        <v>4787</v>
      </c>
      <c r="L151">
        <v>-980.27</v>
      </c>
      <c r="M151">
        <v>-560.58</v>
      </c>
      <c r="N151">
        <v>-411.48</v>
      </c>
      <c r="O151">
        <v>41.68</v>
      </c>
      <c r="P151" t="b">
        <v>1</v>
      </c>
      <c r="Q151">
        <v>0</v>
      </c>
      <c r="R151">
        <v>1612</v>
      </c>
      <c r="U151" t="s">
        <v>827</v>
      </c>
      <c r="V151" t="s">
        <v>1148</v>
      </c>
      <c r="W151">
        <v>0</v>
      </c>
      <c r="Y151" t="s">
        <v>1459</v>
      </c>
      <c r="Z151">
        <v>0</v>
      </c>
      <c r="AA151">
        <v>633</v>
      </c>
      <c r="AB151">
        <v>12871594</v>
      </c>
      <c r="AC151" t="s">
        <v>1770</v>
      </c>
      <c r="AD151">
        <v>37.34</v>
      </c>
      <c r="AE151" t="s">
        <v>2091</v>
      </c>
      <c r="AF151" t="s">
        <v>2410</v>
      </c>
      <c r="AG151">
        <v>105</v>
      </c>
      <c r="AH151">
        <v>-79</v>
      </c>
      <c r="AI151">
        <v>1055087</v>
      </c>
      <c r="AK151" t="b">
        <v>1</v>
      </c>
    </row>
    <row r="152" spans="1:37">
      <c r="A152" s="1" t="s">
        <v>186</v>
      </c>
      <c r="B152" t="s">
        <v>507</v>
      </c>
      <c r="C152">
        <f>HYPERLINK("https://finance.naver.com/item/coinfo.nhn?code=317400", "A317400")</f>
        <v>0</v>
      </c>
      <c r="D152">
        <f>HYPERLINK("http://comp.fnguide.com/SVO2/ASP/SVD_Consensus.asp?pGB=1&amp;gicode=A317400&amp;cID=&amp;MenuYn=Y&amp;ReportGB=&amp;NewMenuID=108&amp;stkGb=701", "자이에스앤디")</f>
        <v>0</v>
      </c>
      <c r="E152">
        <v>3</v>
      </c>
      <c r="F152">
        <v>6160</v>
      </c>
      <c r="G152">
        <v>0.39</v>
      </c>
      <c r="H152">
        <v>8.93</v>
      </c>
      <c r="I152">
        <v>10399</v>
      </c>
      <c r="J152">
        <v>9047</v>
      </c>
      <c r="K152">
        <v>8566</v>
      </c>
      <c r="L152">
        <v>-68.81999999999999</v>
      </c>
      <c r="M152">
        <v>-46.86</v>
      </c>
      <c r="N152">
        <v>-39.06</v>
      </c>
      <c r="O152">
        <v>14.62</v>
      </c>
      <c r="P152" t="b">
        <v>1</v>
      </c>
      <c r="Q152">
        <v>3</v>
      </c>
      <c r="R152">
        <v>1036</v>
      </c>
      <c r="S152">
        <v>1183</v>
      </c>
      <c r="T152">
        <v>14.2</v>
      </c>
      <c r="U152" t="s">
        <v>828</v>
      </c>
      <c r="V152" t="s">
        <v>1149</v>
      </c>
      <c r="W152">
        <v>23.01205777754285</v>
      </c>
      <c r="X152">
        <v>87.2</v>
      </c>
      <c r="Y152" t="s">
        <v>1460</v>
      </c>
      <c r="Z152">
        <v>23.1835519039038</v>
      </c>
      <c r="AA152">
        <v>2389</v>
      </c>
      <c r="AB152">
        <v>74094</v>
      </c>
      <c r="AC152" t="s">
        <v>1771</v>
      </c>
      <c r="AD152">
        <v>49.81</v>
      </c>
      <c r="AE152" t="s">
        <v>2092</v>
      </c>
      <c r="AF152" t="s">
        <v>2411</v>
      </c>
      <c r="AG152">
        <v>4357</v>
      </c>
      <c r="AH152">
        <v>508</v>
      </c>
      <c r="AJ152">
        <v>2.16</v>
      </c>
      <c r="AK152" t="b">
        <v>1</v>
      </c>
    </row>
    <row r="153" spans="1:37">
      <c r="A153" s="1" t="s">
        <v>187</v>
      </c>
      <c r="B153" t="s">
        <v>508</v>
      </c>
      <c r="C153">
        <f>HYPERLINK("https://finance.naver.com/item/coinfo.nhn?code=194370", "A194370")</f>
        <v>0</v>
      </c>
      <c r="D153">
        <f>HYPERLINK("http://comp.fnguide.com/SVO2/ASP/SVD_Consensus.asp?pGB=1&amp;gicode=A194370&amp;cID=&amp;MenuYn=Y&amp;ReportGB=&amp;NewMenuID=108&amp;stkGb=701", "제이에스코퍼레이션")</f>
        <v>0</v>
      </c>
      <c r="E153">
        <v>3</v>
      </c>
      <c r="F153">
        <v>14750</v>
      </c>
      <c r="G153">
        <v>0</v>
      </c>
      <c r="H153">
        <v>5.91</v>
      </c>
      <c r="I153">
        <v>21864</v>
      </c>
      <c r="J153">
        <v>18749</v>
      </c>
      <c r="K153">
        <v>17643</v>
      </c>
      <c r="L153">
        <v>-48.23</v>
      </c>
      <c r="M153">
        <v>-27.11</v>
      </c>
      <c r="N153">
        <v>-19.61</v>
      </c>
      <c r="O153">
        <v>15.09</v>
      </c>
      <c r="P153" t="b">
        <v>1</v>
      </c>
      <c r="Q153">
        <v>0</v>
      </c>
      <c r="R153">
        <v>3619</v>
      </c>
      <c r="U153" t="s">
        <v>829</v>
      </c>
      <c r="V153" t="s">
        <v>1150</v>
      </c>
      <c r="W153">
        <v>0</v>
      </c>
      <c r="X153">
        <v>105.2</v>
      </c>
      <c r="Y153" t="s">
        <v>1461</v>
      </c>
      <c r="Z153">
        <v>76.53492218615914</v>
      </c>
      <c r="AA153">
        <v>1967</v>
      </c>
      <c r="AB153">
        <v>134586</v>
      </c>
      <c r="AC153" t="s">
        <v>1772</v>
      </c>
      <c r="AD153">
        <v>60.69</v>
      </c>
      <c r="AE153" t="s">
        <v>2093</v>
      </c>
      <c r="AF153" t="s">
        <v>2412</v>
      </c>
      <c r="AG153">
        <v>9870</v>
      </c>
      <c r="AH153">
        <v>610</v>
      </c>
      <c r="AI153">
        <v>696909</v>
      </c>
      <c r="AJ153">
        <v>2.8</v>
      </c>
      <c r="AK153" t="b">
        <v>1</v>
      </c>
    </row>
    <row r="154" spans="1:37">
      <c r="A154" s="1" t="s">
        <v>188</v>
      </c>
      <c r="B154" t="s">
        <v>509</v>
      </c>
      <c r="C154">
        <f>HYPERLINK("https://finance.naver.com/item/coinfo.nhn?code=002780", "A002780")</f>
        <v>0</v>
      </c>
      <c r="D154">
        <f>HYPERLINK("http://comp.fnguide.com/SVO2/ASP/SVD_Consensus.asp?pGB=1&amp;gicode=A002780&amp;cID=&amp;MenuYn=Y&amp;ReportGB=&amp;NewMenuID=108&amp;stkGb=701", "진흥기업")</f>
        <v>0</v>
      </c>
      <c r="E154">
        <v>3</v>
      </c>
      <c r="F154">
        <v>1360</v>
      </c>
      <c r="G154">
        <v>0</v>
      </c>
      <c r="H154">
        <v>5.98</v>
      </c>
      <c r="I154">
        <v>3048</v>
      </c>
      <c r="J154">
        <v>2059</v>
      </c>
      <c r="K154">
        <v>1708</v>
      </c>
      <c r="L154">
        <v>-124.12</v>
      </c>
      <c r="M154">
        <v>-51.42</v>
      </c>
      <c r="N154">
        <v>-25.59</v>
      </c>
      <c r="O154">
        <v>28.56</v>
      </c>
      <c r="P154" t="b">
        <v>1</v>
      </c>
      <c r="Q154">
        <v>0</v>
      </c>
      <c r="R154">
        <v>364</v>
      </c>
      <c r="U154" t="s">
        <v>830</v>
      </c>
      <c r="V154" t="s">
        <v>1151</v>
      </c>
      <c r="W154">
        <v>0</v>
      </c>
      <c r="X154">
        <v>-4.3</v>
      </c>
      <c r="Y154" t="s">
        <v>1462</v>
      </c>
      <c r="Z154">
        <v>16.28937870882343</v>
      </c>
      <c r="AA154">
        <v>1978</v>
      </c>
      <c r="AB154">
        <v>416223</v>
      </c>
      <c r="AC154" t="s">
        <v>1773</v>
      </c>
      <c r="AD154">
        <v>48.57</v>
      </c>
      <c r="AE154" t="s">
        <v>2094</v>
      </c>
      <c r="AF154" t="s">
        <v>2413</v>
      </c>
      <c r="AG154">
        <v>4442</v>
      </c>
      <c r="AH154">
        <v>433</v>
      </c>
      <c r="AI154">
        <v>58131</v>
      </c>
      <c r="AK154" t="b">
        <v>1</v>
      </c>
    </row>
    <row r="155" spans="1:37">
      <c r="A155" s="1" t="s">
        <v>189</v>
      </c>
      <c r="B155" t="s">
        <v>510</v>
      </c>
      <c r="C155">
        <f>HYPERLINK("https://finance.naver.com/item/coinfo.nhn?code=281820", "A281820")</f>
        <v>0</v>
      </c>
      <c r="D155">
        <f>HYPERLINK("http://comp.fnguide.com/SVO2/ASP/SVD_Consensus.asp?pGB=1&amp;gicode=A281820&amp;cID=&amp;MenuYn=Y&amp;ReportGB=&amp;NewMenuID=108&amp;stkGb=701", "케이씨텍")</f>
        <v>0</v>
      </c>
      <c r="E155">
        <v>3</v>
      </c>
      <c r="F155">
        <v>16100</v>
      </c>
      <c r="G155">
        <v>0</v>
      </c>
      <c r="H155">
        <v>11.96</v>
      </c>
      <c r="I155">
        <v>21434</v>
      </c>
      <c r="J155">
        <v>20140</v>
      </c>
      <c r="K155">
        <v>19681</v>
      </c>
      <c r="L155">
        <v>-33.13</v>
      </c>
      <c r="M155">
        <v>-25.09</v>
      </c>
      <c r="N155">
        <v>-22.24</v>
      </c>
      <c r="O155">
        <v>12.44</v>
      </c>
      <c r="P155" t="b">
        <v>0</v>
      </c>
      <c r="Q155">
        <v>0</v>
      </c>
      <c r="R155">
        <v>2011</v>
      </c>
      <c r="U155" t="s">
        <v>831</v>
      </c>
      <c r="V155" t="s">
        <v>1152</v>
      </c>
      <c r="W155">
        <v>0</v>
      </c>
      <c r="X155">
        <v>78.2</v>
      </c>
      <c r="Y155" t="s">
        <v>1463</v>
      </c>
      <c r="Z155">
        <v>44.80658405692313</v>
      </c>
      <c r="AA155">
        <v>3359</v>
      </c>
      <c r="AB155">
        <v>51613</v>
      </c>
      <c r="AC155" t="s">
        <v>1774</v>
      </c>
      <c r="AD155">
        <v>51.51</v>
      </c>
      <c r="AE155" t="s">
        <v>2095</v>
      </c>
      <c r="AF155" t="s">
        <v>2414</v>
      </c>
      <c r="AG155">
        <v>3445</v>
      </c>
      <c r="AH155">
        <v>521</v>
      </c>
      <c r="AI155">
        <v>571495</v>
      </c>
      <c r="AJ155">
        <v>0.91</v>
      </c>
      <c r="AK155" t="b">
        <v>1</v>
      </c>
    </row>
    <row r="156" spans="1:37">
      <c r="A156" s="1" t="s">
        <v>190</v>
      </c>
      <c r="B156" t="s">
        <v>511</v>
      </c>
      <c r="C156">
        <f>HYPERLINK("https://finance.naver.com/item/coinfo.nhn?code=002020", "A002020")</f>
        <v>0</v>
      </c>
      <c r="D156">
        <f>HYPERLINK("http://comp.fnguide.com/SVO2/ASP/SVD_Consensus.asp?pGB=1&amp;gicode=A002020&amp;cID=&amp;MenuYn=Y&amp;ReportGB=&amp;NewMenuID=108&amp;stkGb=701", "코오롱")</f>
        <v>0</v>
      </c>
      <c r="E156">
        <v>3</v>
      </c>
      <c r="F156">
        <v>22400</v>
      </c>
      <c r="G156">
        <v>0</v>
      </c>
      <c r="H156">
        <v>3.53</v>
      </c>
      <c r="I156">
        <v>94626</v>
      </c>
      <c r="J156">
        <v>78999</v>
      </c>
      <c r="K156">
        <v>73447</v>
      </c>
      <c r="L156">
        <v>-322.44</v>
      </c>
      <c r="M156">
        <v>-252.67</v>
      </c>
      <c r="N156">
        <v>-227.89</v>
      </c>
      <c r="O156">
        <v>16.03</v>
      </c>
      <c r="P156" t="b">
        <v>1</v>
      </c>
      <c r="Q156">
        <v>0</v>
      </c>
      <c r="R156">
        <v>9369</v>
      </c>
      <c r="U156" t="s">
        <v>832</v>
      </c>
      <c r="V156" t="s">
        <v>1153</v>
      </c>
      <c r="W156">
        <v>0</v>
      </c>
      <c r="X156">
        <v>16.1</v>
      </c>
      <c r="Y156" t="s">
        <v>1464</v>
      </c>
      <c r="Z156">
        <v>0</v>
      </c>
      <c r="AA156">
        <v>2828</v>
      </c>
      <c r="AB156">
        <v>22707</v>
      </c>
      <c r="AC156" t="s">
        <v>1775</v>
      </c>
      <c r="AD156">
        <v>52.14</v>
      </c>
      <c r="AE156" t="s">
        <v>2096</v>
      </c>
      <c r="AF156" t="s">
        <v>2415</v>
      </c>
      <c r="AG156">
        <v>54104</v>
      </c>
      <c r="AH156">
        <v>3322</v>
      </c>
      <c r="AJ156">
        <v>1.66</v>
      </c>
      <c r="AK156" t="b">
        <v>1</v>
      </c>
    </row>
    <row r="157" spans="1:37">
      <c r="A157" s="1" t="s">
        <v>191</v>
      </c>
      <c r="B157" t="s">
        <v>512</v>
      </c>
      <c r="C157">
        <f>HYPERLINK("https://finance.naver.com/item/coinfo.nhn?code=210540", "A210540")</f>
        <v>0</v>
      </c>
      <c r="D157">
        <f>HYPERLINK("http://comp.fnguide.com/SVO2/ASP/SVD_Consensus.asp?pGB=1&amp;gicode=A210540&amp;cID=&amp;MenuYn=Y&amp;ReportGB=&amp;NewMenuID=108&amp;stkGb=701", "디와이파워")</f>
        <v>0</v>
      </c>
      <c r="E157">
        <v>3</v>
      </c>
      <c r="F157">
        <v>12000</v>
      </c>
      <c r="G157">
        <v>0</v>
      </c>
      <c r="H157">
        <v>4.6</v>
      </c>
      <c r="I157">
        <v>26475</v>
      </c>
      <c r="J157">
        <v>23308</v>
      </c>
      <c r="K157">
        <v>22183</v>
      </c>
      <c r="L157">
        <v>-120.62</v>
      </c>
      <c r="M157">
        <v>-94.23</v>
      </c>
      <c r="N157">
        <v>-84.86</v>
      </c>
      <c r="O157">
        <v>14.25</v>
      </c>
      <c r="P157" t="b">
        <v>1</v>
      </c>
      <c r="Q157">
        <v>0</v>
      </c>
      <c r="R157">
        <v>2813</v>
      </c>
      <c r="U157" t="s">
        <v>833</v>
      </c>
      <c r="V157" t="s">
        <v>1154</v>
      </c>
      <c r="W157">
        <v>0</v>
      </c>
      <c r="X157">
        <v>-48.8</v>
      </c>
      <c r="Y157" t="s">
        <v>1465</v>
      </c>
      <c r="Z157">
        <v>-12.24200487375343</v>
      </c>
      <c r="AA157">
        <v>1325</v>
      </c>
      <c r="AB157">
        <v>91637</v>
      </c>
      <c r="AC157" t="s">
        <v>1776</v>
      </c>
      <c r="AD157">
        <v>38.46</v>
      </c>
      <c r="AE157" t="s">
        <v>2097</v>
      </c>
      <c r="AF157" t="s">
        <v>2416</v>
      </c>
      <c r="AG157">
        <v>4372</v>
      </c>
      <c r="AH157">
        <v>422</v>
      </c>
      <c r="AI157">
        <v>5857</v>
      </c>
      <c r="AJ157">
        <v>2.32</v>
      </c>
      <c r="AK157" t="b">
        <v>1</v>
      </c>
    </row>
    <row r="158" spans="1:37">
      <c r="A158" s="1" t="s">
        <v>192</v>
      </c>
      <c r="B158" t="s">
        <v>513</v>
      </c>
      <c r="C158">
        <f>HYPERLINK("https://finance.naver.com/item/coinfo.nhn?code=004060", "A004060")</f>
        <v>0</v>
      </c>
      <c r="D158">
        <f>HYPERLINK("http://comp.fnguide.com/SVO2/ASP/SVD_Consensus.asp?pGB=1&amp;gicode=A004060&amp;cID=&amp;MenuYn=Y&amp;ReportGB=&amp;NewMenuID=108&amp;stkGb=701", "SG세계물산")</f>
        <v>0</v>
      </c>
      <c r="E158">
        <v>3</v>
      </c>
      <c r="F158">
        <v>598</v>
      </c>
      <c r="G158">
        <v>0</v>
      </c>
      <c r="H158">
        <v>2.95</v>
      </c>
      <c r="I158">
        <v>1278</v>
      </c>
      <c r="J158">
        <v>1252</v>
      </c>
      <c r="K158">
        <v>1243</v>
      </c>
      <c r="L158">
        <v>-113.76</v>
      </c>
      <c r="M158">
        <v>-109.41</v>
      </c>
      <c r="N158">
        <v>-107.86</v>
      </c>
      <c r="O158">
        <v>11.46</v>
      </c>
      <c r="P158" t="b">
        <v>1</v>
      </c>
      <c r="Q158">
        <v>0</v>
      </c>
      <c r="R158">
        <v>232</v>
      </c>
      <c r="U158" t="s">
        <v>834</v>
      </c>
      <c r="V158" t="s">
        <v>1155</v>
      </c>
      <c r="W158">
        <v>0</v>
      </c>
      <c r="X158">
        <v>-93.40000000000001</v>
      </c>
      <c r="Y158" t="s">
        <v>1466</v>
      </c>
      <c r="Z158">
        <v>0</v>
      </c>
      <c r="AA158">
        <v>1211</v>
      </c>
      <c r="AB158">
        <v>3253241</v>
      </c>
      <c r="AC158" t="s">
        <v>1777</v>
      </c>
      <c r="AD158">
        <v>50.61</v>
      </c>
      <c r="AE158" t="s">
        <v>2098</v>
      </c>
      <c r="AF158" t="s">
        <v>2417</v>
      </c>
      <c r="AG158">
        <v>1357</v>
      </c>
      <c r="AH158">
        <v>-47</v>
      </c>
      <c r="AI158">
        <v>3647724</v>
      </c>
      <c r="AK158" t="b">
        <v>1</v>
      </c>
    </row>
    <row r="159" spans="1:37">
      <c r="A159" s="1" t="s">
        <v>193</v>
      </c>
      <c r="B159" t="s">
        <v>514</v>
      </c>
      <c r="C159">
        <f>HYPERLINK("https://finance.naver.com/item/coinfo.nhn?code=244920", "A244920")</f>
        <v>0</v>
      </c>
      <c r="D159">
        <f>HYPERLINK("http://comp.fnguide.com/SVO2/ASP/SVD_Consensus.asp?pGB=1&amp;gicode=A244920&amp;cID=&amp;MenuYn=Y&amp;ReportGB=&amp;NewMenuID=108&amp;stkGb=701", "에이플러스에셋")</f>
        <v>0</v>
      </c>
      <c r="E159">
        <v>3</v>
      </c>
      <c r="F159">
        <v>4700</v>
      </c>
      <c r="G159">
        <v>0.32</v>
      </c>
      <c r="H159">
        <v>16.53</v>
      </c>
      <c r="I159">
        <v>8411</v>
      </c>
      <c r="J159">
        <v>6260</v>
      </c>
      <c r="K159">
        <v>5496</v>
      </c>
      <c r="L159">
        <v>-78.95</v>
      </c>
      <c r="M159">
        <v>-33.2</v>
      </c>
      <c r="N159">
        <v>-16.94</v>
      </c>
      <c r="O159">
        <v>21.36</v>
      </c>
      <c r="P159" t="b">
        <v>0</v>
      </c>
      <c r="Q159">
        <v>1</v>
      </c>
      <c r="R159">
        <v>535</v>
      </c>
      <c r="S159">
        <v>2123</v>
      </c>
      <c r="T159">
        <v>296.8</v>
      </c>
      <c r="U159" t="s">
        <v>835</v>
      </c>
      <c r="V159" t="s">
        <v>1156</v>
      </c>
      <c r="W159">
        <v>51.59035775702452</v>
      </c>
      <c r="X159">
        <v>262.8</v>
      </c>
      <c r="Y159" t="s">
        <v>1467</v>
      </c>
      <c r="Z159">
        <v>0</v>
      </c>
      <c r="AA159">
        <v>1063</v>
      </c>
      <c r="AB159">
        <v>83952</v>
      </c>
      <c r="AC159" t="s">
        <v>1778</v>
      </c>
      <c r="AD159">
        <v>34.69</v>
      </c>
      <c r="AE159" t="s">
        <v>2099</v>
      </c>
      <c r="AF159" t="s">
        <v>2418</v>
      </c>
      <c r="AG159">
        <v>2580</v>
      </c>
      <c r="AH159">
        <v>57</v>
      </c>
      <c r="AJ159">
        <v>1.69</v>
      </c>
      <c r="AK159" t="b">
        <v>1</v>
      </c>
    </row>
    <row r="160" spans="1:37">
      <c r="A160" s="1" t="s">
        <v>194</v>
      </c>
      <c r="B160" t="s">
        <v>515</v>
      </c>
      <c r="C160">
        <f>HYPERLINK("https://finance.naver.com/item/coinfo.nhn?code=009160", "A009160")</f>
        <v>0</v>
      </c>
      <c r="D160">
        <f>HYPERLINK("http://comp.fnguide.com/SVO2/ASP/SVD_Consensus.asp?pGB=1&amp;gicode=A009160&amp;cID=&amp;MenuYn=Y&amp;ReportGB=&amp;NewMenuID=108&amp;stkGb=701", "SIMPAC")</f>
        <v>0</v>
      </c>
      <c r="E160">
        <v>3</v>
      </c>
      <c r="F160">
        <v>5140</v>
      </c>
      <c r="G160">
        <v>0</v>
      </c>
      <c r="H160">
        <v>4.62</v>
      </c>
      <c r="I160">
        <v>10846</v>
      </c>
      <c r="J160">
        <v>10438</v>
      </c>
      <c r="K160">
        <v>10293</v>
      </c>
      <c r="L160">
        <v>-111.02</v>
      </c>
      <c r="M160">
        <v>-103.08</v>
      </c>
      <c r="N160">
        <v>-100.26</v>
      </c>
      <c r="O160">
        <v>11.87</v>
      </c>
      <c r="P160" t="b">
        <v>0</v>
      </c>
      <c r="Q160">
        <v>0</v>
      </c>
      <c r="R160">
        <v>1388</v>
      </c>
      <c r="U160" t="s">
        <v>836</v>
      </c>
      <c r="V160" t="s">
        <v>1157</v>
      </c>
      <c r="W160">
        <v>0</v>
      </c>
      <c r="X160">
        <v>42.9</v>
      </c>
      <c r="Y160" t="s">
        <v>1468</v>
      </c>
      <c r="Z160">
        <v>34.90596551086942</v>
      </c>
      <c r="AA160">
        <v>3363</v>
      </c>
      <c r="AB160">
        <v>198031</v>
      </c>
      <c r="AC160" t="s">
        <v>1779</v>
      </c>
      <c r="AD160">
        <v>60.01</v>
      </c>
      <c r="AE160" t="s">
        <v>2100</v>
      </c>
      <c r="AF160" t="s">
        <v>2419</v>
      </c>
      <c r="AG160">
        <v>6130</v>
      </c>
      <c r="AH160">
        <v>1064</v>
      </c>
      <c r="AI160">
        <v>11160000</v>
      </c>
      <c r="AJ160">
        <v>3.12</v>
      </c>
      <c r="AK160" t="b">
        <v>1</v>
      </c>
    </row>
    <row r="161" spans="1:37">
      <c r="A161" s="1" t="s">
        <v>195</v>
      </c>
      <c r="B161" t="s">
        <v>516</v>
      </c>
      <c r="C161">
        <f>HYPERLINK("https://finance.naver.com/item/coinfo.nhn?code=137310", "A137310")</f>
        <v>0</v>
      </c>
      <c r="D161">
        <f>HYPERLINK("http://comp.fnguide.com/SVO2/ASP/SVD_Consensus.asp?pGB=1&amp;gicode=A137310&amp;cID=&amp;MenuYn=Y&amp;ReportGB=&amp;NewMenuID=108&amp;stkGb=701", "에스디바이오센서")</f>
        <v>0</v>
      </c>
      <c r="E161">
        <v>3</v>
      </c>
      <c r="F161">
        <v>30200</v>
      </c>
      <c r="G161">
        <v>0.01</v>
      </c>
      <c r="H161">
        <v>5.14</v>
      </c>
      <c r="I161">
        <v>160955</v>
      </c>
      <c r="J161">
        <v>87259</v>
      </c>
      <c r="K161">
        <v>61078</v>
      </c>
      <c r="L161">
        <v>-432.96</v>
      </c>
      <c r="M161">
        <v>-188.94</v>
      </c>
      <c r="N161">
        <v>-102.25</v>
      </c>
      <c r="O161">
        <v>82.8</v>
      </c>
      <c r="P161" t="b">
        <v>1</v>
      </c>
      <c r="Q161">
        <v>3</v>
      </c>
      <c r="R161">
        <v>10867</v>
      </c>
      <c r="S161">
        <v>12645</v>
      </c>
      <c r="T161">
        <v>16.4</v>
      </c>
      <c r="U161" t="s">
        <v>837</v>
      </c>
      <c r="V161" t="s">
        <v>1158</v>
      </c>
      <c r="W161">
        <v>593.0048428289221</v>
      </c>
      <c r="X161">
        <v>17.5</v>
      </c>
      <c r="Y161" t="s">
        <v>1469</v>
      </c>
      <c r="Z161">
        <v>0</v>
      </c>
      <c r="AA161">
        <v>31524</v>
      </c>
      <c r="AB161">
        <v>193634</v>
      </c>
      <c r="AC161" t="s">
        <v>1780</v>
      </c>
      <c r="AD161">
        <v>63.37</v>
      </c>
      <c r="AE161" t="s">
        <v>2101</v>
      </c>
      <c r="AF161" t="s">
        <v>2420</v>
      </c>
      <c r="AG161">
        <v>29300</v>
      </c>
      <c r="AH161">
        <v>13640</v>
      </c>
      <c r="AI161">
        <v>2129887</v>
      </c>
      <c r="AJ161">
        <v>2.26</v>
      </c>
      <c r="AK161" t="b">
        <v>1</v>
      </c>
    </row>
    <row r="162" spans="1:37">
      <c r="A162" s="1" t="s">
        <v>196</v>
      </c>
      <c r="B162" t="s">
        <v>517</v>
      </c>
      <c r="C162">
        <f>HYPERLINK("https://finance.naver.com/item/coinfo.nhn?code=013580", "A013580")</f>
        <v>0</v>
      </c>
      <c r="D162">
        <f>HYPERLINK("http://comp.fnguide.com/SVO2/ASP/SVD_Consensus.asp?pGB=1&amp;gicode=A013580&amp;cID=&amp;MenuYn=Y&amp;ReportGB=&amp;NewMenuID=108&amp;stkGb=701", "계룡건설")</f>
        <v>0</v>
      </c>
      <c r="E162">
        <v>3</v>
      </c>
      <c r="F162">
        <v>18900</v>
      </c>
      <c r="G162">
        <v>0</v>
      </c>
      <c r="H162">
        <v>1.87</v>
      </c>
      <c r="I162">
        <v>153984</v>
      </c>
      <c r="J162">
        <v>114335</v>
      </c>
      <c r="K162">
        <v>100249</v>
      </c>
      <c r="L162">
        <v>-714.73</v>
      </c>
      <c r="M162">
        <v>-504.94</v>
      </c>
      <c r="N162">
        <v>-430.42</v>
      </c>
      <c r="O162">
        <v>21.5</v>
      </c>
      <c r="P162" t="b">
        <v>1</v>
      </c>
      <c r="Q162">
        <v>0</v>
      </c>
      <c r="R162">
        <v>17457</v>
      </c>
      <c r="U162" t="s">
        <v>838</v>
      </c>
      <c r="V162" t="s">
        <v>1159</v>
      </c>
      <c r="W162">
        <v>0</v>
      </c>
      <c r="X162">
        <v>-51.8</v>
      </c>
      <c r="Y162" t="s">
        <v>1470</v>
      </c>
      <c r="Z162">
        <v>7.504126865874849</v>
      </c>
      <c r="AA162">
        <v>1688</v>
      </c>
      <c r="AB162">
        <v>12666</v>
      </c>
      <c r="AC162" t="s">
        <v>1781</v>
      </c>
      <c r="AD162">
        <v>38.7</v>
      </c>
      <c r="AE162" t="s">
        <v>2102</v>
      </c>
      <c r="AF162" t="s">
        <v>2421</v>
      </c>
      <c r="AG162">
        <v>25618</v>
      </c>
      <c r="AH162">
        <v>2327</v>
      </c>
      <c r="AI162">
        <v>73110</v>
      </c>
      <c r="AJ162">
        <v>2.45</v>
      </c>
      <c r="AK162" t="b">
        <v>1</v>
      </c>
    </row>
    <row r="163" spans="1:37">
      <c r="A163" s="1" t="s">
        <v>197</v>
      </c>
      <c r="B163" t="s">
        <v>518</v>
      </c>
      <c r="C163">
        <f>HYPERLINK("https://finance.naver.com/item/coinfo.nhn?code=002170", "A002170")</f>
        <v>0</v>
      </c>
      <c r="D163">
        <f>HYPERLINK("http://comp.fnguide.com/SVO2/ASP/SVD_Consensus.asp?pGB=1&amp;gicode=A002170&amp;cID=&amp;MenuYn=Y&amp;ReportGB=&amp;NewMenuID=108&amp;stkGb=701", "삼양통상")</f>
        <v>0</v>
      </c>
      <c r="E163">
        <v>3</v>
      </c>
      <c r="F163">
        <v>51100</v>
      </c>
      <c r="G163">
        <v>0</v>
      </c>
      <c r="H163">
        <v>5.25</v>
      </c>
      <c r="I163">
        <v>147760</v>
      </c>
      <c r="J163">
        <v>145602</v>
      </c>
      <c r="K163">
        <v>144835</v>
      </c>
      <c r="L163">
        <v>-189.16</v>
      </c>
      <c r="M163">
        <v>-184.94</v>
      </c>
      <c r="N163">
        <v>-183.44</v>
      </c>
      <c r="O163">
        <v>11.33</v>
      </c>
      <c r="P163" t="b">
        <v>1</v>
      </c>
      <c r="Q163">
        <v>0</v>
      </c>
      <c r="R163">
        <v>11047</v>
      </c>
      <c r="U163" t="s">
        <v>839</v>
      </c>
      <c r="V163" t="s">
        <v>1160</v>
      </c>
      <c r="W163">
        <v>0</v>
      </c>
      <c r="X163">
        <v>-68.90000000000001</v>
      </c>
      <c r="Y163" t="s">
        <v>1471</v>
      </c>
      <c r="Z163">
        <v>-16.19377636182219</v>
      </c>
      <c r="AA163">
        <v>1533</v>
      </c>
      <c r="AB163">
        <v>805</v>
      </c>
      <c r="AC163" t="s">
        <v>1782</v>
      </c>
      <c r="AD163">
        <v>57.32</v>
      </c>
      <c r="AE163" t="s">
        <v>2103</v>
      </c>
      <c r="AF163" t="s">
        <v>2422</v>
      </c>
      <c r="AG163">
        <v>1940</v>
      </c>
      <c r="AH163">
        <v>364</v>
      </c>
      <c r="AI163">
        <v>171382</v>
      </c>
      <c r="AJ163">
        <v>2.16</v>
      </c>
      <c r="AK163" t="b">
        <v>1</v>
      </c>
    </row>
    <row r="164" spans="1:37">
      <c r="A164" s="1" t="s">
        <v>198</v>
      </c>
      <c r="B164" t="s">
        <v>519</v>
      </c>
      <c r="C164">
        <f>HYPERLINK("https://finance.naver.com/item/coinfo.nhn?code=248170", "A248170")</f>
        <v>0</v>
      </c>
      <c r="D164">
        <f>HYPERLINK("http://comp.fnguide.com/SVO2/ASP/SVD_Consensus.asp?pGB=1&amp;gicode=A248170&amp;cID=&amp;MenuYn=Y&amp;ReportGB=&amp;NewMenuID=108&amp;stkGb=701", "샘표식품")</f>
        <v>0</v>
      </c>
      <c r="E164">
        <v>3</v>
      </c>
      <c r="F164">
        <v>33850</v>
      </c>
      <c r="G164">
        <v>0</v>
      </c>
      <c r="H164">
        <v>8.630000000000001</v>
      </c>
      <c r="I164">
        <v>67496</v>
      </c>
      <c r="J164">
        <v>56713</v>
      </c>
      <c r="K164">
        <v>52883</v>
      </c>
      <c r="L164">
        <v>-99.40000000000001</v>
      </c>
      <c r="M164">
        <v>-67.54000000000001</v>
      </c>
      <c r="N164">
        <v>-56.23</v>
      </c>
      <c r="O164">
        <v>15.8</v>
      </c>
      <c r="P164" t="b">
        <v>1</v>
      </c>
      <c r="Q164">
        <v>0</v>
      </c>
      <c r="R164">
        <v>5186</v>
      </c>
      <c r="U164" t="s">
        <v>840</v>
      </c>
      <c r="V164" t="s">
        <v>1161</v>
      </c>
      <c r="W164">
        <v>0</v>
      </c>
      <c r="X164">
        <v>-19.6</v>
      </c>
      <c r="Y164" t="s">
        <v>1472</v>
      </c>
      <c r="Z164">
        <v>10.62226195174354</v>
      </c>
      <c r="AA164">
        <v>1546</v>
      </c>
      <c r="AB164">
        <v>4804</v>
      </c>
      <c r="AC164" t="s">
        <v>1783</v>
      </c>
      <c r="AD164">
        <v>60.02</v>
      </c>
      <c r="AE164" t="s">
        <v>2104</v>
      </c>
      <c r="AF164" t="s">
        <v>2423</v>
      </c>
      <c r="AG164">
        <v>3487</v>
      </c>
      <c r="AH164">
        <v>235</v>
      </c>
      <c r="AI164">
        <v>1690</v>
      </c>
      <c r="AJ164">
        <v>0.45</v>
      </c>
      <c r="AK164" t="b">
        <v>1</v>
      </c>
    </row>
    <row r="165" spans="1:37">
      <c r="A165" s="1" t="s">
        <v>199</v>
      </c>
      <c r="B165" t="s">
        <v>520</v>
      </c>
      <c r="C165">
        <f>HYPERLINK("https://finance.naver.com/item/coinfo.nhn?code=008490", "A008490")</f>
        <v>0</v>
      </c>
      <c r="D165">
        <f>HYPERLINK("http://comp.fnguide.com/SVO2/ASP/SVD_Consensus.asp?pGB=1&amp;gicode=A008490&amp;cID=&amp;MenuYn=Y&amp;ReportGB=&amp;NewMenuID=108&amp;stkGb=701", "서흥")</f>
        <v>0</v>
      </c>
      <c r="E165">
        <v>3</v>
      </c>
      <c r="F165">
        <v>32650</v>
      </c>
      <c r="G165">
        <v>0.6</v>
      </c>
      <c r="H165">
        <v>9.52</v>
      </c>
      <c r="I165">
        <v>46930</v>
      </c>
      <c r="J165">
        <v>40564</v>
      </c>
      <c r="K165">
        <v>38302</v>
      </c>
      <c r="L165">
        <v>-43.74</v>
      </c>
      <c r="M165">
        <v>-24.24</v>
      </c>
      <c r="N165">
        <v>-17.31</v>
      </c>
      <c r="O165">
        <v>14.83</v>
      </c>
      <c r="P165" t="b">
        <v>1</v>
      </c>
      <c r="Q165">
        <v>0</v>
      </c>
      <c r="R165">
        <v>4641</v>
      </c>
      <c r="S165">
        <v>4261</v>
      </c>
      <c r="T165">
        <v>-8.199999999999999</v>
      </c>
      <c r="U165" t="s">
        <v>841</v>
      </c>
      <c r="V165" t="s">
        <v>1162</v>
      </c>
      <c r="W165">
        <v>15.82692466358009</v>
      </c>
      <c r="X165">
        <v>-14.5</v>
      </c>
      <c r="Y165" t="s">
        <v>1473</v>
      </c>
      <c r="Z165">
        <v>14.75139948039128</v>
      </c>
      <c r="AA165">
        <v>3777</v>
      </c>
      <c r="AB165">
        <v>9155</v>
      </c>
      <c r="AC165" t="s">
        <v>1784</v>
      </c>
      <c r="AD165">
        <v>52.77</v>
      </c>
      <c r="AE165" t="s">
        <v>2105</v>
      </c>
      <c r="AF165" t="s">
        <v>2424</v>
      </c>
      <c r="AG165">
        <v>5967</v>
      </c>
      <c r="AH165">
        <v>696</v>
      </c>
      <c r="AI165">
        <v>450000</v>
      </c>
      <c r="AJ165">
        <v>1.13</v>
      </c>
      <c r="AK165" t="b">
        <v>1</v>
      </c>
    </row>
    <row r="166" spans="1:37">
      <c r="A166" s="1" t="s">
        <v>200</v>
      </c>
      <c r="B166" t="s">
        <v>521</v>
      </c>
      <c r="C166">
        <f>HYPERLINK("https://finance.naver.com/item/coinfo.nhn?code=003960", "A003960")</f>
        <v>0</v>
      </c>
      <c r="D166">
        <f>HYPERLINK("http://comp.fnguide.com/SVO2/ASP/SVD_Consensus.asp?pGB=1&amp;gicode=A003960&amp;cID=&amp;MenuYn=Y&amp;ReportGB=&amp;NewMenuID=108&amp;stkGb=701", "사조대림")</f>
        <v>0</v>
      </c>
      <c r="E166">
        <v>3</v>
      </c>
      <c r="F166">
        <v>28800</v>
      </c>
      <c r="G166">
        <v>0</v>
      </c>
      <c r="H166">
        <v>3.69</v>
      </c>
      <c r="I166">
        <v>86024</v>
      </c>
      <c r="J166">
        <v>70999</v>
      </c>
      <c r="K166">
        <v>65661</v>
      </c>
      <c r="L166">
        <v>-198.7</v>
      </c>
      <c r="M166">
        <v>-146.52</v>
      </c>
      <c r="N166">
        <v>-127.99</v>
      </c>
      <c r="O166">
        <v>16.46</v>
      </c>
      <c r="P166" t="b">
        <v>1</v>
      </c>
      <c r="Q166">
        <v>0</v>
      </c>
      <c r="R166">
        <v>6840</v>
      </c>
      <c r="U166" t="s">
        <v>842</v>
      </c>
      <c r="V166" t="s">
        <v>1163</v>
      </c>
      <c r="W166">
        <v>0</v>
      </c>
      <c r="X166">
        <v>-7.5</v>
      </c>
      <c r="Y166" t="s">
        <v>1474</v>
      </c>
      <c r="Z166">
        <v>5.604122411417123</v>
      </c>
      <c r="AA166">
        <v>2639</v>
      </c>
      <c r="AB166">
        <v>18840</v>
      </c>
      <c r="AC166" t="s">
        <v>1785</v>
      </c>
      <c r="AD166">
        <v>49.34</v>
      </c>
      <c r="AE166" t="s">
        <v>2106</v>
      </c>
      <c r="AF166" t="s">
        <v>2425</v>
      </c>
      <c r="AG166">
        <v>18137</v>
      </c>
      <c r="AH166">
        <v>1023</v>
      </c>
      <c r="AI166">
        <v>1814170</v>
      </c>
      <c r="AJ166">
        <v>1.19</v>
      </c>
      <c r="AK166" t="b">
        <v>1</v>
      </c>
    </row>
    <row r="167" spans="1:37">
      <c r="A167" s="1" t="s">
        <v>201</v>
      </c>
      <c r="B167" t="s">
        <v>522</v>
      </c>
      <c r="C167">
        <f>HYPERLINK("https://finance.naver.com/item/coinfo.nhn?code=136490", "A136490")</f>
        <v>0</v>
      </c>
      <c r="D167">
        <f>HYPERLINK("http://comp.fnguide.com/SVO2/ASP/SVD_Consensus.asp?pGB=1&amp;gicode=A136490&amp;cID=&amp;MenuYn=Y&amp;ReportGB=&amp;NewMenuID=108&amp;stkGb=701", "선진")</f>
        <v>0</v>
      </c>
      <c r="E167">
        <v>3</v>
      </c>
      <c r="F167">
        <v>9830</v>
      </c>
      <c r="G167">
        <v>0</v>
      </c>
      <c r="H167">
        <v>6.38</v>
      </c>
      <c r="I167">
        <v>23147</v>
      </c>
      <c r="J167">
        <v>20097</v>
      </c>
      <c r="K167">
        <v>19014</v>
      </c>
      <c r="L167">
        <v>-135.48</v>
      </c>
      <c r="M167">
        <v>-104.45</v>
      </c>
      <c r="N167">
        <v>-93.42</v>
      </c>
      <c r="O167">
        <v>14.68</v>
      </c>
      <c r="P167" t="b">
        <v>1</v>
      </c>
      <c r="Q167">
        <v>0</v>
      </c>
      <c r="R167">
        <v>1804</v>
      </c>
      <c r="U167" t="s">
        <v>843</v>
      </c>
      <c r="V167" t="s">
        <v>1164</v>
      </c>
      <c r="W167">
        <v>0</v>
      </c>
      <c r="Y167" t="s">
        <v>1475</v>
      </c>
      <c r="Z167">
        <v>0</v>
      </c>
      <c r="AA167">
        <v>2338</v>
      </c>
      <c r="AB167">
        <v>33018</v>
      </c>
      <c r="AC167" t="s">
        <v>1786</v>
      </c>
      <c r="AD167">
        <v>50.04</v>
      </c>
      <c r="AE167" t="s">
        <v>2107</v>
      </c>
      <c r="AF167" t="s">
        <v>2426</v>
      </c>
      <c r="AG167">
        <v>17183</v>
      </c>
      <c r="AH167">
        <v>863</v>
      </c>
      <c r="AI167">
        <v>396</v>
      </c>
      <c r="AJ167">
        <v>0.87</v>
      </c>
      <c r="AK167" t="b">
        <v>1</v>
      </c>
    </row>
    <row r="168" spans="1:37">
      <c r="A168" s="1" t="s">
        <v>202</v>
      </c>
      <c r="B168" t="s">
        <v>523</v>
      </c>
      <c r="C168">
        <f>HYPERLINK("https://finance.naver.com/item/coinfo.nhn?code=027970", "A027970")</f>
        <v>0</v>
      </c>
      <c r="D168">
        <f>HYPERLINK("http://comp.fnguide.com/SVO2/ASP/SVD_Consensus.asp?pGB=1&amp;gicode=A027970&amp;cID=&amp;MenuYn=Y&amp;ReportGB=&amp;NewMenuID=108&amp;stkGb=701", "세하")</f>
        <v>0</v>
      </c>
      <c r="E168">
        <v>3</v>
      </c>
      <c r="F168">
        <v>1205</v>
      </c>
      <c r="G168">
        <v>0</v>
      </c>
      <c r="H168">
        <v>9.050000000000001</v>
      </c>
      <c r="I168">
        <v>2830</v>
      </c>
      <c r="J168">
        <v>2234</v>
      </c>
      <c r="K168">
        <v>2022</v>
      </c>
      <c r="L168">
        <v>-134.88</v>
      </c>
      <c r="M168">
        <v>-85.37</v>
      </c>
      <c r="N168">
        <v>-67.78</v>
      </c>
      <c r="O168">
        <v>18.34</v>
      </c>
      <c r="P168" t="b">
        <v>1</v>
      </c>
      <c r="Q168">
        <v>0</v>
      </c>
      <c r="R168">
        <v>178</v>
      </c>
      <c r="U168" t="s">
        <v>844</v>
      </c>
      <c r="V168" t="s">
        <v>1165</v>
      </c>
      <c r="W168">
        <v>0</v>
      </c>
      <c r="X168">
        <v>-30.3</v>
      </c>
      <c r="Y168" t="s">
        <v>1476</v>
      </c>
      <c r="Z168">
        <v>0</v>
      </c>
      <c r="AA168">
        <v>694</v>
      </c>
      <c r="AB168">
        <v>32745</v>
      </c>
      <c r="AC168" t="s">
        <v>1787</v>
      </c>
      <c r="AD168">
        <v>50.73</v>
      </c>
      <c r="AE168" t="s">
        <v>2108</v>
      </c>
      <c r="AF168" t="s">
        <v>2427</v>
      </c>
      <c r="AG168">
        <v>2044</v>
      </c>
      <c r="AH168">
        <v>133</v>
      </c>
      <c r="AI168">
        <v>1305</v>
      </c>
      <c r="AK168" t="b">
        <v>1</v>
      </c>
    </row>
    <row r="169" spans="1:37">
      <c r="A169" s="1" t="s">
        <v>203</v>
      </c>
      <c r="B169" t="s">
        <v>524</v>
      </c>
      <c r="C169">
        <f>HYPERLINK("https://finance.naver.com/item/coinfo.nhn?code=009450", "A009450")</f>
        <v>0</v>
      </c>
      <c r="D169">
        <f>HYPERLINK("http://comp.fnguide.com/SVO2/ASP/SVD_Consensus.asp?pGB=1&amp;gicode=A009450&amp;cID=&amp;MenuYn=Y&amp;ReportGB=&amp;NewMenuID=108&amp;stkGb=701", "경동나비엔")</f>
        <v>0</v>
      </c>
      <c r="E169">
        <v>3</v>
      </c>
      <c r="F169">
        <v>33900</v>
      </c>
      <c r="G169">
        <v>0</v>
      </c>
      <c r="H169">
        <v>9.43</v>
      </c>
      <c r="I169">
        <v>45175</v>
      </c>
      <c r="J169">
        <v>37775</v>
      </c>
      <c r="K169">
        <v>35146</v>
      </c>
      <c r="L169">
        <v>-33.26</v>
      </c>
      <c r="M169">
        <v>-11.43</v>
      </c>
      <c r="N169">
        <v>-3.67</v>
      </c>
      <c r="O169">
        <v>15.97</v>
      </c>
      <c r="P169" t="b">
        <v>1</v>
      </c>
      <c r="Q169">
        <v>0</v>
      </c>
      <c r="R169">
        <v>5825</v>
      </c>
      <c r="U169" t="s">
        <v>845</v>
      </c>
      <c r="V169" t="s">
        <v>1166</v>
      </c>
      <c r="W169">
        <v>0</v>
      </c>
      <c r="X169">
        <v>-25.2</v>
      </c>
      <c r="Y169" t="s">
        <v>1477</v>
      </c>
      <c r="Z169">
        <v>15.99642015663794</v>
      </c>
      <c r="AA169">
        <v>4939</v>
      </c>
      <c r="AB169">
        <v>16500</v>
      </c>
      <c r="AC169" t="s">
        <v>1788</v>
      </c>
      <c r="AD169">
        <v>57.61</v>
      </c>
      <c r="AE169" t="s">
        <v>2109</v>
      </c>
      <c r="AF169" t="s">
        <v>2428</v>
      </c>
      <c r="AG169">
        <v>11029</v>
      </c>
      <c r="AH169">
        <v>643</v>
      </c>
      <c r="AI169">
        <v>115660</v>
      </c>
      <c r="AJ169">
        <v>0.82</v>
      </c>
      <c r="AK169" t="b">
        <v>1</v>
      </c>
    </row>
    <row r="170" spans="1:37">
      <c r="A170" s="1" t="s">
        <v>204</v>
      </c>
      <c r="B170" t="s">
        <v>525</v>
      </c>
      <c r="C170">
        <f>HYPERLINK("https://finance.naver.com/item/coinfo.nhn?code=134790", "A134790")</f>
        <v>0</v>
      </c>
      <c r="D170">
        <f>HYPERLINK("http://comp.fnguide.com/SVO2/ASP/SVD_Consensus.asp?pGB=1&amp;gicode=A134790&amp;cID=&amp;MenuYn=Y&amp;ReportGB=&amp;NewMenuID=108&amp;stkGb=701", "시디즈")</f>
        <v>0</v>
      </c>
      <c r="E170">
        <v>3</v>
      </c>
      <c r="F170">
        <v>41400</v>
      </c>
      <c r="G170">
        <v>0</v>
      </c>
      <c r="H170">
        <v>9.48</v>
      </c>
      <c r="I170">
        <v>101707</v>
      </c>
      <c r="J170">
        <v>67336</v>
      </c>
      <c r="K170">
        <v>55125</v>
      </c>
      <c r="L170">
        <v>-145.67</v>
      </c>
      <c r="M170">
        <v>-62.65</v>
      </c>
      <c r="N170">
        <v>-33.15</v>
      </c>
      <c r="O170">
        <v>30.6</v>
      </c>
      <c r="P170" t="b">
        <v>1</v>
      </c>
      <c r="Q170">
        <v>0</v>
      </c>
      <c r="R170">
        <v>6468</v>
      </c>
      <c r="U170" t="s">
        <v>846</v>
      </c>
      <c r="V170" t="s">
        <v>1167</v>
      </c>
      <c r="W170">
        <v>0</v>
      </c>
      <c r="X170">
        <v>-70.40000000000001</v>
      </c>
      <c r="Y170" t="s">
        <v>1478</v>
      </c>
      <c r="Z170">
        <v>65.52979113465651</v>
      </c>
      <c r="AA170">
        <v>828</v>
      </c>
      <c r="AB170">
        <v>2508</v>
      </c>
      <c r="AC170" t="s">
        <v>1789</v>
      </c>
      <c r="AD170">
        <v>60.72</v>
      </c>
      <c r="AE170" t="s">
        <v>2110</v>
      </c>
      <c r="AF170" t="s">
        <v>2429</v>
      </c>
      <c r="AG170">
        <v>2519</v>
      </c>
      <c r="AH170">
        <v>127</v>
      </c>
      <c r="AI170">
        <v>321042</v>
      </c>
      <c r="AJ170">
        <v>0.65</v>
      </c>
      <c r="AK170" t="b">
        <v>1</v>
      </c>
    </row>
    <row r="171" spans="1:37">
      <c r="A171" s="1" t="s">
        <v>205</v>
      </c>
      <c r="B171" t="s">
        <v>526</v>
      </c>
      <c r="C171">
        <f>HYPERLINK("https://finance.naver.com/item/coinfo.nhn?code=016590", "A016590")</f>
        <v>0</v>
      </c>
      <c r="D171">
        <f>HYPERLINK("http://comp.fnguide.com/SVO2/ASP/SVD_Consensus.asp?pGB=1&amp;gicode=A016590&amp;cID=&amp;MenuYn=Y&amp;ReportGB=&amp;NewMenuID=108&amp;stkGb=701", "신대양제지")</f>
        <v>0</v>
      </c>
      <c r="E171">
        <v>3</v>
      </c>
      <c r="F171">
        <v>85600</v>
      </c>
      <c r="G171">
        <v>0</v>
      </c>
      <c r="H171">
        <v>6.38</v>
      </c>
      <c r="I171">
        <v>142355</v>
      </c>
      <c r="J171">
        <v>140676</v>
      </c>
      <c r="K171">
        <v>140080</v>
      </c>
      <c r="L171">
        <v>-66.3</v>
      </c>
      <c r="M171">
        <v>-64.34</v>
      </c>
      <c r="N171">
        <v>-63.64</v>
      </c>
      <c r="O171">
        <v>11.27</v>
      </c>
      <c r="P171" t="b">
        <v>1</v>
      </c>
      <c r="Q171">
        <v>0</v>
      </c>
      <c r="R171">
        <v>13429</v>
      </c>
      <c r="U171" t="s">
        <v>847</v>
      </c>
      <c r="V171" t="s">
        <v>1168</v>
      </c>
      <c r="W171">
        <v>0</v>
      </c>
      <c r="X171">
        <v>-5</v>
      </c>
      <c r="Y171" t="s">
        <v>1479</v>
      </c>
      <c r="Z171">
        <v>12.64023563934331</v>
      </c>
      <c r="AA171">
        <v>3449</v>
      </c>
      <c r="AB171">
        <v>819</v>
      </c>
      <c r="AC171" t="s">
        <v>1790</v>
      </c>
      <c r="AD171">
        <v>54.34</v>
      </c>
      <c r="AE171" t="s">
        <v>2111</v>
      </c>
      <c r="AF171" t="s">
        <v>2430</v>
      </c>
      <c r="AG171">
        <v>6816</v>
      </c>
      <c r="AH171">
        <v>544</v>
      </c>
      <c r="AI171">
        <v>422855</v>
      </c>
      <c r="AJ171">
        <v>1.46</v>
      </c>
      <c r="AK171" t="b">
        <v>1</v>
      </c>
    </row>
    <row r="172" spans="1:37">
      <c r="A172" s="1" t="s">
        <v>206</v>
      </c>
      <c r="B172" t="s">
        <v>527</v>
      </c>
      <c r="C172">
        <f>HYPERLINK("https://finance.naver.com/item/coinfo.nhn?code=005390", "A005390")</f>
        <v>0</v>
      </c>
      <c r="D172">
        <f>HYPERLINK("http://comp.fnguide.com/SVO2/ASP/SVD_Consensus.asp?pGB=1&amp;gicode=A005390&amp;cID=&amp;MenuYn=Y&amp;ReportGB=&amp;NewMenuID=108&amp;stkGb=701", "신성통상")</f>
        <v>0</v>
      </c>
      <c r="E172">
        <v>3</v>
      </c>
      <c r="F172">
        <v>2420</v>
      </c>
      <c r="G172">
        <v>0</v>
      </c>
      <c r="H172">
        <v>5.36</v>
      </c>
      <c r="I172">
        <v>3576</v>
      </c>
      <c r="J172">
        <v>2949</v>
      </c>
      <c r="K172">
        <v>2726</v>
      </c>
      <c r="L172">
        <v>-47.79</v>
      </c>
      <c r="M172">
        <v>-21.87</v>
      </c>
      <c r="N172">
        <v>-12.66</v>
      </c>
      <c r="O172">
        <v>16.5</v>
      </c>
      <c r="P172" t="b">
        <v>1</v>
      </c>
      <c r="Q172">
        <v>0</v>
      </c>
      <c r="R172">
        <v>533</v>
      </c>
      <c r="U172" t="s">
        <v>848</v>
      </c>
      <c r="V172" t="s">
        <v>1169</v>
      </c>
      <c r="W172">
        <v>0</v>
      </c>
      <c r="X172">
        <v>181.6</v>
      </c>
      <c r="Y172" t="s">
        <v>1480</v>
      </c>
      <c r="Z172">
        <v>138.2133866922072</v>
      </c>
      <c r="AA172">
        <v>3478</v>
      </c>
      <c r="AB172">
        <v>280056</v>
      </c>
      <c r="AC172" t="s">
        <v>1791</v>
      </c>
      <c r="AD172">
        <v>77.68000000000001</v>
      </c>
      <c r="AE172" t="s">
        <v>2112</v>
      </c>
      <c r="AF172" t="s">
        <v>2431</v>
      </c>
      <c r="AG172">
        <v>14658</v>
      </c>
      <c r="AH172">
        <v>1399</v>
      </c>
      <c r="AK172" t="b">
        <v>1</v>
      </c>
    </row>
    <row r="173" spans="1:37">
      <c r="A173" s="1" t="s">
        <v>207</v>
      </c>
      <c r="B173" t="s">
        <v>528</v>
      </c>
      <c r="C173">
        <f>HYPERLINK("https://finance.naver.com/item/coinfo.nhn?code=035510", "A035510")</f>
        <v>0</v>
      </c>
      <c r="D173">
        <f>HYPERLINK("http://comp.fnguide.com/SVO2/ASP/SVD_Consensus.asp?pGB=1&amp;gicode=A035510&amp;cID=&amp;MenuYn=Y&amp;ReportGB=&amp;NewMenuID=108&amp;stkGb=701", "신세계 I&amp;C")</f>
        <v>0</v>
      </c>
      <c r="E173">
        <v>3</v>
      </c>
      <c r="F173">
        <v>13900</v>
      </c>
      <c r="G173">
        <v>0</v>
      </c>
      <c r="H173">
        <v>8.75</v>
      </c>
      <c r="I173">
        <v>38533</v>
      </c>
      <c r="J173">
        <v>29282</v>
      </c>
      <c r="K173">
        <v>25996</v>
      </c>
      <c r="L173">
        <v>-177.22</v>
      </c>
      <c r="M173">
        <v>-110.66</v>
      </c>
      <c r="N173">
        <v>-87.02</v>
      </c>
      <c r="O173">
        <v>20.2</v>
      </c>
      <c r="P173" t="b">
        <v>1</v>
      </c>
      <c r="Q173">
        <v>0</v>
      </c>
      <c r="R173">
        <v>2268</v>
      </c>
      <c r="U173" t="s">
        <v>849</v>
      </c>
      <c r="V173" t="s">
        <v>1170</v>
      </c>
      <c r="W173">
        <v>0</v>
      </c>
      <c r="X173">
        <v>190.9</v>
      </c>
      <c r="Y173" t="s">
        <v>1481</v>
      </c>
      <c r="Z173">
        <v>62.81035586869936</v>
      </c>
      <c r="AA173">
        <v>2391</v>
      </c>
      <c r="AB173">
        <v>103904</v>
      </c>
      <c r="AC173" t="s">
        <v>1792</v>
      </c>
      <c r="AD173">
        <v>35.65</v>
      </c>
      <c r="AE173" t="s">
        <v>2113</v>
      </c>
      <c r="AF173" t="s">
        <v>2432</v>
      </c>
      <c r="AG173">
        <v>5261</v>
      </c>
      <c r="AH173">
        <v>355</v>
      </c>
      <c r="AI173">
        <v>4054190</v>
      </c>
      <c r="AJ173">
        <v>1.26</v>
      </c>
      <c r="AK173" t="b">
        <v>1</v>
      </c>
    </row>
    <row r="174" spans="1:37">
      <c r="A174" s="1" t="s">
        <v>208</v>
      </c>
      <c r="B174" t="s">
        <v>529</v>
      </c>
      <c r="C174">
        <f>HYPERLINK("https://finance.naver.com/item/coinfo.nhn?code=002310", "A002310")</f>
        <v>0</v>
      </c>
      <c r="D174">
        <f>HYPERLINK("http://comp.fnguide.com/SVO2/ASP/SVD_Consensus.asp?pGB=1&amp;gicode=A002310&amp;cID=&amp;MenuYn=Y&amp;ReportGB=&amp;NewMenuID=108&amp;stkGb=701", "아세아제지")</f>
        <v>0</v>
      </c>
      <c r="E174">
        <v>3</v>
      </c>
      <c r="F174">
        <v>39200</v>
      </c>
      <c r="G174">
        <v>0</v>
      </c>
      <c r="H174">
        <v>5.18</v>
      </c>
      <c r="I174">
        <v>83587</v>
      </c>
      <c r="J174">
        <v>81568</v>
      </c>
      <c r="K174">
        <v>80850</v>
      </c>
      <c r="L174">
        <v>-113.23</v>
      </c>
      <c r="M174">
        <v>-108.08</v>
      </c>
      <c r="N174">
        <v>-106.25</v>
      </c>
      <c r="O174">
        <v>11.55</v>
      </c>
      <c r="P174" t="b">
        <v>1</v>
      </c>
      <c r="Q174">
        <v>0</v>
      </c>
      <c r="R174">
        <v>10160</v>
      </c>
      <c r="U174" t="s">
        <v>850</v>
      </c>
      <c r="V174" t="s">
        <v>1171</v>
      </c>
      <c r="W174">
        <v>0</v>
      </c>
      <c r="X174">
        <v>1.9</v>
      </c>
      <c r="Y174" t="s">
        <v>1482</v>
      </c>
      <c r="Z174">
        <v>79.18957700656206</v>
      </c>
      <c r="AA174">
        <v>3511</v>
      </c>
      <c r="AB174">
        <v>22290</v>
      </c>
      <c r="AC174" t="s">
        <v>1793</v>
      </c>
      <c r="AD174">
        <v>49.76</v>
      </c>
      <c r="AE174" t="s">
        <v>2114</v>
      </c>
      <c r="AF174" t="s">
        <v>2433</v>
      </c>
      <c r="AG174">
        <v>9457</v>
      </c>
      <c r="AH174">
        <v>939</v>
      </c>
      <c r="AJ174">
        <v>1.71</v>
      </c>
      <c r="AK174" t="b">
        <v>1</v>
      </c>
    </row>
    <row r="175" spans="1:37">
      <c r="A175" s="1" t="s">
        <v>209</v>
      </c>
      <c r="B175" t="s">
        <v>530</v>
      </c>
      <c r="C175">
        <f>HYPERLINK("https://finance.naver.com/item/coinfo.nhn?code=001270", "A001270")</f>
        <v>0</v>
      </c>
      <c r="D175">
        <f>HYPERLINK("http://comp.fnguide.com/SVO2/ASP/SVD_Consensus.asp?pGB=1&amp;gicode=A001270&amp;cID=&amp;MenuYn=Y&amp;ReportGB=&amp;NewMenuID=108&amp;stkGb=701", "부국증권")</f>
        <v>0</v>
      </c>
      <c r="E175">
        <v>3</v>
      </c>
      <c r="F175">
        <v>18850</v>
      </c>
      <c r="G175">
        <v>0</v>
      </c>
      <c r="H175">
        <v>4.23</v>
      </c>
      <c r="I175">
        <v>112436</v>
      </c>
      <c r="J175">
        <v>111656</v>
      </c>
      <c r="K175">
        <v>111379</v>
      </c>
      <c r="L175">
        <v>-496.48</v>
      </c>
      <c r="M175">
        <v>-492.34</v>
      </c>
      <c r="N175">
        <v>-490.87</v>
      </c>
      <c r="O175">
        <v>11.17</v>
      </c>
      <c r="P175" t="b">
        <v>0</v>
      </c>
      <c r="Q175">
        <v>0</v>
      </c>
      <c r="R175">
        <v>5786</v>
      </c>
      <c r="U175" t="s">
        <v>851</v>
      </c>
      <c r="V175" t="s">
        <v>1172</v>
      </c>
      <c r="W175">
        <v>0</v>
      </c>
      <c r="X175">
        <v>7.3</v>
      </c>
      <c r="Y175" t="s">
        <v>1483</v>
      </c>
      <c r="Z175">
        <v>8.682495888136209</v>
      </c>
      <c r="AA175">
        <v>1955</v>
      </c>
      <c r="AB175">
        <v>1223</v>
      </c>
      <c r="AC175" t="s">
        <v>1794</v>
      </c>
      <c r="AD175">
        <v>32.1</v>
      </c>
      <c r="AE175" t="s">
        <v>2115</v>
      </c>
      <c r="AF175" t="s">
        <v>2434</v>
      </c>
      <c r="AG175">
        <v>2351</v>
      </c>
      <c r="AH175">
        <v>1016</v>
      </c>
      <c r="AI175">
        <v>4430764</v>
      </c>
      <c r="AJ175">
        <v>6.54</v>
      </c>
      <c r="AK175" t="b">
        <v>1</v>
      </c>
    </row>
    <row r="176" spans="1:37">
      <c r="A176" s="1" t="s">
        <v>210</v>
      </c>
      <c r="B176" t="s">
        <v>531</v>
      </c>
      <c r="C176">
        <f>HYPERLINK("https://finance.naver.com/item/coinfo.nhn?code=000660", "A000660")</f>
        <v>0</v>
      </c>
      <c r="D176">
        <f>HYPERLINK("http://comp.fnguide.com/SVO2/ASP/SVD_Consensus.asp?pGB=1&amp;gicode=A000660&amp;cID=&amp;MenuYn=Y&amp;ReportGB=&amp;NewMenuID=108&amp;stkGb=701", "SK하이닉스")</f>
        <v>0</v>
      </c>
      <c r="E176">
        <v>3</v>
      </c>
      <c r="F176">
        <v>85700</v>
      </c>
      <c r="G176">
        <v>0.26</v>
      </c>
      <c r="H176">
        <v>9.93</v>
      </c>
      <c r="I176">
        <v>100903</v>
      </c>
      <c r="J176">
        <v>95351</v>
      </c>
      <c r="K176">
        <v>93378</v>
      </c>
      <c r="L176">
        <v>-17.74</v>
      </c>
      <c r="M176">
        <v>-11.26</v>
      </c>
      <c r="N176">
        <v>-8.960000000000001</v>
      </c>
      <c r="O176">
        <v>12.3</v>
      </c>
      <c r="P176" t="b">
        <v>1</v>
      </c>
      <c r="Q176">
        <v>0</v>
      </c>
      <c r="R176">
        <v>13190</v>
      </c>
      <c r="S176">
        <v>7310</v>
      </c>
      <c r="T176">
        <v>-44.6</v>
      </c>
      <c r="U176" t="s">
        <v>852</v>
      </c>
      <c r="V176" t="s">
        <v>1173</v>
      </c>
      <c r="W176">
        <v>38.41799236636869</v>
      </c>
      <c r="X176">
        <v>-5.2</v>
      </c>
      <c r="Y176" t="s">
        <v>1484</v>
      </c>
      <c r="Z176">
        <v>-3.091079629632965</v>
      </c>
      <c r="AA176">
        <v>623898</v>
      </c>
      <c r="AB176">
        <v>2058890</v>
      </c>
      <c r="AC176" t="s">
        <v>1795</v>
      </c>
      <c r="AD176">
        <v>20.07</v>
      </c>
      <c r="AE176" t="s">
        <v>2116</v>
      </c>
      <c r="AF176" t="s">
        <v>2435</v>
      </c>
      <c r="AG176">
        <v>429978</v>
      </c>
      <c r="AH176">
        <v>124103</v>
      </c>
      <c r="AI176">
        <v>40351325</v>
      </c>
      <c r="AJ176">
        <v>1.18</v>
      </c>
      <c r="AK176" t="b">
        <v>1</v>
      </c>
    </row>
    <row r="177" spans="1:37">
      <c r="A177" s="1" t="s">
        <v>211</v>
      </c>
      <c r="B177" t="s">
        <v>532</v>
      </c>
      <c r="C177">
        <f>HYPERLINK("https://finance.naver.com/item/coinfo.nhn?code=285130", "A285130")</f>
        <v>0</v>
      </c>
      <c r="D177">
        <f>HYPERLINK("http://comp.fnguide.com/SVO2/ASP/SVD_Consensus.asp?pGB=1&amp;gicode=A285130&amp;cID=&amp;MenuYn=Y&amp;ReportGB=&amp;NewMenuID=108&amp;stkGb=701", "SK케미칼")</f>
        <v>0</v>
      </c>
      <c r="E177">
        <v>3</v>
      </c>
      <c r="F177">
        <v>80100</v>
      </c>
      <c r="G177">
        <v>0</v>
      </c>
      <c r="H177">
        <v>17.49</v>
      </c>
      <c r="I177">
        <v>173184</v>
      </c>
      <c r="J177">
        <v>144688</v>
      </c>
      <c r="K177">
        <v>134564</v>
      </c>
      <c r="L177">
        <v>-116.21</v>
      </c>
      <c r="M177">
        <v>-80.63</v>
      </c>
      <c r="N177">
        <v>-68</v>
      </c>
      <c r="O177">
        <v>16.01</v>
      </c>
      <c r="P177" t="b">
        <v>0</v>
      </c>
      <c r="Q177">
        <v>0</v>
      </c>
      <c r="R177">
        <v>8521</v>
      </c>
      <c r="U177" t="s">
        <v>853</v>
      </c>
      <c r="V177" t="s">
        <v>1174</v>
      </c>
      <c r="W177">
        <v>0</v>
      </c>
      <c r="X177">
        <v>56.4</v>
      </c>
      <c r="Y177" t="s">
        <v>1485</v>
      </c>
      <c r="Z177">
        <v>0</v>
      </c>
      <c r="AA177">
        <v>13820</v>
      </c>
      <c r="AB177">
        <v>86192</v>
      </c>
      <c r="AC177" t="s">
        <v>1796</v>
      </c>
      <c r="AD177">
        <v>42.66</v>
      </c>
      <c r="AE177" t="s">
        <v>2117</v>
      </c>
      <c r="AF177" t="s">
        <v>2436</v>
      </c>
      <c r="AG177">
        <v>20896</v>
      </c>
      <c r="AH177">
        <v>5552</v>
      </c>
      <c r="AI177">
        <v>30857</v>
      </c>
      <c r="AJ177">
        <v>2.01</v>
      </c>
      <c r="AK177" t="b">
        <v>1</v>
      </c>
    </row>
    <row r="178" spans="1:37">
      <c r="A178" s="1" t="s">
        <v>212</v>
      </c>
      <c r="B178" t="s">
        <v>533</v>
      </c>
      <c r="C178">
        <f>HYPERLINK("https://finance.naver.com/item/coinfo.nhn?code=377740", "A377740")</f>
        <v>0</v>
      </c>
      <c r="D178">
        <f>HYPERLINK("http://comp.fnguide.com/SVO2/ASP/SVD_Consensus.asp?pGB=1&amp;gicode=A377740&amp;cID=&amp;MenuYn=Y&amp;ReportGB=&amp;NewMenuID=108&amp;stkGb=701", "바이오노트")</f>
        <v>0</v>
      </c>
      <c r="E178">
        <v>3</v>
      </c>
      <c r="F178">
        <v>8410</v>
      </c>
      <c r="I178">
        <v>92780</v>
      </c>
      <c r="J178">
        <v>50342</v>
      </c>
      <c r="K178">
        <v>35266</v>
      </c>
      <c r="L178">
        <v>-1003.21</v>
      </c>
      <c r="M178">
        <v>-498.6</v>
      </c>
      <c r="N178">
        <v>-319.34</v>
      </c>
      <c r="O178">
        <v>82.25</v>
      </c>
      <c r="P178" t="b">
        <v>0</v>
      </c>
      <c r="Q178">
        <v>0</v>
      </c>
      <c r="R178">
        <v>7178</v>
      </c>
      <c r="S178">
        <v>5850</v>
      </c>
      <c r="T178">
        <v>-18.5</v>
      </c>
      <c r="U178" t="s">
        <v>854</v>
      </c>
      <c r="V178" t="s">
        <v>1175</v>
      </c>
      <c r="W178">
        <v>188.3251866149837</v>
      </c>
      <c r="X178">
        <v>-31.6</v>
      </c>
      <c r="Y178" t="s">
        <v>1486</v>
      </c>
      <c r="Z178">
        <v>0</v>
      </c>
      <c r="AA178">
        <v>8568</v>
      </c>
      <c r="AB178">
        <v>652051</v>
      </c>
      <c r="AC178" t="s">
        <v>1797</v>
      </c>
      <c r="AD178">
        <v>67.31999999999999</v>
      </c>
      <c r="AE178" t="s">
        <v>2118</v>
      </c>
      <c r="AF178" t="s">
        <v>2437</v>
      </c>
      <c r="AG178">
        <v>6224</v>
      </c>
      <c r="AH178">
        <v>4701</v>
      </c>
      <c r="AK178" t="b">
        <v>1</v>
      </c>
    </row>
    <row r="179" spans="1:37">
      <c r="A179" s="1" t="s">
        <v>213</v>
      </c>
      <c r="B179" t="s">
        <v>534</v>
      </c>
      <c r="C179">
        <f>HYPERLINK("https://finance.naver.com/item/coinfo.nhn?code=161000", "A161000")</f>
        <v>0</v>
      </c>
      <c r="D179">
        <f>HYPERLINK("http://comp.fnguide.com/SVO2/ASP/SVD_Consensus.asp?pGB=1&amp;gicode=A161000&amp;cID=&amp;MenuYn=Y&amp;ReportGB=&amp;NewMenuID=108&amp;stkGb=701", "애경케미칼")</f>
        <v>0</v>
      </c>
      <c r="E179">
        <v>3</v>
      </c>
      <c r="F179">
        <v>8630</v>
      </c>
      <c r="G179">
        <v>0</v>
      </c>
      <c r="H179">
        <v>4.88</v>
      </c>
      <c r="I179">
        <v>16261</v>
      </c>
      <c r="J179">
        <v>15270</v>
      </c>
      <c r="K179">
        <v>14917</v>
      </c>
      <c r="L179">
        <v>-88.43000000000001</v>
      </c>
      <c r="M179">
        <v>-76.94</v>
      </c>
      <c r="N179">
        <v>-72.84999999999999</v>
      </c>
      <c r="O179">
        <v>12.46</v>
      </c>
      <c r="P179" t="b">
        <v>1</v>
      </c>
      <c r="Q179">
        <v>0</v>
      </c>
      <c r="R179">
        <v>2225</v>
      </c>
      <c r="U179" t="s">
        <v>855</v>
      </c>
      <c r="V179" t="s">
        <v>1176</v>
      </c>
      <c r="W179">
        <v>0</v>
      </c>
      <c r="X179">
        <v>-34.1</v>
      </c>
      <c r="Y179" t="s">
        <v>1487</v>
      </c>
      <c r="Z179">
        <v>-6.303459328672711</v>
      </c>
      <c r="AA179">
        <v>4198</v>
      </c>
      <c r="AB179">
        <v>202679</v>
      </c>
      <c r="AC179" t="s">
        <v>1798</v>
      </c>
      <c r="AD179">
        <v>66.31</v>
      </c>
      <c r="AE179" t="s">
        <v>2119</v>
      </c>
      <c r="AF179" t="s">
        <v>2438</v>
      </c>
      <c r="AG179">
        <v>15701</v>
      </c>
      <c r="AH179">
        <v>933</v>
      </c>
      <c r="AI179">
        <v>476432</v>
      </c>
      <c r="AJ179">
        <v>5.07</v>
      </c>
      <c r="AK179" t="b">
        <v>1</v>
      </c>
    </row>
    <row r="180" spans="1:37">
      <c r="A180" s="1" t="s">
        <v>214</v>
      </c>
      <c r="B180" t="s">
        <v>535</v>
      </c>
      <c r="C180">
        <f>HYPERLINK("https://finance.naver.com/item/coinfo.nhn?code=210980", "A210980")</f>
        <v>0</v>
      </c>
      <c r="D180">
        <f>HYPERLINK("http://comp.fnguide.com/SVO2/ASP/SVD_Consensus.asp?pGB=1&amp;gicode=A210980&amp;cID=&amp;MenuYn=Y&amp;ReportGB=&amp;NewMenuID=108&amp;stkGb=701", "SK디앤디")</f>
        <v>0</v>
      </c>
      <c r="E180">
        <v>3</v>
      </c>
      <c r="F180">
        <v>20700</v>
      </c>
      <c r="G180">
        <v>0.24</v>
      </c>
      <c r="H180">
        <v>5.76</v>
      </c>
      <c r="I180">
        <v>48432</v>
      </c>
      <c r="J180">
        <v>38069</v>
      </c>
      <c r="K180">
        <v>34387</v>
      </c>
      <c r="L180">
        <v>-133.97</v>
      </c>
      <c r="M180">
        <v>-83.91</v>
      </c>
      <c r="N180">
        <v>-66.12</v>
      </c>
      <c r="O180">
        <v>18.53</v>
      </c>
      <c r="P180" t="b">
        <v>1</v>
      </c>
      <c r="Q180">
        <v>0</v>
      </c>
      <c r="R180">
        <v>5510</v>
      </c>
      <c r="S180">
        <v>4542</v>
      </c>
      <c r="T180">
        <v>-17.6</v>
      </c>
      <c r="U180" t="s">
        <v>856</v>
      </c>
      <c r="V180" t="s">
        <v>1177</v>
      </c>
      <c r="W180">
        <v>24.30666758620163</v>
      </c>
      <c r="X180">
        <v>13.1</v>
      </c>
      <c r="Y180" t="s">
        <v>1488</v>
      </c>
      <c r="Z180">
        <v>13.16508810648049</v>
      </c>
      <c r="AA180">
        <v>4593</v>
      </c>
      <c r="AB180">
        <v>19566</v>
      </c>
      <c r="AC180" t="s">
        <v>1799</v>
      </c>
      <c r="AD180">
        <v>59.19</v>
      </c>
      <c r="AE180" t="s">
        <v>2120</v>
      </c>
      <c r="AF180" t="s">
        <v>2439</v>
      </c>
      <c r="AG180">
        <v>7910</v>
      </c>
      <c r="AH180">
        <v>1294</v>
      </c>
      <c r="AI180">
        <v>640</v>
      </c>
      <c r="AJ180">
        <v>2.52</v>
      </c>
      <c r="AK180" t="b">
        <v>1</v>
      </c>
    </row>
    <row r="181" spans="1:37">
      <c r="A181" s="1" t="s">
        <v>215</v>
      </c>
      <c r="B181" t="s">
        <v>536</v>
      </c>
      <c r="C181">
        <f>HYPERLINK("https://finance.naver.com/item/coinfo.nhn?code=008420", "A008420")</f>
        <v>0</v>
      </c>
      <c r="D181">
        <f>HYPERLINK("http://comp.fnguide.com/SVO2/ASP/SVD_Consensus.asp?pGB=1&amp;gicode=A008420&amp;cID=&amp;MenuYn=Y&amp;ReportGB=&amp;NewMenuID=108&amp;stkGb=701", "문배철강")</f>
        <v>0</v>
      </c>
      <c r="E181">
        <v>3</v>
      </c>
      <c r="F181">
        <v>3435</v>
      </c>
      <c r="G181">
        <v>0</v>
      </c>
      <c r="H181">
        <v>3.09</v>
      </c>
      <c r="I181">
        <v>8412</v>
      </c>
      <c r="J181">
        <v>7876</v>
      </c>
      <c r="K181">
        <v>7686</v>
      </c>
      <c r="L181">
        <v>-144.89</v>
      </c>
      <c r="M181">
        <v>-129.29</v>
      </c>
      <c r="N181">
        <v>-123.74</v>
      </c>
      <c r="O181">
        <v>12.53</v>
      </c>
      <c r="P181" t="b">
        <v>1</v>
      </c>
      <c r="Q181">
        <v>0</v>
      </c>
      <c r="R181">
        <v>1238</v>
      </c>
      <c r="U181" t="s">
        <v>857</v>
      </c>
      <c r="V181" t="s">
        <v>1178</v>
      </c>
      <c r="W181">
        <v>0</v>
      </c>
      <c r="X181">
        <v>-21.5</v>
      </c>
      <c r="Y181" t="s">
        <v>1489</v>
      </c>
      <c r="Z181">
        <v>14.44396537076775</v>
      </c>
      <c r="AA181">
        <v>704</v>
      </c>
      <c r="AB181">
        <v>116142</v>
      </c>
      <c r="AC181" t="s">
        <v>1800</v>
      </c>
      <c r="AD181">
        <v>36.93</v>
      </c>
      <c r="AE181" t="s">
        <v>2121</v>
      </c>
      <c r="AF181" t="s">
        <v>2440</v>
      </c>
      <c r="AG181">
        <v>2049</v>
      </c>
      <c r="AH181">
        <v>208</v>
      </c>
      <c r="AI181">
        <v>1171870</v>
      </c>
      <c r="AJ181">
        <v>1.96</v>
      </c>
      <c r="AK181" t="b">
        <v>1</v>
      </c>
    </row>
    <row r="182" spans="1:37">
      <c r="A182" s="1" t="s">
        <v>216</v>
      </c>
      <c r="B182" t="s">
        <v>537</v>
      </c>
      <c r="C182">
        <f>HYPERLINK("https://finance.naver.com/item/coinfo.nhn?code=008560", "A008560")</f>
        <v>0</v>
      </c>
      <c r="D182">
        <f>HYPERLINK("http://comp.fnguide.com/SVO2/ASP/SVD_Consensus.asp?pGB=1&amp;gicode=A008560&amp;cID=&amp;MenuYn=Y&amp;ReportGB=&amp;NewMenuID=108&amp;stkGb=701", "메리츠증권")</f>
        <v>0</v>
      </c>
      <c r="E182">
        <v>3</v>
      </c>
      <c r="F182">
        <v>6520</v>
      </c>
      <c r="G182">
        <v>0.33</v>
      </c>
      <c r="H182">
        <v>4.87</v>
      </c>
      <c r="I182">
        <v>13123</v>
      </c>
      <c r="J182">
        <v>11368</v>
      </c>
      <c r="K182">
        <v>10745</v>
      </c>
      <c r="L182">
        <v>-101.27</v>
      </c>
      <c r="M182">
        <v>-74.36</v>
      </c>
      <c r="N182">
        <v>-64.8</v>
      </c>
      <c r="O182">
        <v>14.76</v>
      </c>
      <c r="P182" t="b">
        <v>0</v>
      </c>
      <c r="Q182">
        <v>2</v>
      </c>
      <c r="R182">
        <v>1058</v>
      </c>
      <c r="S182">
        <v>1189</v>
      </c>
      <c r="T182">
        <v>12.4</v>
      </c>
      <c r="U182" t="s">
        <v>858</v>
      </c>
      <c r="V182" t="s">
        <v>1179</v>
      </c>
      <c r="W182">
        <v>14.67408363477531</v>
      </c>
      <c r="X182">
        <v>16</v>
      </c>
      <c r="Y182" t="s">
        <v>1490</v>
      </c>
      <c r="Z182">
        <v>14.59260286385027</v>
      </c>
      <c r="AA182">
        <v>40101</v>
      </c>
      <c r="AB182">
        <v>2403851</v>
      </c>
      <c r="AC182" t="s">
        <v>1801</v>
      </c>
      <c r="AD182">
        <v>54.49</v>
      </c>
      <c r="AE182" t="s">
        <v>2122</v>
      </c>
      <c r="AF182" t="s">
        <v>2441</v>
      </c>
      <c r="AG182">
        <v>17219</v>
      </c>
      <c r="AH182">
        <v>9489</v>
      </c>
      <c r="AI182">
        <v>83466493</v>
      </c>
      <c r="AJ182">
        <v>1.94</v>
      </c>
      <c r="AK182" t="b">
        <v>1</v>
      </c>
    </row>
    <row r="183" spans="1:37">
      <c r="A183" s="1" t="s">
        <v>217</v>
      </c>
      <c r="B183" t="s">
        <v>538</v>
      </c>
      <c r="C183">
        <f>HYPERLINK("https://finance.naver.com/item/coinfo.nhn?code=006120", "A006120")</f>
        <v>0</v>
      </c>
      <c r="D183">
        <f>HYPERLINK("http://comp.fnguide.com/SVO2/ASP/SVD_Consensus.asp?pGB=1&amp;gicode=A006120&amp;cID=&amp;MenuYn=Y&amp;ReportGB=&amp;NewMenuID=108&amp;stkGb=701", "SK디스커버리")</f>
        <v>0</v>
      </c>
      <c r="E183">
        <v>3</v>
      </c>
      <c r="F183">
        <v>30600</v>
      </c>
      <c r="G183">
        <v>0</v>
      </c>
      <c r="H183">
        <v>4.45</v>
      </c>
      <c r="I183">
        <v>139352</v>
      </c>
      <c r="J183">
        <v>135025</v>
      </c>
      <c r="K183">
        <v>133488</v>
      </c>
      <c r="L183">
        <v>-355.4</v>
      </c>
      <c r="M183">
        <v>-341.26</v>
      </c>
      <c r="N183">
        <v>-336.24</v>
      </c>
      <c r="O183">
        <v>11.71</v>
      </c>
      <c r="P183" t="b">
        <v>1</v>
      </c>
      <c r="Q183">
        <v>0</v>
      </c>
      <c r="R183">
        <v>10438</v>
      </c>
      <c r="U183" t="s">
        <v>859</v>
      </c>
      <c r="V183" t="s">
        <v>1180</v>
      </c>
      <c r="W183">
        <v>0</v>
      </c>
      <c r="X183">
        <v>112.6</v>
      </c>
      <c r="Y183" t="s">
        <v>1491</v>
      </c>
      <c r="Z183">
        <v>-5.069592892159691</v>
      </c>
      <c r="AA183">
        <v>5826</v>
      </c>
      <c r="AB183">
        <v>18412</v>
      </c>
      <c r="AC183" t="s">
        <v>1802</v>
      </c>
      <c r="AD183">
        <v>47.53</v>
      </c>
      <c r="AE183" t="s">
        <v>2123</v>
      </c>
      <c r="AF183" t="s">
        <v>2442</v>
      </c>
      <c r="AG183">
        <v>66143</v>
      </c>
      <c r="AH183">
        <v>744</v>
      </c>
      <c r="AI183">
        <v>638137</v>
      </c>
      <c r="AJ183">
        <v>3.23</v>
      </c>
      <c r="AK183" t="b">
        <v>1</v>
      </c>
    </row>
    <row r="184" spans="1:37">
      <c r="A184" s="1" t="s">
        <v>218</v>
      </c>
      <c r="B184" t="s">
        <v>539</v>
      </c>
      <c r="C184">
        <f>HYPERLINK("https://finance.naver.com/item/coinfo.nhn?code=018670", "A018670")</f>
        <v>0</v>
      </c>
      <c r="D184">
        <f>HYPERLINK("http://comp.fnguide.com/SVO2/ASP/SVD_Consensus.asp?pGB=1&amp;gicode=A018670&amp;cID=&amp;MenuYn=Y&amp;ReportGB=&amp;NewMenuID=108&amp;stkGb=701", "SK가스")</f>
        <v>0</v>
      </c>
      <c r="E184">
        <v>3</v>
      </c>
      <c r="F184">
        <v>115500</v>
      </c>
      <c r="G184">
        <v>0.84</v>
      </c>
      <c r="H184">
        <v>4.72</v>
      </c>
      <c r="I184">
        <v>274385</v>
      </c>
      <c r="J184">
        <v>254069</v>
      </c>
      <c r="K184">
        <v>246852</v>
      </c>
      <c r="L184">
        <v>-137.56</v>
      </c>
      <c r="M184">
        <v>-119.97</v>
      </c>
      <c r="N184">
        <v>-113.72</v>
      </c>
      <c r="O184">
        <v>12.82</v>
      </c>
      <c r="P184" t="b">
        <v>1</v>
      </c>
      <c r="Q184">
        <v>0</v>
      </c>
      <c r="R184">
        <v>27005</v>
      </c>
      <c r="S184">
        <v>20294</v>
      </c>
      <c r="T184">
        <v>-24.9</v>
      </c>
      <c r="U184" t="s">
        <v>860</v>
      </c>
      <c r="V184" t="s">
        <v>1181</v>
      </c>
      <c r="W184">
        <v>5.602451482632054</v>
      </c>
      <c r="X184">
        <v>-51.5</v>
      </c>
      <c r="Y184" t="s">
        <v>1492</v>
      </c>
      <c r="Z184">
        <v>3.41104550327902</v>
      </c>
      <c r="AA184">
        <v>10661</v>
      </c>
      <c r="AB184">
        <v>2044</v>
      </c>
      <c r="AC184" t="s">
        <v>1803</v>
      </c>
      <c r="AD184">
        <v>72.33</v>
      </c>
      <c r="AE184" t="s">
        <v>2124</v>
      </c>
      <c r="AF184" t="s">
        <v>2443</v>
      </c>
      <c r="AG184">
        <v>64945</v>
      </c>
      <c r="AH184">
        <v>1055</v>
      </c>
      <c r="AI184">
        <v>255198</v>
      </c>
      <c r="AJ184">
        <v>4</v>
      </c>
      <c r="AK184" t="b">
        <v>1</v>
      </c>
    </row>
    <row r="185" spans="1:37">
      <c r="A185" s="1" t="s">
        <v>219</v>
      </c>
      <c r="B185" t="s">
        <v>540</v>
      </c>
      <c r="C185">
        <f>HYPERLINK("https://finance.naver.com/item/coinfo.nhn?code=003070", "A003070")</f>
        <v>0</v>
      </c>
      <c r="D185">
        <f>HYPERLINK("http://comp.fnguide.com/SVO2/ASP/SVD_Consensus.asp?pGB=1&amp;gicode=A003070&amp;cID=&amp;MenuYn=Y&amp;ReportGB=&amp;NewMenuID=108&amp;stkGb=701", "코오롱글로벌")</f>
        <v>0</v>
      </c>
      <c r="E185">
        <v>3</v>
      </c>
      <c r="F185">
        <v>18750</v>
      </c>
      <c r="G185">
        <v>0.05</v>
      </c>
      <c r="H185">
        <v>4.18</v>
      </c>
      <c r="I185">
        <v>58247</v>
      </c>
      <c r="J185">
        <v>44243</v>
      </c>
      <c r="K185">
        <v>39267</v>
      </c>
      <c r="L185">
        <v>-210.65</v>
      </c>
      <c r="M185">
        <v>-135.96</v>
      </c>
      <c r="N185">
        <v>-109.43</v>
      </c>
      <c r="O185">
        <v>20.23</v>
      </c>
      <c r="P185" t="b">
        <v>1</v>
      </c>
      <c r="Q185">
        <v>3</v>
      </c>
      <c r="R185">
        <v>5402</v>
      </c>
      <c r="S185">
        <v>8057</v>
      </c>
      <c r="T185">
        <v>49.1</v>
      </c>
      <c r="U185" t="s">
        <v>861</v>
      </c>
      <c r="V185" t="s">
        <v>1182</v>
      </c>
      <c r="W185">
        <v>79.10333655391982</v>
      </c>
      <c r="X185">
        <v>6.7</v>
      </c>
      <c r="Y185" t="s">
        <v>1493</v>
      </c>
      <c r="Z185">
        <v>56.11700350400497</v>
      </c>
      <c r="AA185">
        <v>4727</v>
      </c>
      <c r="AB185">
        <v>0</v>
      </c>
      <c r="AC185" t="s">
        <v>1804</v>
      </c>
      <c r="AD185">
        <v>76.23</v>
      </c>
      <c r="AE185" t="s">
        <v>2125</v>
      </c>
      <c r="AF185" t="s">
        <v>2444</v>
      </c>
      <c r="AG185">
        <v>47495</v>
      </c>
      <c r="AH185">
        <v>2415</v>
      </c>
      <c r="AI185">
        <v>84095</v>
      </c>
      <c r="AJ185">
        <v>2.21</v>
      </c>
      <c r="AK185" t="b">
        <v>1</v>
      </c>
    </row>
    <row r="186" spans="1:37">
      <c r="A186" s="1" t="s">
        <v>220</v>
      </c>
      <c r="B186" t="s">
        <v>541</v>
      </c>
      <c r="C186">
        <f>HYPERLINK("https://finance.naver.com/item/coinfo.nhn?code=024090", "A024090")</f>
        <v>0</v>
      </c>
      <c r="D186">
        <f>HYPERLINK("http://comp.fnguide.com/SVO2/ASP/SVD_Consensus.asp?pGB=1&amp;gicode=A024090&amp;cID=&amp;MenuYn=Y&amp;ReportGB=&amp;NewMenuID=108&amp;stkGb=701", "디씨엠")</f>
        <v>0</v>
      </c>
      <c r="E186">
        <v>3</v>
      </c>
      <c r="F186">
        <v>13600</v>
      </c>
      <c r="G186">
        <v>0</v>
      </c>
      <c r="H186">
        <v>5.37</v>
      </c>
      <c r="I186">
        <v>41815</v>
      </c>
      <c r="J186">
        <v>33267</v>
      </c>
      <c r="K186">
        <v>30231</v>
      </c>
      <c r="L186">
        <v>-207.46</v>
      </c>
      <c r="M186">
        <v>-144.61</v>
      </c>
      <c r="N186">
        <v>-122.28</v>
      </c>
      <c r="O186">
        <v>17.98</v>
      </c>
      <c r="P186" t="b">
        <v>0</v>
      </c>
      <c r="Q186">
        <v>0</v>
      </c>
      <c r="R186">
        <v>4338</v>
      </c>
      <c r="U186" t="s">
        <v>862</v>
      </c>
      <c r="V186" t="s">
        <v>1183</v>
      </c>
      <c r="W186">
        <v>0</v>
      </c>
      <c r="X186">
        <v>-4.4</v>
      </c>
      <c r="Y186" t="s">
        <v>1494</v>
      </c>
      <c r="Z186">
        <v>31.48656790327804</v>
      </c>
      <c r="AA186">
        <v>1550</v>
      </c>
      <c r="AB186">
        <v>4823</v>
      </c>
      <c r="AC186" t="s">
        <v>1805</v>
      </c>
      <c r="AD186">
        <v>45.6</v>
      </c>
      <c r="AE186" t="s">
        <v>2126</v>
      </c>
      <c r="AF186" t="s">
        <v>2445</v>
      </c>
      <c r="AG186">
        <v>2508</v>
      </c>
      <c r="AH186">
        <v>349</v>
      </c>
      <c r="AI186">
        <v>2211909</v>
      </c>
      <c r="AJ186">
        <v>3.86</v>
      </c>
      <c r="AK186" t="b">
        <v>1</v>
      </c>
    </row>
    <row r="187" spans="1:37">
      <c r="A187" s="1" t="s">
        <v>221</v>
      </c>
      <c r="B187" t="s">
        <v>542</v>
      </c>
      <c r="C187">
        <f>HYPERLINK("https://finance.naver.com/item/coinfo.nhn?code=001120", "A001120")</f>
        <v>0</v>
      </c>
      <c r="D187">
        <f>HYPERLINK("http://comp.fnguide.com/SVO2/ASP/SVD_Consensus.asp?pGB=1&amp;gicode=A001120&amp;cID=&amp;MenuYn=Y&amp;ReportGB=&amp;NewMenuID=108&amp;stkGb=701", "LX인터내셔널")</f>
        <v>0</v>
      </c>
      <c r="E187">
        <v>3</v>
      </c>
      <c r="F187">
        <v>34200</v>
      </c>
      <c r="G187">
        <v>0.02</v>
      </c>
      <c r="H187">
        <v>2.93</v>
      </c>
      <c r="I187">
        <v>87616</v>
      </c>
      <c r="J187">
        <v>67405</v>
      </c>
      <c r="K187">
        <v>60225</v>
      </c>
      <c r="L187">
        <v>-156.19</v>
      </c>
      <c r="M187">
        <v>-97.09</v>
      </c>
      <c r="N187">
        <v>-76.09999999999999</v>
      </c>
      <c r="O187">
        <v>19.56</v>
      </c>
      <c r="P187" t="b">
        <v>1</v>
      </c>
      <c r="Q187">
        <v>3</v>
      </c>
      <c r="R187">
        <v>9032</v>
      </c>
      <c r="S187">
        <v>15102</v>
      </c>
      <c r="T187">
        <v>67.2</v>
      </c>
      <c r="U187" t="s">
        <v>863</v>
      </c>
      <c r="V187" t="s">
        <v>1184</v>
      </c>
      <c r="W187">
        <v>173.6167306208275</v>
      </c>
      <c r="X187">
        <v>93.8</v>
      </c>
      <c r="Y187" t="s">
        <v>1495</v>
      </c>
      <c r="Z187">
        <v>0</v>
      </c>
      <c r="AA187">
        <v>13256</v>
      </c>
      <c r="AB187">
        <v>194279</v>
      </c>
      <c r="AC187" t="s">
        <v>1806</v>
      </c>
      <c r="AD187">
        <v>24.76</v>
      </c>
      <c r="AE187" t="s">
        <v>2127</v>
      </c>
      <c r="AF187" t="s">
        <v>2446</v>
      </c>
      <c r="AG187">
        <v>166865</v>
      </c>
      <c r="AH187">
        <v>6562</v>
      </c>
      <c r="AI187">
        <v>2792098</v>
      </c>
      <c r="AJ187">
        <v>8.699999999999999</v>
      </c>
      <c r="AK187" t="b">
        <v>1</v>
      </c>
    </row>
    <row r="188" spans="1:37">
      <c r="A188" s="1" t="s">
        <v>222</v>
      </c>
      <c r="B188" t="s">
        <v>543</v>
      </c>
      <c r="C188">
        <f>HYPERLINK("https://finance.naver.com/item/coinfo.nhn?code=241520", "A241520")</f>
        <v>0</v>
      </c>
      <c r="D188">
        <f>HYPERLINK("http://comp.fnguide.com/SVO2/ASP/SVD_Consensus.asp?pGB=1&amp;gicode=A241520&amp;cID=&amp;MenuYn=Y&amp;ReportGB=&amp;NewMenuID=108&amp;stkGb=701", "DSC인베스트먼트")</f>
        <v>0</v>
      </c>
      <c r="E188">
        <v>3</v>
      </c>
      <c r="F188">
        <v>3815</v>
      </c>
      <c r="G188">
        <v>0</v>
      </c>
      <c r="H188">
        <v>10.37</v>
      </c>
      <c r="I188">
        <v>8302</v>
      </c>
      <c r="J188">
        <v>5376</v>
      </c>
      <c r="K188">
        <v>4337</v>
      </c>
      <c r="L188">
        <v>-117.63</v>
      </c>
      <c r="M188">
        <v>-40.93</v>
      </c>
      <c r="N188">
        <v>-13.68</v>
      </c>
      <c r="O188">
        <v>33.12</v>
      </c>
      <c r="P188" t="b">
        <v>0</v>
      </c>
      <c r="Q188">
        <v>0</v>
      </c>
      <c r="R188">
        <v>575</v>
      </c>
      <c r="U188" t="s">
        <v>864</v>
      </c>
      <c r="V188" t="s">
        <v>1185</v>
      </c>
      <c r="W188">
        <v>0</v>
      </c>
      <c r="Y188" t="s">
        <v>1321</v>
      </c>
      <c r="Z188">
        <v>53.1963745769126</v>
      </c>
      <c r="AA188">
        <v>1061</v>
      </c>
      <c r="AB188">
        <v>49612</v>
      </c>
      <c r="AC188" t="s">
        <v>1807</v>
      </c>
      <c r="AD188">
        <v>24.67</v>
      </c>
      <c r="AE188" t="s">
        <v>2128</v>
      </c>
      <c r="AF188" t="s">
        <v>2447</v>
      </c>
      <c r="AG188">
        <v>309</v>
      </c>
      <c r="AH188">
        <v>166</v>
      </c>
      <c r="AI188">
        <v>262172</v>
      </c>
      <c r="AK188" t="b">
        <v>1</v>
      </c>
    </row>
    <row r="189" spans="1:37">
      <c r="A189" s="1" t="s">
        <v>223</v>
      </c>
      <c r="B189" t="s">
        <v>544</v>
      </c>
      <c r="C189">
        <f>HYPERLINK("https://finance.naver.com/item/coinfo.nhn?code=011760", "A011760")</f>
        <v>0</v>
      </c>
      <c r="D189">
        <f>HYPERLINK("http://comp.fnguide.com/SVO2/ASP/SVD_Consensus.asp?pGB=1&amp;gicode=A011760&amp;cID=&amp;MenuYn=Y&amp;ReportGB=&amp;NewMenuID=108&amp;stkGb=701", "현대코퍼레이션")</f>
        <v>0</v>
      </c>
      <c r="E189">
        <v>3</v>
      </c>
      <c r="F189">
        <v>16500</v>
      </c>
      <c r="G189">
        <v>0.06</v>
      </c>
      <c r="H189">
        <v>5.88</v>
      </c>
      <c r="I189">
        <v>31319</v>
      </c>
      <c r="J189">
        <v>30656</v>
      </c>
      <c r="K189">
        <v>30421</v>
      </c>
      <c r="L189">
        <v>-89.81</v>
      </c>
      <c r="M189">
        <v>-85.8</v>
      </c>
      <c r="N189">
        <v>-84.37</v>
      </c>
      <c r="O189">
        <v>11.48</v>
      </c>
      <c r="P189" t="b">
        <v>1</v>
      </c>
      <c r="Q189">
        <v>1</v>
      </c>
      <c r="R189">
        <v>2857</v>
      </c>
      <c r="S189">
        <v>8988</v>
      </c>
      <c r="T189">
        <v>214.6</v>
      </c>
      <c r="U189" t="s">
        <v>865</v>
      </c>
      <c r="V189" t="s">
        <v>1186</v>
      </c>
      <c r="W189">
        <v>93.767290405609</v>
      </c>
      <c r="X189">
        <v>267</v>
      </c>
      <c r="Y189" t="s">
        <v>1496</v>
      </c>
      <c r="Z189">
        <v>0</v>
      </c>
      <c r="AA189">
        <v>2183</v>
      </c>
      <c r="AB189">
        <v>20983</v>
      </c>
      <c r="AC189" t="s">
        <v>1808</v>
      </c>
      <c r="AD189">
        <v>24.96</v>
      </c>
      <c r="AE189" t="s">
        <v>2129</v>
      </c>
      <c r="AF189" t="s">
        <v>2448</v>
      </c>
      <c r="AG189">
        <v>37825</v>
      </c>
      <c r="AH189">
        <v>351</v>
      </c>
      <c r="AI189">
        <v>1218000</v>
      </c>
      <c r="AJ189">
        <v>3.57</v>
      </c>
      <c r="AK189" t="b">
        <v>1</v>
      </c>
    </row>
    <row r="190" spans="1:37">
      <c r="A190" s="1" t="s">
        <v>224</v>
      </c>
      <c r="B190" t="s">
        <v>545</v>
      </c>
      <c r="C190">
        <f>HYPERLINK("https://finance.naver.com/item/coinfo.nhn?code=011200", "A011200")</f>
        <v>0</v>
      </c>
      <c r="D190">
        <f>HYPERLINK("http://comp.fnguide.com/SVO2/ASP/SVD_Consensus.asp?pGB=1&amp;gicode=A011200&amp;cID=&amp;MenuYn=Y&amp;ReportGB=&amp;NewMenuID=108&amp;stkGb=701", "HMM")</f>
        <v>0</v>
      </c>
      <c r="E190">
        <v>3</v>
      </c>
      <c r="F190">
        <v>21350</v>
      </c>
      <c r="G190">
        <v>0</v>
      </c>
      <c r="H190">
        <v>2.46</v>
      </c>
      <c r="I190">
        <v>90872</v>
      </c>
      <c r="J190">
        <v>54063</v>
      </c>
      <c r="K190">
        <v>40986</v>
      </c>
      <c r="L190">
        <v>-325.63</v>
      </c>
      <c r="M190">
        <v>-153.22</v>
      </c>
      <c r="N190">
        <v>-91.97</v>
      </c>
      <c r="O190">
        <v>47.28</v>
      </c>
      <c r="P190" t="b">
        <v>1</v>
      </c>
      <c r="Q190">
        <v>3</v>
      </c>
      <c r="R190">
        <v>10913</v>
      </c>
      <c r="S190">
        <v>20294</v>
      </c>
      <c r="T190">
        <v>86</v>
      </c>
      <c r="U190" t="s">
        <v>866</v>
      </c>
      <c r="V190" t="s">
        <v>1187</v>
      </c>
      <c r="W190">
        <v>0</v>
      </c>
      <c r="X190">
        <v>169.8</v>
      </c>
      <c r="Y190" t="s">
        <v>1497</v>
      </c>
      <c r="Z190">
        <v>0</v>
      </c>
      <c r="AA190">
        <v>104410</v>
      </c>
      <c r="AB190">
        <v>3060978</v>
      </c>
      <c r="AC190" t="s">
        <v>1809</v>
      </c>
      <c r="AD190">
        <v>20.69</v>
      </c>
      <c r="AE190" t="s">
        <v>2130</v>
      </c>
      <c r="AF190" t="s">
        <v>2449</v>
      </c>
      <c r="AG190">
        <v>137941</v>
      </c>
      <c r="AH190">
        <v>73775</v>
      </c>
      <c r="AJ190">
        <v>2.23</v>
      </c>
      <c r="AK190" t="b">
        <v>1</v>
      </c>
    </row>
    <row r="191" spans="1:37">
      <c r="A191" s="1" t="s">
        <v>225</v>
      </c>
      <c r="B191" t="s">
        <v>546</v>
      </c>
      <c r="C191">
        <f>HYPERLINK("https://finance.naver.com/item/coinfo.nhn?code=298020", "A298020")</f>
        <v>0</v>
      </c>
      <c r="D191">
        <f>HYPERLINK("http://comp.fnguide.com/SVO2/ASP/SVD_Consensus.asp?pGB=1&amp;gicode=A298020&amp;cID=&amp;MenuYn=Y&amp;ReportGB=&amp;NewMenuID=108&amp;stkGb=701", "효성티앤씨")</f>
        <v>0</v>
      </c>
      <c r="E191">
        <v>3</v>
      </c>
      <c r="F191">
        <v>376500</v>
      </c>
      <c r="G191">
        <v>0</v>
      </c>
      <c r="H191">
        <v>2.93</v>
      </c>
      <c r="I191">
        <v>1492017</v>
      </c>
      <c r="J191">
        <v>877832</v>
      </c>
      <c r="K191">
        <v>659640</v>
      </c>
      <c r="L191">
        <v>-296.29</v>
      </c>
      <c r="M191">
        <v>-133.16</v>
      </c>
      <c r="N191">
        <v>-75.2</v>
      </c>
      <c r="O191">
        <v>49.95</v>
      </c>
      <c r="P191" t="b">
        <v>1</v>
      </c>
      <c r="Q191">
        <v>0</v>
      </c>
      <c r="R191">
        <v>178008</v>
      </c>
      <c r="S191">
        <v>-121</v>
      </c>
      <c r="T191">
        <v>-100.1</v>
      </c>
      <c r="U191" t="s">
        <v>867</v>
      </c>
      <c r="V191" t="s">
        <v>1188</v>
      </c>
      <c r="W191">
        <v>0</v>
      </c>
      <c r="Y191" t="s">
        <v>1498</v>
      </c>
      <c r="Z191">
        <v>0</v>
      </c>
      <c r="AA191">
        <v>16294</v>
      </c>
      <c r="AB191">
        <v>29843</v>
      </c>
      <c r="AC191" t="s">
        <v>1810</v>
      </c>
      <c r="AD191">
        <v>44.68</v>
      </c>
      <c r="AE191" t="s">
        <v>2131</v>
      </c>
      <c r="AF191" t="s">
        <v>2450</v>
      </c>
      <c r="AG191">
        <v>85960</v>
      </c>
      <c r="AH191">
        <v>14237</v>
      </c>
      <c r="AI191">
        <v>11992</v>
      </c>
      <c r="AJ191">
        <v>9.6</v>
      </c>
      <c r="AK191" t="b">
        <v>1</v>
      </c>
    </row>
    <row r="192" spans="1:37">
      <c r="A192" s="1" t="s">
        <v>226</v>
      </c>
      <c r="B192" t="s">
        <v>547</v>
      </c>
      <c r="C192">
        <f>HYPERLINK("https://finance.naver.com/item/coinfo.nhn?code=298000", "A298000")</f>
        <v>0</v>
      </c>
      <c r="D192">
        <f>HYPERLINK("http://comp.fnguide.com/SVO2/ASP/SVD_Consensus.asp?pGB=1&amp;gicode=A298000&amp;cID=&amp;MenuYn=Y&amp;ReportGB=&amp;NewMenuID=108&amp;stkGb=701", "효성화학")</f>
        <v>0</v>
      </c>
      <c r="E192">
        <v>3</v>
      </c>
      <c r="F192">
        <v>120000</v>
      </c>
      <c r="G192">
        <v>0</v>
      </c>
      <c r="H192">
        <v>13.75</v>
      </c>
      <c r="I192">
        <v>162564</v>
      </c>
      <c r="J192">
        <v>160055</v>
      </c>
      <c r="K192">
        <v>159164</v>
      </c>
      <c r="L192">
        <v>-35.47</v>
      </c>
      <c r="M192">
        <v>-33.38</v>
      </c>
      <c r="N192">
        <v>-32.64</v>
      </c>
      <c r="O192">
        <v>11.35</v>
      </c>
      <c r="P192" t="b">
        <v>0</v>
      </c>
      <c r="Q192">
        <v>0</v>
      </c>
      <c r="R192">
        <v>22073</v>
      </c>
      <c r="S192">
        <v>-92269</v>
      </c>
      <c r="T192">
        <v>-518</v>
      </c>
      <c r="U192" t="s">
        <v>868</v>
      </c>
      <c r="V192" t="s">
        <v>1189</v>
      </c>
      <c r="W192">
        <v>0</v>
      </c>
      <c r="Y192" t="s">
        <v>1499</v>
      </c>
      <c r="Z192">
        <v>0</v>
      </c>
      <c r="AA192">
        <v>3828</v>
      </c>
      <c r="AB192">
        <v>35365</v>
      </c>
      <c r="AC192" t="s">
        <v>1811</v>
      </c>
      <c r="AD192">
        <v>44.72</v>
      </c>
      <c r="AE192" t="s">
        <v>2132</v>
      </c>
      <c r="AF192" t="s">
        <v>2451</v>
      </c>
      <c r="AG192">
        <v>24530</v>
      </c>
      <c r="AH192">
        <v>1486</v>
      </c>
      <c r="AI192">
        <v>12331</v>
      </c>
      <c r="AK192" t="b">
        <v>1</v>
      </c>
    </row>
    <row r="193" spans="1:37">
      <c r="A193" s="1" t="s">
        <v>227</v>
      </c>
      <c r="B193" t="s">
        <v>548</v>
      </c>
      <c r="C193">
        <f>HYPERLINK("https://finance.naver.com/item/coinfo.nhn?code=014790", "A014790")</f>
        <v>0</v>
      </c>
      <c r="D193">
        <f>HYPERLINK("http://comp.fnguide.com/SVO2/ASP/SVD_Consensus.asp?pGB=1&amp;gicode=A014790&amp;cID=&amp;MenuYn=Y&amp;ReportGB=&amp;NewMenuID=108&amp;stkGb=701", "HL D&amp;I")</f>
        <v>0</v>
      </c>
      <c r="E193">
        <v>3</v>
      </c>
      <c r="F193">
        <v>2855</v>
      </c>
      <c r="G193">
        <v>0.02</v>
      </c>
      <c r="H193">
        <v>2.67</v>
      </c>
      <c r="I193">
        <v>24331</v>
      </c>
      <c r="J193">
        <v>17291</v>
      </c>
      <c r="K193">
        <v>14790</v>
      </c>
      <c r="L193">
        <v>-752.21</v>
      </c>
      <c r="M193">
        <v>-505.63</v>
      </c>
      <c r="N193">
        <v>-418.03</v>
      </c>
      <c r="O193">
        <v>24.37</v>
      </c>
      <c r="P193" t="b">
        <v>1</v>
      </c>
      <c r="Q193">
        <v>0</v>
      </c>
      <c r="R193">
        <v>2022</v>
      </c>
      <c r="S193">
        <v>619</v>
      </c>
      <c r="T193">
        <v>-69.40000000000001</v>
      </c>
      <c r="U193" t="s">
        <v>869</v>
      </c>
      <c r="V193" t="s">
        <v>1190</v>
      </c>
      <c r="W193">
        <v>129.7555265734383</v>
      </c>
      <c r="X193">
        <v>-70.2</v>
      </c>
      <c r="Y193" t="s">
        <v>1500</v>
      </c>
      <c r="Z193">
        <v>0</v>
      </c>
      <c r="AA193">
        <v>1081</v>
      </c>
      <c r="AB193">
        <v>21513</v>
      </c>
      <c r="AC193" t="s">
        <v>1812</v>
      </c>
      <c r="AD193">
        <v>46.46</v>
      </c>
      <c r="AE193" t="s">
        <v>2133</v>
      </c>
      <c r="AF193" t="s">
        <v>2452</v>
      </c>
      <c r="AG193">
        <v>14753</v>
      </c>
      <c r="AH193">
        <v>786</v>
      </c>
      <c r="AJ193">
        <v>1.85</v>
      </c>
      <c r="AK193" t="b">
        <v>1</v>
      </c>
    </row>
    <row r="194" spans="1:37">
      <c r="A194" s="1" t="s">
        <v>228</v>
      </c>
      <c r="B194" t="s">
        <v>549</v>
      </c>
      <c r="C194">
        <f>HYPERLINK("https://finance.naver.com/item/coinfo.nhn?code=007070", "A007070")</f>
        <v>0</v>
      </c>
      <c r="D194">
        <f>HYPERLINK("http://comp.fnguide.com/SVO2/ASP/SVD_Consensus.asp?pGB=1&amp;gicode=A007070&amp;cID=&amp;MenuYn=Y&amp;ReportGB=&amp;NewMenuID=108&amp;stkGb=701", "GS리테일")</f>
        <v>0</v>
      </c>
      <c r="E194">
        <v>3</v>
      </c>
      <c r="F194">
        <v>27600</v>
      </c>
      <c r="G194">
        <v>-0.25</v>
      </c>
      <c r="H194">
        <v>3.39</v>
      </c>
      <c r="I194">
        <v>58986</v>
      </c>
      <c r="J194">
        <v>48864</v>
      </c>
      <c r="K194">
        <v>45268</v>
      </c>
      <c r="L194">
        <v>-113.72</v>
      </c>
      <c r="M194">
        <v>-77.04000000000001</v>
      </c>
      <c r="N194">
        <v>-64.02</v>
      </c>
      <c r="O194">
        <v>16.32</v>
      </c>
      <c r="P194" t="b">
        <v>1</v>
      </c>
      <c r="Q194">
        <v>0</v>
      </c>
      <c r="R194">
        <v>8961</v>
      </c>
      <c r="S194">
        <v>1111</v>
      </c>
      <c r="T194">
        <v>-87.59999999999999</v>
      </c>
      <c r="U194" t="s">
        <v>870</v>
      </c>
      <c r="V194" t="s">
        <v>1191</v>
      </c>
      <c r="W194">
        <v>-13.70359083770673</v>
      </c>
      <c r="X194">
        <v>-90</v>
      </c>
      <c r="Y194" t="s">
        <v>1501</v>
      </c>
      <c r="Z194">
        <v>-10.19298512138098</v>
      </c>
      <c r="AA194">
        <v>28902</v>
      </c>
      <c r="AB194">
        <v>113828</v>
      </c>
      <c r="AC194" t="s">
        <v>1813</v>
      </c>
      <c r="AD194">
        <v>57.9</v>
      </c>
      <c r="AE194" t="s">
        <v>2134</v>
      </c>
      <c r="AF194" t="s">
        <v>2453</v>
      </c>
      <c r="AG194">
        <v>97657</v>
      </c>
      <c r="AH194">
        <v>2085</v>
      </c>
      <c r="AI194">
        <v>2537897</v>
      </c>
      <c r="AJ194">
        <v>3.95</v>
      </c>
      <c r="AK194" t="b">
        <v>1</v>
      </c>
    </row>
    <row r="195" spans="1:37">
      <c r="A195" s="1" t="s">
        <v>229</v>
      </c>
      <c r="B195" t="s">
        <v>550</v>
      </c>
      <c r="C195">
        <f>HYPERLINK("https://finance.naver.com/item/coinfo.nhn?code=005880", "A005880")</f>
        <v>0</v>
      </c>
      <c r="D195">
        <f>HYPERLINK("http://comp.fnguide.com/SVO2/ASP/SVD_Consensus.asp?pGB=1&amp;gicode=A005880&amp;cID=&amp;MenuYn=Y&amp;ReportGB=&amp;NewMenuID=108&amp;stkGb=701", "대한해운")</f>
        <v>0</v>
      </c>
      <c r="E195">
        <v>3</v>
      </c>
      <c r="F195">
        <v>2180</v>
      </c>
      <c r="G195">
        <v>0.11</v>
      </c>
      <c r="H195">
        <v>3.15</v>
      </c>
      <c r="I195">
        <v>5347</v>
      </c>
      <c r="J195">
        <v>4709</v>
      </c>
      <c r="K195">
        <v>4483</v>
      </c>
      <c r="L195">
        <v>-145.27</v>
      </c>
      <c r="M195">
        <v>-116.02</v>
      </c>
      <c r="N195">
        <v>-105.63</v>
      </c>
      <c r="O195">
        <v>14.23</v>
      </c>
      <c r="P195" t="b">
        <v>1</v>
      </c>
      <c r="Q195">
        <v>0</v>
      </c>
      <c r="R195">
        <v>838</v>
      </c>
      <c r="S195">
        <v>724</v>
      </c>
      <c r="T195">
        <v>-13.6</v>
      </c>
      <c r="U195" t="s">
        <v>871</v>
      </c>
      <c r="V195" t="s">
        <v>1192</v>
      </c>
      <c r="W195">
        <v>28.18543954870334</v>
      </c>
      <c r="X195">
        <v>-16.2</v>
      </c>
      <c r="Y195" t="s">
        <v>1502</v>
      </c>
      <c r="Z195">
        <v>8.965417857642777</v>
      </c>
      <c r="AA195">
        <v>6958</v>
      </c>
      <c r="AB195">
        <v>1843599</v>
      </c>
      <c r="AC195" t="s">
        <v>1814</v>
      </c>
      <c r="AD195">
        <v>49.35</v>
      </c>
      <c r="AE195" t="s">
        <v>2135</v>
      </c>
      <c r="AF195" t="s">
        <v>2454</v>
      </c>
      <c r="AG195">
        <v>11538</v>
      </c>
      <c r="AH195">
        <v>2039</v>
      </c>
      <c r="AI195">
        <v>8386070</v>
      </c>
      <c r="AK195" t="b">
        <v>1</v>
      </c>
    </row>
    <row r="196" spans="1:37">
      <c r="A196" s="1" t="s">
        <v>230</v>
      </c>
      <c r="B196" t="s">
        <v>551</v>
      </c>
      <c r="C196">
        <f>HYPERLINK("https://finance.naver.com/item/coinfo.nhn?code=023460", "A023460")</f>
        <v>0</v>
      </c>
      <c r="D196">
        <f>HYPERLINK("http://comp.fnguide.com/SVO2/ASP/SVD_Consensus.asp?pGB=1&amp;gicode=A023460&amp;cID=&amp;MenuYn=Y&amp;ReportGB=&amp;NewMenuID=108&amp;stkGb=701", "CNH")</f>
        <v>0</v>
      </c>
      <c r="E196">
        <v>3</v>
      </c>
      <c r="F196">
        <v>2590</v>
      </c>
      <c r="G196">
        <v>0</v>
      </c>
      <c r="H196">
        <v>58.68</v>
      </c>
      <c r="I196">
        <v>4152</v>
      </c>
      <c r="J196">
        <v>4073</v>
      </c>
      <c r="K196">
        <v>4045</v>
      </c>
      <c r="L196">
        <v>-60.33</v>
      </c>
      <c r="M196">
        <v>-57.27</v>
      </c>
      <c r="N196">
        <v>-56.18</v>
      </c>
      <c r="O196">
        <v>11.43</v>
      </c>
      <c r="P196" t="b">
        <v>0</v>
      </c>
      <c r="Q196">
        <v>0</v>
      </c>
      <c r="R196">
        <v>43</v>
      </c>
      <c r="U196" t="s">
        <v>872</v>
      </c>
      <c r="V196" t="s">
        <v>1193</v>
      </c>
      <c r="W196">
        <v>0</v>
      </c>
      <c r="Y196" t="s">
        <v>1321</v>
      </c>
      <c r="Z196">
        <v>41.09548885510477</v>
      </c>
      <c r="AA196">
        <v>963</v>
      </c>
      <c r="AB196">
        <v>53511</v>
      </c>
      <c r="AC196" t="s">
        <v>1815</v>
      </c>
      <c r="AD196">
        <v>66.56999999999999</v>
      </c>
      <c r="AE196" t="s">
        <v>2136</v>
      </c>
      <c r="AF196" t="s">
        <v>2455</v>
      </c>
      <c r="AG196">
        <v>328</v>
      </c>
      <c r="AH196">
        <v>-18</v>
      </c>
      <c r="AI196">
        <v>4119503</v>
      </c>
      <c r="AJ196">
        <v>0.79</v>
      </c>
      <c r="AK196" t="b">
        <v>1</v>
      </c>
    </row>
    <row r="197" spans="1:37">
      <c r="A197" s="1" t="s">
        <v>231</v>
      </c>
      <c r="B197" t="s">
        <v>552</v>
      </c>
      <c r="C197">
        <f>HYPERLINK("https://finance.naver.com/item/coinfo.nhn?code=068790", "A068790")</f>
        <v>0</v>
      </c>
      <c r="D197">
        <f>HYPERLINK("http://comp.fnguide.com/SVO2/ASP/SVD_Consensus.asp?pGB=1&amp;gicode=A068790&amp;cID=&amp;MenuYn=Y&amp;ReportGB=&amp;NewMenuID=108&amp;stkGb=701", "DMS")</f>
        <v>0</v>
      </c>
      <c r="E197">
        <v>3</v>
      </c>
      <c r="F197">
        <v>6910</v>
      </c>
      <c r="G197">
        <v>0</v>
      </c>
      <c r="H197">
        <v>5.02</v>
      </c>
      <c r="I197">
        <v>15141</v>
      </c>
      <c r="J197">
        <v>12860</v>
      </c>
      <c r="K197">
        <v>12050</v>
      </c>
      <c r="L197">
        <v>-119.11</v>
      </c>
      <c r="M197">
        <v>-86.11</v>
      </c>
      <c r="N197">
        <v>-74.38</v>
      </c>
      <c r="O197">
        <v>15.42</v>
      </c>
      <c r="P197" t="b">
        <v>1</v>
      </c>
      <c r="Q197">
        <v>0</v>
      </c>
      <c r="R197">
        <v>1347</v>
      </c>
      <c r="U197" t="s">
        <v>873</v>
      </c>
      <c r="V197" t="s">
        <v>1194</v>
      </c>
      <c r="W197">
        <v>0</v>
      </c>
      <c r="X197">
        <v>6.9</v>
      </c>
      <c r="Y197" t="s">
        <v>1503</v>
      </c>
      <c r="Z197">
        <v>53.1963745769126</v>
      </c>
      <c r="AA197">
        <v>1698</v>
      </c>
      <c r="AB197">
        <v>223360</v>
      </c>
      <c r="AC197" t="s">
        <v>1816</v>
      </c>
      <c r="AD197">
        <v>23</v>
      </c>
      <c r="AE197" t="s">
        <v>2137</v>
      </c>
      <c r="AF197" t="s">
        <v>2456</v>
      </c>
      <c r="AG197">
        <v>2254</v>
      </c>
      <c r="AH197">
        <v>320</v>
      </c>
      <c r="AI197">
        <v>133797</v>
      </c>
      <c r="AJ197">
        <v>1.48</v>
      </c>
      <c r="AK197" t="b">
        <v>1</v>
      </c>
    </row>
    <row r="198" spans="1:37">
      <c r="A198" s="1" t="s">
        <v>232</v>
      </c>
      <c r="B198" t="s">
        <v>553</v>
      </c>
      <c r="C198">
        <f>HYPERLINK("https://finance.naver.com/item/coinfo.nhn?code=007700", "A007700")</f>
        <v>0</v>
      </c>
      <c r="D198">
        <f>HYPERLINK("http://comp.fnguide.com/SVO2/ASP/SVD_Consensus.asp?pGB=1&amp;gicode=A007700&amp;cID=&amp;MenuYn=Y&amp;ReportGB=&amp;NewMenuID=108&amp;stkGb=701", "F&amp;F홀딩스")</f>
        <v>0</v>
      </c>
      <c r="E198">
        <v>3</v>
      </c>
      <c r="F198">
        <v>30400</v>
      </c>
      <c r="G198">
        <v>0</v>
      </c>
      <c r="H198">
        <v>0.38</v>
      </c>
      <c r="I198">
        <v>389223</v>
      </c>
      <c r="J198">
        <v>209791</v>
      </c>
      <c r="K198">
        <v>146048</v>
      </c>
      <c r="L198">
        <v>-1180.34</v>
      </c>
      <c r="M198">
        <v>-590.1</v>
      </c>
      <c r="N198">
        <v>-380.42</v>
      </c>
      <c r="O198">
        <v>86.66</v>
      </c>
      <c r="P198" t="b">
        <v>1</v>
      </c>
      <c r="Q198">
        <v>0</v>
      </c>
      <c r="R198">
        <v>87636</v>
      </c>
      <c r="U198" t="s">
        <v>874</v>
      </c>
      <c r="V198" t="s">
        <v>1195</v>
      </c>
      <c r="W198">
        <v>0</v>
      </c>
      <c r="X198">
        <v>-98.3</v>
      </c>
      <c r="Y198" t="s">
        <v>1504</v>
      </c>
      <c r="Z198">
        <v>-21.08370130481351</v>
      </c>
      <c r="AA198">
        <v>11891</v>
      </c>
      <c r="AB198">
        <v>273739</v>
      </c>
      <c r="AC198" t="s">
        <v>1817</v>
      </c>
      <c r="AD198">
        <v>91.70999999999999</v>
      </c>
      <c r="AE198" t="s">
        <v>2138</v>
      </c>
      <c r="AF198" t="s">
        <v>2457</v>
      </c>
      <c r="AG198">
        <v>7271</v>
      </c>
      <c r="AH198">
        <v>2231</v>
      </c>
      <c r="AI198">
        <v>44474</v>
      </c>
      <c r="AJ198">
        <v>0.51</v>
      </c>
      <c r="AK198" t="b">
        <v>1</v>
      </c>
    </row>
    <row r="199" spans="1:37">
      <c r="A199" s="1" t="s">
        <v>233</v>
      </c>
      <c r="B199" t="s">
        <v>554</v>
      </c>
      <c r="C199">
        <f>HYPERLINK("https://finance.naver.com/item/coinfo.nhn?code=001880", "A001880")</f>
        <v>0</v>
      </c>
      <c r="D199">
        <f>HYPERLINK("http://comp.fnguide.com/SVO2/ASP/SVD_Consensus.asp?pGB=1&amp;gicode=A001880&amp;cID=&amp;MenuYn=Y&amp;ReportGB=&amp;NewMenuID=108&amp;stkGb=701", "DL건설")</f>
        <v>0</v>
      </c>
      <c r="E199">
        <v>3</v>
      </c>
      <c r="F199">
        <v>14450</v>
      </c>
      <c r="G199">
        <v>0</v>
      </c>
      <c r="H199">
        <v>3.6</v>
      </c>
      <c r="I199">
        <v>85620</v>
      </c>
      <c r="J199">
        <v>63344</v>
      </c>
      <c r="K199">
        <v>55431</v>
      </c>
      <c r="L199">
        <v>-492.53</v>
      </c>
      <c r="M199">
        <v>-338.37</v>
      </c>
      <c r="N199">
        <v>-283.6</v>
      </c>
      <c r="O199">
        <v>21.72</v>
      </c>
      <c r="P199" t="b">
        <v>1</v>
      </c>
      <c r="Q199">
        <v>0</v>
      </c>
      <c r="R199">
        <v>7532</v>
      </c>
      <c r="U199" t="s">
        <v>875</v>
      </c>
      <c r="V199" t="s">
        <v>1196</v>
      </c>
      <c r="W199">
        <v>0</v>
      </c>
      <c r="X199">
        <v>-70.59999999999999</v>
      </c>
      <c r="Y199" t="s">
        <v>1505</v>
      </c>
      <c r="Z199">
        <v>-12.2414875056267</v>
      </c>
      <c r="AA199">
        <v>3187</v>
      </c>
      <c r="AB199">
        <v>15940</v>
      </c>
      <c r="AC199" t="s">
        <v>1818</v>
      </c>
      <c r="AD199">
        <v>65.17</v>
      </c>
      <c r="AE199" t="s">
        <v>2139</v>
      </c>
      <c r="AF199" t="s">
        <v>2458</v>
      </c>
      <c r="AG199">
        <v>20103</v>
      </c>
      <c r="AH199">
        <v>2296</v>
      </c>
      <c r="AI199">
        <v>4263</v>
      </c>
      <c r="AJ199">
        <v>2.76</v>
      </c>
      <c r="AK199" t="b">
        <v>1</v>
      </c>
    </row>
    <row r="200" spans="1:37">
      <c r="A200" s="1" t="s">
        <v>234</v>
      </c>
      <c r="B200" t="s">
        <v>555</v>
      </c>
      <c r="C200">
        <f>HYPERLINK("https://finance.naver.com/item/coinfo.nhn?code=009460", "A009460")</f>
        <v>0</v>
      </c>
      <c r="D200">
        <f>HYPERLINK("http://comp.fnguide.com/SVO2/ASP/SVD_Consensus.asp?pGB=1&amp;gicode=A009460&amp;cID=&amp;MenuYn=Y&amp;ReportGB=&amp;NewMenuID=108&amp;stkGb=701", "한창제지")</f>
        <v>0</v>
      </c>
      <c r="E200">
        <v>3</v>
      </c>
      <c r="F200">
        <v>1445</v>
      </c>
      <c r="G200">
        <v>0</v>
      </c>
      <c r="H200">
        <v>8.140000000000001</v>
      </c>
      <c r="I200">
        <v>2113</v>
      </c>
      <c r="J200">
        <v>1957</v>
      </c>
      <c r="K200">
        <v>1902</v>
      </c>
      <c r="L200">
        <v>-46.23</v>
      </c>
      <c r="M200">
        <v>-35.46</v>
      </c>
      <c r="N200">
        <v>-31.63</v>
      </c>
      <c r="O200">
        <v>12.8</v>
      </c>
      <c r="P200" t="b">
        <v>1</v>
      </c>
      <c r="Q200">
        <v>0</v>
      </c>
      <c r="R200">
        <v>252</v>
      </c>
      <c r="U200" t="s">
        <v>876</v>
      </c>
      <c r="V200" t="s">
        <v>1197</v>
      </c>
      <c r="W200">
        <v>0</v>
      </c>
      <c r="X200">
        <v>-63.5</v>
      </c>
      <c r="Y200" t="s">
        <v>1506</v>
      </c>
      <c r="Z200">
        <v>-14.24556796714687</v>
      </c>
      <c r="AA200">
        <v>862</v>
      </c>
      <c r="AB200">
        <v>128750</v>
      </c>
      <c r="AC200" t="s">
        <v>1819</v>
      </c>
      <c r="AD200">
        <v>39.91</v>
      </c>
      <c r="AE200" t="s">
        <v>2140</v>
      </c>
      <c r="AF200" t="s">
        <v>2459</v>
      </c>
      <c r="AG200">
        <v>1822</v>
      </c>
      <c r="AH200">
        <v>178</v>
      </c>
      <c r="AJ200">
        <v>0.98</v>
      </c>
      <c r="AK200" t="b">
        <v>1</v>
      </c>
    </row>
    <row r="201" spans="1:37">
      <c r="A201" s="1" t="s">
        <v>235</v>
      </c>
      <c r="B201" t="s">
        <v>556</v>
      </c>
      <c r="C201">
        <f>HYPERLINK("https://finance.naver.com/item/coinfo.nhn?code=036640", "A036640")</f>
        <v>0</v>
      </c>
      <c r="D201">
        <f>HYPERLINK("http://comp.fnguide.com/SVO2/ASP/SVD_Consensus.asp?pGB=1&amp;gicode=A036640&amp;cID=&amp;MenuYn=Y&amp;ReportGB=&amp;NewMenuID=108&amp;stkGb=701", "HRS")</f>
        <v>0</v>
      </c>
      <c r="E201">
        <v>3</v>
      </c>
      <c r="F201">
        <v>5510</v>
      </c>
      <c r="G201">
        <v>0</v>
      </c>
      <c r="H201">
        <v>5.68</v>
      </c>
      <c r="I201">
        <v>8886</v>
      </c>
      <c r="J201">
        <v>7481</v>
      </c>
      <c r="K201">
        <v>6982</v>
      </c>
      <c r="L201">
        <v>-61.27</v>
      </c>
      <c r="M201">
        <v>-35.77</v>
      </c>
      <c r="N201">
        <v>-26.71</v>
      </c>
      <c r="O201">
        <v>15.73</v>
      </c>
      <c r="P201" t="b">
        <v>1</v>
      </c>
      <c r="Q201">
        <v>0</v>
      </c>
      <c r="R201">
        <v>1273</v>
      </c>
      <c r="U201" t="s">
        <v>877</v>
      </c>
      <c r="V201" t="s">
        <v>1198</v>
      </c>
      <c r="W201">
        <v>0</v>
      </c>
      <c r="X201">
        <v>-49.2</v>
      </c>
      <c r="Y201" t="s">
        <v>1507</v>
      </c>
      <c r="Z201">
        <v>0</v>
      </c>
      <c r="AA201">
        <v>901</v>
      </c>
      <c r="AB201">
        <v>112645</v>
      </c>
      <c r="AC201" t="s">
        <v>1820</v>
      </c>
      <c r="AD201">
        <v>45.04</v>
      </c>
      <c r="AE201" t="s">
        <v>2141</v>
      </c>
      <c r="AF201" t="s">
        <v>2460</v>
      </c>
      <c r="AG201">
        <v>841</v>
      </c>
      <c r="AH201">
        <v>179</v>
      </c>
      <c r="AI201">
        <v>373035</v>
      </c>
      <c r="AJ201">
        <v>2.77</v>
      </c>
      <c r="AK201" t="b">
        <v>1</v>
      </c>
    </row>
    <row r="202" spans="1:37">
      <c r="A202" s="1" t="s">
        <v>236</v>
      </c>
      <c r="B202" t="s">
        <v>557</v>
      </c>
      <c r="C202">
        <f>HYPERLINK("https://finance.naver.com/item/coinfo.nhn?code=084010", "A084010")</f>
        <v>0</v>
      </c>
      <c r="D202">
        <f>HYPERLINK("http://comp.fnguide.com/SVO2/ASP/SVD_Consensus.asp?pGB=1&amp;gicode=A084010&amp;cID=&amp;MenuYn=Y&amp;ReportGB=&amp;NewMenuID=108&amp;stkGb=701", "대한제강")</f>
        <v>0</v>
      </c>
      <c r="E202">
        <v>3</v>
      </c>
      <c r="F202">
        <v>11350</v>
      </c>
      <c r="G202">
        <v>0.05</v>
      </c>
      <c r="H202">
        <v>2.71</v>
      </c>
      <c r="I202">
        <v>53663</v>
      </c>
      <c r="J202">
        <v>43802</v>
      </c>
      <c r="K202">
        <v>40299</v>
      </c>
      <c r="L202">
        <v>-372.8</v>
      </c>
      <c r="M202">
        <v>-285.92</v>
      </c>
      <c r="N202">
        <v>-255.05</v>
      </c>
      <c r="O202">
        <v>16.9</v>
      </c>
      <c r="P202" t="b">
        <v>1</v>
      </c>
      <c r="Q202">
        <v>0</v>
      </c>
      <c r="R202">
        <v>5744</v>
      </c>
      <c r="S202">
        <v>4934</v>
      </c>
      <c r="T202">
        <v>-14.1</v>
      </c>
      <c r="U202" t="s">
        <v>878</v>
      </c>
      <c r="V202" t="s">
        <v>1199</v>
      </c>
      <c r="W202">
        <v>59.20245974573373</v>
      </c>
      <c r="X202">
        <v>-21.1</v>
      </c>
      <c r="Y202" t="s">
        <v>1508</v>
      </c>
      <c r="Z202">
        <v>0</v>
      </c>
      <c r="AA202">
        <v>2797</v>
      </c>
      <c r="AB202">
        <v>65256</v>
      </c>
      <c r="AC202" t="s">
        <v>1821</v>
      </c>
      <c r="AD202">
        <v>42.85</v>
      </c>
      <c r="AE202" t="s">
        <v>2142</v>
      </c>
      <c r="AF202" t="s">
        <v>2461</v>
      </c>
      <c r="AG202">
        <v>20303</v>
      </c>
      <c r="AH202">
        <v>2018</v>
      </c>
      <c r="AI202">
        <v>6079741</v>
      </c>
      <c r="AJ202">
        <v>2.57</v>
      </c>
      <c r="AK202" t="b">
        <v>1</v>
      </c>
    </row>
    <row r="203" spans="1:37">
      <c r="A203" s="1" t="s">
        <v>237</v>
      </c>
      <c r="B203" t="s">
        <v>558</v>
      </c>
      <c r="C203">
        <f>HYPERLINK("https://finance.naver.com/item/coinfo.nhn?code=001260", "A001260")</f>
        <v>0</v>
      </c>
      <c r="D203">
        <f>HYPERLINK("http://comp.fnguide.com/SVO2/ASP/SVD_Consensus.asp?pGB=1&amp;gicode=A001260&amp;cID=&amp;MenuYn=Y&amp;ReportGB=&amp;NewMenuID=108&amp;stkGb=701", "남광토건")</f>
        <v>0</v>
      </c>
      <c r="E203">
        <v>3</v>
      </c>
      <c r="F203">
        <v>10650</v>
      </c>
      <c r="G203">
        <v>0</v>
      </c>
      <c r="H203">
        <v>6.3</v>
      </c>
      <c r="I203">
        <v>18661</v>
      </c>
      <c r="J203">
        <v>13520</v>
      </c>
      <c r="K203">
        <v>11694</v>
      </c>
      <c r="L203">
        <v>-75.22</v>
      </c>
      <c r="M203">
        <v>-26.95</v>
      </c>
      <c r="N203">
        <v>-9.800000000000001</v>
      </c>
      <c r="O203">
        <v>23.03</v>
      </c>
      <c r="P203" t="b">
        <v>1</v>
      </c>
      <c r="Q203">
        <v>0</v>
      </c>
      <c r="R203">
        <v>2206</v>
      </c>
      <c r="U203" t="s">
        <v>879</v>
      </c>
      <c r="V203" t="s">
        <v>1200</v>
      </c>
      <c r="W203">
        <v>0</v>
      </c>
      <c r="X203">
        <v>-55</v>
      </c>
      <c r="Y203" t="s">
        <v>1509</v>
      </c>
      <c r="Z203">
        <v>41.73890032667376</v>
      </c>
      <c r="AA203">
        <v>1047</v>
      </c>
      <c r="AB203">
        <v>1007098</v>
      </c>
      <c r="AC203" t="s">
        <v>1822</v>
      </c>
      <c r="AD203">
        <v>62.37</v>
      </c>
      <c r="AE203" t="s">
        <v>2143</v>
      </c>
      <c r="AF203" t="s">
        <v>2462</v>
      </c>
      <c r="AG203">
        <v>3567</v>
      </c>
      <c r="AH203">
        <v>208</v>
      </c>
      <c r="AI203">
        <v>8858</v>
      </c>
      <c r="AK203" t="b">
        <v>1</v>
      </c>
    </row>
    <row r="204" spans="1:37">
      <c r="A204" s="1" t="s">
        <v>238</v>
      </c>
      <c r="B204" t="s">
        <v>559</v>
      </c>
      <c r="C204">
        <f>HYPERLINK("https://finance.naver.com/item/coinfo.nhn?code=047040", "A047040")</f>
        <v>0</v>
      </c>
      <c r="D204">
        <f>HYPERLINK("http://comp.fnguide.com/SVO2/ASP/SVD_Consensus.asp?pGB=1&amp;gicode=A047040&amp;cID=&amp;MenuYn=Y&amp;ReportGB=&amp;NewMenuID=108&amp;stkGb=701", "대우건설")</f>
        <v>0</v>
      </c>
      <c r="E204">
        <v>3</v>
      </c>
      <c r="F204">
        <v>4640</v>
      </c>
      <c r="G204">
        <v>0.14</v>
      </c>
      <c r="H204">
        <v>4.95</v>
      </c>
      <c r="I204">
        <v>9497</v>
      </c>
      <c r="J204">
        <v>8610</v>
      </c>
      <c r="K204">
        <v>8294</v>
      </c>
      <c r="L204">
        <v>-104.68</v>
      </c>
      <c r="M204">
        <v>-85.55</v>
      </c>
      <c r="N204">
        <v>-78.76000000000001</v>
      </c>
      <c r="O204">
        <v>13.39</v>
      </c>
      <c r="P204" t="b">
        <v>1</v>
      </c>
      <c r="Q204">
        <v>3</v>
      </c>
      <c r="R204">
        <v>1166</v>
      </c>
      <c r="S204">
        <v>1240</v>
      </c>
      <c r="T204">
        <v>6.3</v>
      </c>
      <c r="U204" t="s">
        <v>880</v>
      </c>
      <c r="V204" t="s">
        <v>1201</v>
      </c>
      <c r="W204">
        <v>35.16833689290231</v>
      </c>
      <c r="X204">
        <v>4.7</v>
      </c>
      <c r="Y204" t="s">
        <v>1510</v>
      </c>
      <c r="Z204">
        <v>14.41179016820178</v>
      </c>
      <c r="AA204">
        <v>19285</v>
      </c>
      <c r="AB204">
        <v>1143100</v>
      </c>
      <c r="AC204" t="s">
        <v>1823</v>
      </c>
      <c r="AD204">
        <v>50.75</v>
      </c>
      <c r="AE204" t="s">
        <v>2144</v>
      </c>
      <c r="AF204" t="s">
        <v>2463</v>
      </c>
      <c r="AG204">
        <v>86852</v>
      </c>
      <c r="AH204">
        <v>7383</v>
      </c>
      <c r="AI204">
        <v>4736918</v>
      </c>
      <c r="AK204" t="b">
        <v>1</v>
      </c>
    </row>
    <row r="205" spans="1:37">
      <c r="A205" s="1" t="s">
        <v>239</v>
      </c>
      <c r="B205" t="s">
        <v>560</v>
      </c>
      <c r="C205">
        <f>HYPERLINK("https://finance.naver.com/item/coinfo.nhn?code=035600", "A035600")</f>
        <v>0</v>
      </c>
      <c r="D205">
        <f>HYPERLINK("http://comp.fnguide.com/SVO2/ASP/SVD_Consensus.asp?pGB=1&amp;gicode=A035600&amp;cID=&amp;MenuYn=Y&amp;ReportGB=&amp;NewMenuID=108&amp;stkGb=701", "KG이니시스")</f>
        <v>0</v>
      </c>
      <c r="E205">
        <v>3</v>
      </c>
      <c r="F205">
        <v>12450</v>
      </c>
      <c r="G205">
        <v>1.28</v>
      </c>
      <c r="H205">
        <v>11.02</v>
      </c>
      <c r="I205">
        <v>19430</v>
      </c>
      <c r="J205">
        <v>16281</v>
      </c>
      <c r="K205">
        <v>15163</v>
      </c>
      <c r="L205">
        <v>-56.07</v>
      </c>
      <c r="M205">
        <v>-30.77</v>
      </c>
      <c r="N205">
        <v>-21.79</v>
      </c>
      <c r="O205">
        <v>15.9</v>
      </c>
      <c r="P205" t="b">
        <v>1</v>
      </c>
      <c r="Q205">
        <v>2</v>
      </c>
      <c r="R205">
        <v>1725</v>
      </c>
      <c r="S205">
        <v>2294</v>
      </c>
      <c r="T205">
        <v>33</v>
      </c>
      <c r="U205" t="s">
        <v>881</v>
      </c>
      <c r="V205" t="s">
        <v>1202</v>
      </c>
      <c r="W205">
        <v>8.590240568607976</v>
      </c>
      <c r="X205">
        <v>-14.4</v>
      </c>
      <c r="Y205" t="s">
        <v>1511</v>
      </c>
      <c r="Z205">
        <v>0</v>
      </c>
      <c r="AA205">
        <v>3474</v>
      </c>
      <c r="AB205">
        <v>75705</v>
      </c>
      <c r="AC205" t="s">
        <v>1824</v>
      </c>
      <c r="AD205">
        <v>41.04</v>
      </c>
      <c r="AE205" t="s">
        <v>2145</v>
      </c>
      <c r="AF205" t="s">
        <v>2464</v>
      </c>
      <c r="AG205">
        <v>10120</v>
      </c>
      <c r="AH205">
        <v>1066</v>
      </c>
      <c r="AI205">
        <v>1285946</v>
      </c>
      <c r="AJ205">
        <v>2.11</v>
      </c>
      <c r="AK205" t="b">
        <v>1</v>
      </c>
    </row>
    <row r="206" spans="1:37">
      <c r="A206" s="1" t="s">
        <v>240</v>
      </c>
      <c r="B206" t="s">
        <v>561</v>
      </c>
      <c r="C206">
        <f>HYPERLINK("https://finance.naver.com/item/coinfo.nhn?code=003540", "A003540")</f>
        <v>0</v>
      </c>
      <c r="D206">
        <f>HYPERLINK("http://comp.fnguide.com/SVO2/ASP/SVD_Consensus.asp?pGB=1&amp;gicode=A003540&amp;cID=&amp;MenuYn=Y&amp;ReportGB=&amp;NewMenuID=108&amp;stkGb=701", "대신증권")</f>
        <v>0</v>
      </c>
      <c r="E206">
        <v>3</v>
      </c>
      <c r="F206">
        <v>13100</v>
      </c>
      <c r="G206">
        <v>0.08</v>
      </c>
      <c r="H206">
        <v>2.62</v>
      </c>
      <c r="I206">
        <v>110591</v>
      </c>
      <c r="J206">
        <v>91303</v>
      </c>
      <c r="K206">
        <v>84450</v>
      </c>
      <c r="L206">
        <v>-744.21</v>
      </c>
      <c r="M206">
        <v>-596.97</v>
      </c>
      <c r="N206">
        <v>-544.66</v>
      </c>
      <c r="O206">
        <v>16.45</v>
      </c>
      <c r="P206" t="b">
        <v>1</v>
      </c>
      <c r="Q206">
        <v>0</v>
      </c>
      <c r="R206">
        <v>7106</v>
      </c>
      <c r="S206">
        <v>2570</v>
      </c>
      <c r="T206">
        <v>-63.8</v>
      </c>
      <c r="U206" t="s">
        <v>882</v>
      </c>
      <c r="V206" t="s">
        <v>1203</v>
      </c>
      <c r="W206">
        <v>33.05299446537846</v>
      </c>
      <c r="X206">
        <v>9.199999999999999</v>
      </c>
      <c r="Y206" t="s">
        <v>1512</v>
      </c>
      <c r="Z206">
        <v>10.76103355308122</v>
      </c>
      <c r="AA206">
        <v>6651</v>
      </c>
      <c r="AB206">
        <v>49501</v>
      </c>
      <c r="AC206" t="s">
        <v>1825</v>
      </c>
      <c r="AD206">
        <v>15.98</v>
      </c>
      <c r="AE206" t="s">
        <v>2146</v>
      </c>
      <c r="AF206" t="s">
        <v>2465</v>
      </c>
      <c r="AG206">
        <v>13607</v>
      </c>
      <c r="AH206">
        <v>8855</v>
      </c>
      <c r="AI206">
        <v>15379028</v>
      </c>
      <c r="AJ206">
        <v>7.51</v>
      </c>
      <c r="AK206" t="b">
        <v>1</v>
      </c>
    </row>
    <row r="207" spans="1:37">
      <c r="A207" s="1" t="s">
        <v>241</v>
      </c>
      <c r="B207" t="s">
        <v>562</v>
      </c>
      <c r="C207">
        <f>HYPERLINK("https://finance.naver.com/item/coinfo.nhn?code=246690", "A246690")</f>
        <v>0</v>
      </c>
      <c r="D207">
        <f>HYPERLINK("http://comp.fnguide.com/SVO2/ASP/SVD_Consensus.asp?pGB=1&amp;gicode=A246690&amp;cID=&amp;MenuYn=Y&amp;ReportGB=&amp;NewMenuID=108&amp;stkGb=701", "TS인베스트먼트")</f>
        <v>0</v>
      </c>
      <c r="E207">
        <v>3</v>
      </c>
      <c r="F207">
        <v>1705</v>
      </c>
      <c r="G207">
        <v>0</v>
      </c>
      <c r="H207">
        <v>10.53</v>
      </c>
      <c r="I207">
        <v>2732</v>
      </c>
      <c r="J207">
        <v>2137</v>
      </c>
      <c r="K207">
        <v>1925</v>
      </c>
      <c r="L207">
        <v>-60.26</v>
      </c>
      <c r="M207">
        <v>-25.33</v>
      </c>
      <c r="N207">
        <v>-12.92</v>
      </c>
      <c r="O207">
        <v>18.76</v>
      </c>
      <c r="P207" t="b">
        <v>0</v>
      </c>
      <c r="Q207">
        <v>0</v>
      </c>
      <c r="R207">
        <v>254</v>
      </c>
      <c r="U207" t="s">
        <v>883</v>
      </c>
      <c r="V207" t="s">
        <v>1204</v>
      </c>
      <c r="W207">
        <v>0</v>
      </c>
      <c r="Y207" t="s">
        <v>1321</v>
      </c>
      <c r="Z207">
        <v>0</v>
      </c>
      <c r="AA207">
        <v>669</v>
      </c>
      <c r="AB207">
        <v>150773</v>
      </c>
      <c r="AC207" t="s">
        <v>1826</v>
      </c>
      <c r="AD207">
        <v>34.07</v>
      </c>
      <c r="AE207" t="s">
        <v>2147</v>
      </c>
      <c r="AF207" t="s">
        <v>2466</v>
      </c>
      <c r="AG207">
        <v>224</v>
      </c>
      <c r="AH207">
        <v>138</v>
      </c>
      <c r="AI207">
        <v>424916</v>
      </c>
      <c r="AJ207">
        <v>0.37</v>
      </c>
      <c r="AK207" t="b">
        <v>1</v>
      </c>
    </row>
    <row r="208" spans="1:37">
      <c r="A208" s="1" t="s">
        <v>242</v>
      </c>
      <c r="B208" t="s">
        <v>563</v>
      </c>
      <c r="C208">
        <f>HYPERLINK("https://finance.naver.com/item/coinfo.nhn?code=001680", "A001680")</f>
        <v>0</v>
      </c>
      <c r="D208">
        <f>HYPERLINK("http://comp.fnguide.com/SVO2/ASP/SVD_Consensus.asp?pGB=1&amp;gicode=A001680&amp;cID=&amp;MenuYn=Y&amp;ReportGB=&amp;NewMenuID=108&amp;stkGb=701", "대상")</f>
        <v>0</v>
      </c>
      <c r="E208">
        <v>3</v>
      </c>
      <c r="F208">
        <v>21350</v>
      </c>
      <c r="G208">
        <v>-0.88</v>
      </c>
      <c r="H208">
        <v>5.82</v>
      </c>
      <c r="I208">
        <v>38929</v>
      </c>
      <c r="J208">
        <v>37071</v>
      </c>
      <c r="K208">
        <v>36410</v>
      </c>
      <c r="L208">
        <v>-82.34</v>
      </c>
      <c r="M208">
        <v>-73.63</v>
      </c>
      <c r="N208">
        <v>-70.54000000000001</v>
      </c>
      <c r="O208">
        <v>12.12</v>
      </c>
      <c r="P208" t="b">
        <v>1</v>
      </c>
      <c r="Q208">
        <v>0</v>
      </c>
      <c r="R208">
        <v>4002</v>
      </c>
      <c r="S208">
        <v>2426</v>
      </c>
      <c r="T208">
        <v>-39.4</v>
      </c>
      <c r="U208" t="s">
        <v>884</v>
      </c>
      <c r="V208" t="s">
        <v>1205</v>
      </c>
      <c r="W208">
        <v>-6.603202166435929</v>
      </c>
      <c r="X208">
        <v>-31.3</v>
      </c>
      <c r="Y208" t="s">
        <v>1513</v>
      </c>
      <c r="Z208">
        <v>13.41723236601648</v>
      </c>
      <c r="AA208">
        <v>7397</v>
      </c>
      <c r="AB208">
        <v>64571</v>
      </c>
      <c r="AC208" t="s">
        <v>1827</v>
      </c>
      <c r="AD208">
        <v>44.27</v>
      </c>
      <c r="AE208" t="s">
        <v>2148</v>
      </c>
      <c r="AF208" t="s">
        <v>2467</v>
      </c>
      <c r="AG208">
        <v>34700</v>
      </c>
      <c r="AH208">
        <v>1532</v>
      </c>
      <c r="AJ208">
        <v>3.43</v>
      </c>
      <c r="AK208" t="b">
        <v>1</v>
      </c>
    </row>
    <row r="209" spans="1:37">
      <c r="A209" s="1" t="s">
        <v>243</v>
      </c>
      <c r="B209" t="s">
        <v>564</v>
      </c>
      <c r="C209">
        <f>HYPERLINK("https://finance.naver.com/item/coinfo.nhn?code=023590", "A023590")</f>
        <v>0</v>
      </c>
      <c r="D209">
        <f>HYPERLINK("http://comp.fnguide.com/SVO2/ASP/SVD_Consensus.asp?pGB=1&amp;gicode=A023590&amp;cID=&amp;MenuYn=Y&amp;ReportGB=&amp;NewMenuID=108&amp;stkGb=701", "다우기술")</f>
        <v>0</v>
      </c>
      <c r="E209">
        <v>3</v>
      </c>
      <c r="F209">
        <v>22700</v>
      </c>
      <c r="G209">
        <v>0</v>
      </c>
      <c r="H209">
        <v>2.72</v>
      </c>
      <c r="I209">
        <v>80105</v>
      </c>
      <c r="J209">
        <v>61988</v>
      </c>
      <c r="K209">
        <v>55551</v>
      </c>
      <c r="L209">
        <v>-252.89</v>
      </c>
      <c r="M209">
        <v>-173.07</v>
      </c>
      <c r="N209">
        <v>-144.72</v>
      </c>
      <c r="O209">
        <v>19.27</v>
      </c>
      <c r="P209" t="b">
        <v>1</v>
      </c>
      <c r="Q209">
        <v>0</v>
      </c>
      <c r="R209">
        <v>8383</v>
      </c>
      <c r="U209" t="s">
        <v>885</v>
      </c>
      <c r="V209" t="s">
        <v>1206</v>
      </c>
      <c r="W209">
        <v>0</v>
      </c>
      <c r="X209">
        <v>-30.3</v>
      </c>
      <c r="Y209" t="s">
        <v>1514</v>
      </c>
      <c r="Z209">
        <v>17.9969213356002</v>
      </c>
      <c r="AA209">
        <v>10185</v>
      </c>
      <c r="AB209">
        <v>193751</v>
      </c>
      <c r="AC209" t="s">
        <v>1828</v>
      </c>
      <c r="AD209">
        <v>47.31</v>
      </c>
      <c r="AE209" t="s">
        <v>2149</v>
      </c>
      <c r="AF209" t="s">
        <v>2468</v>
      </c>
      <c r="AG209">
        <v>60870</v>
      </c>
      <c r="AH209">
        <v>12572</v>
      </c>
      <c r="AI209">
        <v>1715768</v>
      </c>
      <c r="AJ209">
        <v>2.63</v>
      </c>
      <c r="AK209" t="b">
        <v>1</v>
      </c>
    </row>
    <row r="210" spans="1:37">
      <c r="A210" s="1" t="s">
        <v>244</v>
      </c>
      <c r="B210" t="s">
        <v>565</v>
      </c>
      <c r="C210">
        <f>HYPERLINK("https://finance.naver.com/item/coinfo.nhn?code=121440", "A121440")</f>
        <v>0</v>
      </c>
      <c r="D210">
        <f>HYPERLINK("http://comp.fnguide.com/SVO2/ASP/SVD_Consensus.asp?pGB=1&amp;gicode=A121440&amp;cID=&amp;MenuYn=Y&amp;ReportGB=&amp;NewMenuID=108&amp;stkGb=701", "골프존뉴딘홀딩스")</f>
        <v>0</v>
      </c>
      <c r="E210">
        <v>3</v>
      </c>
      <c r="F210">
        <v>4760</v>
      </c>
      <c r="G210">
        <v>0</v>
      </c>
      <c r="H210">
        <v>2.84</v>
      </c>
      <c r="I210">
        <v>18657</v>
      </c>
      <c r="J210">
        <v>16204</v>
      </c>
      <c r="K210">
        <v>15333</v>
      </c>
      <c r="L210">
        <v>-291.95</v>
      </c>
      <c r="M210">
        <v>-240.43</v>
      </c>
      <c r="N210">
        <v>-222.12</v>
      </c>
      <c r="O210">
        <v>14.67</v>
      </c>
      <c r="P210" t="b">
        <v>1</v>
      </c>
      <c r="Q210">
        <v>0</v>
      </c>
      <c r="R210">
        <v>3146</v>
      </c>
      <c r="U210" t="s">
        <v>886</v>
      </c>
      <c r="V210" t="s">
        <v>1207</v>
      </c>
      <c r="W210">
        <v>0</v>
      </c>
      <c r="X210">
        <v>44.4</v>
      </c>
      <c r="Y210" t="s">
        <v>1515</v>
      </c>
      <c r="Z210">
        <v>0</v>
      </c>
      <c r="AA210">
        <v>2039</v>
      </c>
      <c r="AB210">
        <v>105985</v>
      </c>
      <c r="AC210" t="s">
        <v>1829</v>
      </c>
      <c r="AD210">
        <v>55.54</v>
      </c>
      <c r="AE210" t="s">
        <v>2150</v>
      </c>
      <c r="AF210" t="s">
        <v>2469</v>
      </c>
      <c r="AG210">
        <v>4177</v>
      </c>
      <c r="AH210">
        <v>732</v>
      </c>
      <c r="AI210">
        <v>77616</v>
      </c>
      <c r="AJ210">
        <v>1.57</v>
      </c>
      <c r="AK210" t="b">
        <v>1</v>
      </c>
    </row>
    <row r="211" spans="1:37">
      <c r="A211" s="1" t="s">
        <v>245</v>
      </c>
      <c r="B211" t="s">
        <v>566</v>
      </c>
      <c r="C211">
        <f>HYPERLINK("https://finance.naver.com/item/coinfo.nhn?code=000880", "A000880")</f>
        <v>0</v>
      </c>
      <c r="D211">
        <f>HYPERLINK("http://comp.fnguide.com/SVO2/ASP/SVD_Consensus.asp?pGB=1&amp;gicode=A000880&amp;cID=&amp;MenuYn=Y&amp;ReportGB=&amp;NewMenuID=108&amp;stkGb=701", "한화")</f>
        <v>0</v>
      </c>
      <c r="E211">
        <v>3</v>
      </c>
      <c r="F211">
        <v>28000</v>
      </c>
      <c r="G211">
        <v>0.02</v>
      </c>
      <c r="H211">
        <v>3.41</v>
      </c>
      <c r="I211">
        <v>70970</v>
      </c>
      <c r="J211">
        <v>67924</v>
      </c>
      <c r="K211">
        <v>66841</v>
      </c>
      <c r="L211">
        <v>-153.47</v>
      </c>
      <c r="M211">
        <v>-142.58</v>
      </c>
      <c r="N211">
        <v>-138.72</v>
      </c>
      <c r="O211">
        <v>11.99</v>
      </c>
      <c r="P211" t="b">
        <v>1</v>
      </c>
      <c r="Q211">
        <v>3</v>
      </c>
      <c r="R211">
        <v>9203</v>
      </c>
      <c r="S211">
        <v>12274</v>
      </c>
      <c r="T211">
        <v>33.4</v>
      </c>
      <c r="U211" t="s">
        <v>887</v>
      </c>
      <c r="V211" t="s">
        <v>1208</v>
      </c>
      <c r="W211">
        <v>137.2768817616935</v>
      </c>
      <c r="X211">
        <v>58.7</v>
      </c>
      <c r="Y211" t="s">
        <v>1516</v>
      </c>
      <c r="Z211">
        <v>28.67916864526769</v>
      </c>
      <c r="AA211">
        <v>20988</v>
      </c>
      <c r="AB211">
        <v>143349</v>
      </c>
      <c r="AC211" t="s">
        <v>1830</v>
      </c>
      <c r="AD211">
        <v>43.61</v>
      </c>
      <c r="AE211" t="s">
        <v>2151</v>
      </c>
      <c r="AF211" t="s">
        <v>2470</v>
      </c>
      <c r="AG211">
        <v>528361</v>
      </c>
      <c r="AH211">
        <v>29279</v>
      </c>
      <c r="AI211">
        <v>1132437</v>
      </c>
      <c r="AJ211">
        <v>2.39</v>
      </c>
      <c r="AK211" t="b">
        <v>1</v>
      </c>
    </row>
    <row r="212" spans="1:37">
      <c r="A212" s="1" t="s">
        <v>246</v>
      </c>
      <c r="B212" t="s">
        <v>567</v>
      </c>
      <c r="C212">
        <f>HYPERLINK("https://finance.naver.com/item/coinfo.nhn?code=192080", "A192080")</f>
        <v>0</v>
      </c>
      <c r="D212">
        <f>HYPERLINK("http://comp.fnguide.com/SVO2/ASP/SVD_Consensus.asp?pGB=1&amp;gicode=A192080&amp;cID=&amp;MenuYn=Y&amp;ReportGB=&amp;NewMenuID=108&amp;stkGb=701", "더블유게임즈")</f>
        <v>0</v>
      </c>
      <c r="E212">
        <v>3</v>
      </c>
      <c r="F212">
        <v>49850</v>
      </c>
      <c r="G212">
        <v>-0.23</v>
      </c>
      <c r="H212">
        <v>8.48</v>
      </c>
      <c r="I212">
        <v>78513</v>
      </c>
      <c r="J212">
        <v>63845</v>
      </c>
      <c r="K212">
        <v>58634</v>
      </c>
      <c r="L212">
        <v>-57.5</v>
      </c>
      <c r="M212">
        <v>-28.07</v>
      </c>
      <c r="N212">
        <v>-17.62</v>
      </c>
      <c r="O212">
        <v>17.05</v>
      </c>
      <c r="P212" t="b">
        <v>1</v>
      </c>
      <c r="Q212">
        <v>0</v>
      </c>
      <c r="R212">
        <v>6828</v>
      </c>
      <c r="S212">
        <v>1472</v>
      </c>
      <c r="T212">
        <v>-78.40000000000001</v>
      </c>
      <c r="U212" t="s">
        <v>888</v>
      </c>
      <c r="V212" t="s">
        <v>1209</v>
      </c>
      <c r="W212">
        <v>-37.51262241036562</v>
      </c>
      <c r="X212">
        <v>-96.90000000000001</v>
      </c>
      <c r="Y212" t="s">
        <v>1517</v>
      </c>
      <c r="Z212">
        <v>-36.36062220969465</v>
      </c>
      <c r="AA212">
        <v>9160</v>
      </c>
      <c r="AB212">
        <v>53788</v>
      </c>
      <c r="AC212" t="s">
        <v>1831</v>
      </c>
      <c r="AD212">
        <v>43.54</v>
      </c>
      <c r="AE212" t="s">
        <v>2152</v>
      </c>
      <c r="AF212" t="s">
        <v>2471</v>
      </c>
      <c r="AG212">
        <v>6241</v>
      </c>
      <c r="AH212">
        <v>1904</v>
      </c>
      <c r="AI212">
        <v>1766613</v>
      </c>
      <c r="AJ212">
        <v>1.21</v>
      </c>
      <c r="AK212" t="b">
        <v>1</v>
      </c>
    </row>
    <row r="213" spans="1:37">
      <c r="A213" s="1" t="s">
        <v>247</v>
      </c>
      <c r="B213" t="s">
        <v>568</v>
      </c>
      <c r="C213">
        <f>HYPERLINK("https://finance.naver.com/item/coinfo.nhn?code=006390", "A006390")</f>
        <v>0</v>
      </c>
      <c r="D213">
        <f>HYPERLINK("http://comp.fnguide.com/SVO2/ASP/SVD_Consensus.asp?pGB=1&amp;gicode=A006390&amp;cID=&amp;MenuYn=Y&amp;ReportGB=&amp;NewMenuID=108&amp;stkGb=701", "한일현대시멘트")</f>
        <v>0</v>
      </c>
      <c r="E213">
        <v>3</v>
      </c>
      <c r="F213">
        <v>18050</v>
      </c>
      <c r="G213">
        <v>0</v>
      </c>
      <c r="H213">
        <v>14.41</v>
      </c>
      <c r="I213">
        <v>29933</v>
      </c>
      <c r="J213">
        <v>22983</v>
      </c>
      <c r="K213">
        <v>20514</v>
      </c>
      <c r="L213">
        <v>-65.83</v>
      </c>
      <c r="M213">
        <v>-27.33</v>
      </c>
      <c r="N213">
        <v>-13.65</v>
      </c>
      <c r="O213">
        <v>19.67</v>
      </c>
      <c r="P213" t="b">
        <v>1</v>
      </c>
      <c r="Q213">
        <v>0</v>
      </c>
      <c r="R213">
        <v>2310</v>
      </c>
      <c r="U213" t="s">
        <v>889</v>
      </c>
      <c r="V213" t="s">
        <v>1210</v>
      </c>
      <c r="W213">
        <v>0</v>
      </c>
      <c r="X213">
        <v>-9.199999999999999</v>
      </c>
      <c r="Y213" t="s">
        <v>1518</v>
      </c>
      <c r="Z213">
        <v>0</v>
      </c>
      <c r="AA213">
        <v>3489</v>
      </c>
      <c r="AB213">
        <v>5387</v>
      </c>
      <c r="AC213" t="s">
        <v>1832</v>
      </c>
      <c r="AD213">
        <v>73.31999999999999</v>
      </c>
      <c r="AE213" t="s">
        <v>2153</v>
      </c>
      <c r="AF213" t="s">
        <v>2472</v>
      </c>
      <c r="AG213">
        <v>3970</v>
      </c>
      <c r="AH213">
        <v>359</v>
      </c>
      <c r="AJ213">
        <v>3.6</v>
      </c>
      <c r="AK213" t="b">
        <v>1</v>
      </c>
    </row>
    <row r="214" spans="1:37">
      <c r="A214" s="1" t="s">
        <v>248</v>
      </c>
      <c r="B214" t="s">
        <v>569</v>
      </c>
      <c r="C214">
        <f>HYPERLINK("https://finance.naver.com/item/coinfo.nhn?code=001750", "A001750")</f>
        <v>0</v>
      </c>
      <c r="D214">
        <f>HYPERLINK("http://comp.fnguide.com/SVO2/ASP/SVD_Consensus.asp?pGB=1&amp;gicode=A001750&amp;cID=&amp;MenuYn=Y&amp;ReportGB=&amp;NewMenuID=108&amp;stkGb=701", "한양증권")</f>
        <v>0</v>
      </c>
      <c r="E214">
        <v>3</v>
      </c>
      <c r="F214">
        <v>8840</v>
      </c>
      <c r="G214">
        <v>0</v>
      </c>
      <c r="H214">
        <v>2.62</v>
      </c>
      <c r="I214">
        <v>49892</v>
      </c>
      <c r="J214">
        <v>41479</v>
      </c>
      <c r="K214">
        <v>38490</v>
      </c>
      <c r="L214">
        <v>-464.38</v>
      </c>
      <c r="M214">
        <v>-369.22</v>
      </c>
      <c r="N214">
        <v>-335.41</v>
      </c>
      <c r="O214">
        <v>16.19</v>
      </c>
      <c r="P214" t="b">
        <v>1</v>
      </c>
      <c r="Q214">
        <v>0</v>
      </c>
      <c r="R214">
        <v>5994</v>
      </c>
      <c r="U214" t="s">
        <v>890</v>
      </c>
      <c r="V214" t="s">
        <v>1211</v>
      </c>
      <c r="W214">
        <v>0</v>
      </c>
      <c r="X214">
        <v>7.5</v>
      </c>
      <c r="Y214" t="s">
        <v>1519</v>
      </c>
      <c r="Z214">
        <v>10.13783079020938</v>
      </c>
      <c r="AA214">
        <v>1125</v>
      </c>
      <c r="AB214">
        <v>7998</v>
      </c>
      <c r="AC214" t="s">
        <v>1833</v>
      </c>
      <c r="AD214">
        <v>41.07</v>
      </c>
      <c r="AE214" t="s">
        <v>2154</v>
      </c>
      <c r="AF214" t="s">
        <v>2473</v>
      </c>
      <c r="AG214">
        <v>2937</v>
      </c>
      <c r="AH214">
        <v>1162</v>
      </c>
      <c r="AJ214">
        <v>5.73</v>
      </c>
      <c r="AK214" t="b">
        <v>1</v>
      </c>
    </row>
    <row r="215" spans="1:37">
      <c r="A215" s="1" t="s">
        <v>249</v>
      </c>
      <c r="B215" t="s">
        <v>570</v>
      </c>
      <c r="C215">
        <f>HYPERLINK("https://finance.naver.com/item/coinfo.nhn?code=284740", "A284740")</f>
        <v>0</v>
      </c>
      <c r="D215">
        <f>HYPERLINK("http://comp.fnguide.com/SVO2/ASP/SVD_Consensus.asp?pGB=1&amp;gicode=A284740&amp;cID=&amp;MenuYn=Y&amp;ReportGB=&amp;NewMenuID=108&amp;stkGb=701", "쿠쿠홈시스")</f>
        <v>0</v>
      </c>
      <c r="E215">
        <v>3</v>
      </c>
      <c r="F215">
        <v>29950</v>
      </c>
      <c r="G215">
        <v>0</v>
      </c>
      <c r="H215">
        <v>5.78</v>
      </c>
      <c r="I215">
        <v>55543</v>
      </c>
      <c r="J215">
        <v>41412</v>
      </c>
      <c r="K215">
        <v>36392</v>
      </c>
      <c r="L215">
        <v>-85.45</v>
      </c>
      <c r="M215">
        <v>-38.27</v>
      </c>
      <c r="N215">
        <v>-21.51</v>
      </c>
      <c r="O215">
        <v>21.26</v>
      </c>
      <c r="P215" t="b">
        <v>1</v>
      </c>
      <c r="Q215">
        <v>0</v>
      </c>
      <c r="R215">
        <v>6780</v>
      </c>
      <c r="U215" t="s">
        <v>891</v>
      </c>
      <c r="V215" t="s">
        <v>1212</v>
      </c>
      <c r="W215">
        <v>0</v>
      </c>
      <c r="X215">
        <v>-19.4</v>
      </c>
      <c r="Y215" t="s">
        <v>1520</v>
      </c>
      <c r="Z215">
        <v>122.3343751508</v>
      </c>
      <c r="AA215">
        <v>6720</v>
      </c>
      <c r="AB215">
        <v>15500</v>
      </c>
      <c r="AC215" t="s">
        <v>1834</v>
      </c>
      <c r="AD215">
        <v>70.09</v>
      </c>
      <c r="AE215" t="s">
        <v>2155</v>
      </c>
      <c r="AF215" t="s">
        <v>2474</v>
      </c>
      <c r="AG215">
        <v>8932</v>
      </c>
      <c r="AH215">
        <v>1786</v>
      </c>
      <c r="AI215">
        <v>14950</v>
      </c>
      <c r="AJ215">
        <v>1.66</v>
      </c>
      <c r="AK215" t="b">
        <v>1</v>
      </c>
    </row>
    <row r="216" spans="1:37">
      <c r="A216" s="1" t="s">
        <v>250</v>
      </c>
      <c r="B216" t="s">
        <v>571</v>
      </c>
      <c r="C216">
        <f>HYPERLINK("https://finance.naver.com/item/coinfo.nhn?code=259960", "A259960")</f>
        <v>0</v>
      </c>
      <c r="D216">
        <f>HYPERLINK("http://comp.fnguide.com/SVO2/ASP/SVD_Consensus.asp?pGB=1&amp;gicode=A259960&amp;cID=&amp;MenuYn=Y&amp;ReportGB=&amp;NewMenuID=108&amp;stkGb=701", "크래프톤")</f>
        <v>0</v>
      </c>
      <c r="E216">
        <v>3</v>
      </c>
      <c r="F216">
        <v>173500</v>
      </c>
      <c r="G216">
        <v>1.36</v>
      </c>
      <c r="H216">
        <v>40.19</v>
      </c>
      <c r="I216">
        <v>410768</v>
      </c>
      <c r="J216">
        <v>245694</v>
      </c>
      <c r="K216">
        <v>187050</v>
      </c>
      <c r="L216">
        <v>-136.75</v>
      </c>
      <c r="M216">
        <v>-41.61</v>
      </c>
      <c r="N216">
        <v>-7.81</v>
      </c>
      <c r="O216">
        <v>46.09</v>
      </c>
      <c r="P216" t="b">
        <v>0</v>
      </c>
      <c r="Q216">
        <v>1</v>
      </c>
      <c r="R216">
        <v>11446</v>
      </c>
      <c r="S216">
        <v>15614</v>
      </c>
      <c r="T216">
        <v>36.4</v>
      </c>
      <c r="U216" t="s">
        <v>892</v>
      </c>
      <c r="V216" t="s">
        <v>1213</v>
      </c>
      <c r="W216">
        <v>29.4589087638554</v>
      </c>
      <c r="X216">
        <v>16.8</v>
      </c>
      <c r="Y216" t="s">
        <v>1521</v>
      </c>
      <c r="Z216">
        <v>0</v>
      </c>
      <c r="AA216">
        <v>85156</v>
      </c>
      <c r="AB216">
        <v>206391</v>
      </c>
      <c r="AC216" t="s">
        <v>1835</v>
      </c>
      <c r="AD216">
        <v>35.72</v>
      </c>
      <c r="AE216" t="s">
        <v>2156</v>
      </c>
      <c r="AF216" t="s">
        <v>2475</v>
      </c>
      <c r="AG216">
        <v>18863</v>
      </c>
      <c r="AH216">
        <v>6396</v>
      </c>
      <c r="AI216">
        <v>2167418</v>
      </c>
      <c r="AK216" t="b">
        <v>1</v>
      </c>
    </row>
    <row r="217" spans="1:37">
      <c r="A217" s="1" t="s">
        <v>251</v>
      </c>
      <c r="B217" t="s">
        <v>572</v>
      </c>
      <c r="C217">
        <f>HYPERLINK("https://finance.naver.com/item/coinfo.nhn?code=005960", "A005960")</f>
        <v>0</v>
      </c>
      <c r="D217">
        <f>HYPERLINK("http://comp.fnguide.com/SVO2/ASP/SVD_Consensus.asp?pGB=1&amp;gicode=A005960&amp;cID=&amp;MenuYn=Y&amp;ReportGB=&amp;NewMenuID=108&amp;stkGb=701", "동부건설")</f>
        <v>0</v>
      </c>
      <c r="E217">
        <v>3</v>
      </c>
      <c r="F217">
        <v>7380</v>
      </c>
      <c r="G217">
        <v>0</v>
      </c>
      <c r="H217">
        <v>2.86</v>
      </c>
      <c r="I217">
        <v>38607</v>
      </c>
      <c r="J217">
        <v>31131</v>
      </c>
      <c r="K217">
        <v>28474</v>
      </c>
      <c r="L217">
        <v>-423.13</v>
      </c>
      <c r="M217">
        <v>-321.82</v>
      </c>
      <c r="N217">
        <v>-285.83</v>
      </c>
      <c r="O217">
        <v>17.4</v>
      </c>
      <c r="P217" t="b">
        <v>1</v>
      </c>
      <c r="Q217">
        <v>0</v>
      </c>
      <c r="R217">
        <v>5102</v>
      </c>
      <c r="U217" t="s">
        <v>893</v>
      </c>
      <c r="V217" t="s">
        <v>1214</v>
      </c>
      <c r="W217">
        <v>0</v>
      </c>
      <c r="X217">
        <v>-75.90000000000001</v>
      </c>
      <c r="Y217" t="s">
        <v>1522</v>
      </c>
      <c r="Z217">
        <v>-23.10847427913573</v>
      </c>
      <c r="AA217">
        <v>1688</v>
      </c>
      <c r="AB217">
        <v>135094</v>
      </c>
      <c r="AC217" t="s">
        <v>1836</v>
      </c>
      <c r="AD217">
        <v>56.47</v>
      </c>
      <c r="AE217" t="s">
        <v>2157</v>
      </c>
      <c r="AF217" t="s">
        <v>2476</v>
      </c>
      <c r="AG217">
        <v>11449</v>
      </c>
      <c r="AH217">
        <v>613</v>
      </c>
      <c r="AI217">
        <v>4291</v>
      </c>
      <c r="AJ217">
        <v>6.16</v>
      </c>
      <c r="AK217" t="b">
        <v>1</v>
      </c>
    </row>
    <row r="218" spans="1:37">
      <c r="A218" s="1" t="s">
        <v>252</v>
      </c>
      <c r="B218" t="s">
        <v>573</v>
      </c>
      <c r="C218">
        <f>HYPERLINK("https://finance.naver.com/item/coinfo.nhn?code=039490", "A039490")</f>
        <v>0</v>
      </c>
      <c r="D218">
        <f>HYPERLINK("http://comp.fnguide.com/SVO2/ASP/SVD_Consensus.asp?pGB=1&amp;gicode=A039490&amp;cID=&amp;MenuYn=Y&amp;ReportGB=&amp;NewMenuID=108&amp;stkGb=701", "키움증권")</f>
        <v>0</v>
      </c>
      <c r="E218">
        <v>3</v>
      </c>
      <c r="F218">
        <v>97500</v>
      </c>
      <c r="G218">
        <v>0.54</v>
      </c>
      <c r="H218">
        <v>3.27</v>
      </c>
      <c r="I218">
        <v>385620</v>
      </c>
      <c r="J218">
        <v>272714</v>
      </c>
      <c r="K218">
        <v>232603</v>
      </c>
      <c r="L218">
        <v>-295.51</v>
      </c>
      <c r="M218">
        <v>-179.71</v>
      </c>
      <c r="N218">
        <v>-138.57</v>
      </c>
      <c r="O218">
        <v>24.73</v>
      </c>
      <c r="P218" t="b">
        <v>1</v>
      </c>
      <c r="Q218">
        <v>0</v>
      </c>
      <c r="R218">
        <v>32682</v>
      </c>
      <c r="S218">
        <v>17058</v>
      </c>
      <c r="T218">
        <v>-47.8</v>
      </c>
      <c r="U218" t="s">
        <v>894</v>
      </c>
      <c r="V218" t="s">
        <v>1215</v>
      </c>
      <c r="W218">
        <v>6.095217279094367</v>
      </c>
      <c r="X218">
        <v>11.4</v>
      </c>
      <c r="Y218" t="s">
        <v>1523</v>
      </c>
      <c r="Z218">
        <v>18.23656517113204</v>
      </c>
      <c r="AA218">
        <v>25564</v>
      </c>
      <c r="AB218">
        <v>99994</v>
      </c>
      <c r="AC218" t="s">
        <v>1837</v>
      </c>
      <c r="AD218">
        <v>41.38</v>
      </c>
      <c r="AE218" t="s">
        <v>2158</v>
      </c>
      <c r="AF218" t="s">
        <v>2477</v>
      </c>
      <c r="AG218">
        <v>18353</v>
      </c>
      <c r="AH218">
        <v>12089</v>
      </c>
      <c r="AI218">
        <v>1400000</v>
      </c>
      <c r="AJ218">
        <v>3.27</v>
      </c>
      <c r="AK218" t="b">
        <v>1</v>
      </c>
    </row>
    <row r="219" spans="1:37">
      <c r="A219" s="1" t="s">
        <v>253</v>
      </c>
      <c r="B219" t="s">
        <v>574</v>
      </c>
      <c r="C219">
        <f>HYPERLINK("https://finance.naver.com/item/coinfo.nhn?code=019180", "A019180")</f>
        <v>0</v>
      </c>
      <c r="D219">
        <f>HYPERLINK("http://comp.fnguide.com/SVO2/ASP/SVD_Consensus.asp?pGB=1&amp;gicode=A019180&amp;cID=&amp;MenuYn=Y&amp;ReportGB=&amp;NewMenuID=108&amp;stkGb=701", "티에이치엔")</f>
        <v>0</v>
      </c>
      <c r="E219">
        <v>3</v>
      </c>
      <c r="F219">
        <v>3805</v>
      </c>
      <c r="G219">
        <v>0</v>
      </c>
      <c r="H219">
        <v>4.58</v>
      </c>
      <c r="I219">
        <v>7326</v>
      </c>
      <c r="J219">
        <v>6007</v>
      </c>
      <c r="K219">
        <v>5538</v>
      </c>
      <c r="L219">
        <v>-92.55</v>
      </c>
      <c r="M219">
        <v>-57.86</v>
      </c>
      <c r="N219">
        <v>-45.54</v>
      </c>
      <c r="O219">
        <v>16.72</v>
      </c>
      <c r="P219" t="b">
        <v>1</v>
      </c>
      <c r="Q219">
        <v>0</v>
      </c>
      <c r="R219">
        <v>955</v>
      </c>
      <c r="U219" t="s">
        <v>895</v>
      </c>
      <c r="V219" t="s">
        <v>1216</v>
      </c>
      <c r="W219">
        <v>0</v>
      </c>
      <c r="X219">
        <v>23.1</v>
      </c>
      <c r="Y219" t="s">
        <v>1524</v>
      </c>
      <c r="Z219">
        <v>0</v>
      </c>
      <c r="AA219">
        <v>685</v>
      </c>
      <c r="AB219">
        <v>40779</v>
      </c>
      <c r="AC219" t="s">
        <v>1838</v>
      </c>
      <c r="AD219">
        <v>42.82</v>
      </c>
      <c r="AE219" t="s">
        <v>2159</v>
      </c>
      <c r="AF219" t="s">
        <v>2478</v>
      </c>
      <c r="AG219">
        <v>4027</v>
      </c>
      <c r="AH219">
        <v>198</v>
      </c>
      <c r="AJ219">
        <v>1.14</v>
      </c>
      <c r="AK219" t="b">
        <v>1</v>
      </c>
    </row>
    <row r="220" spans="1:37">
      <c r="A220" s="1" t="s">
        <v>254</v>
      </c>
      <c r="B220" t="s">
        <v>575</v>
      </c>
      <c r="C220">
        <f>HYPERLINK("https://finance.naver.com/item/coinfo.nhn?code=004720", "A004720")</f>
        <v>0</v>
      </c>
      <c r="D220">
        <f>HYPERLINK("http://comp.fnguide.com/SVO2/ASP/SVD_Consensus.asp?pGB=1&amp;gicode=A004720&amp;cID=&amp;MenuYn=Y&amp;ReportGB=&amp;NewMenuID=108&amp;stkGb=701", "팜젠사이언스")</f>
        <v>0</v>
      </c>
      <c r="E220">
        <v>3</v>
      </c>
      <c r="F220">
        <v>6910</v>
      </c>
      <c r="G220">
        <v>0</v>
      </c>
      <c r="H220">
        <v>4.77</v>
      </c>
      <c r="I220">
        <v>14527</v>
      </c>
      <c r="J220">
        <v>11099</v>
      </c>
      <c r="K220">
        <v>9882</v>
      </c>
      <c r="L220">
        <v>-110.23</v>
      </c>
      <c r="M220">
        <v>-60.63</v>
      </c>
      <c r="N220">
        <v>-43.01</v>
      </c>
      <c r="O220">
        <v>19.92</v>
      </c>
      <c r="P220" t="b">
        <v>1</v>
      </c>
      <c r="Q220">
        <v>0</v>
      </c>
      <c r="R220">
        <v>2200</v>
      </c>
      <c r="U220" t="s">
        <v>896</v>
      </c>
      <c r="V220" t="s">
        <v>1217</v>
      </c>
      <c r="W220">
        <v>0</v>
      </c>
      <c r="X220">
        <v>249.2</v>
      </c>
      <c r="Y220" t="s">
        <v>1525</v>
      </c>
      <c r="Z220">
        <v>81.93976766591764</v>
      </c>
      <c r="AA220">
        <v>1094</v>
      </c>
      <c r="AB220">
        <v>43783</v>
      </c>
      <c r="AC220" t="s">
        <v>1839</v>
      </c>
      <c r="AD220">
        <v>7.68</v>
      </c>
      <c r="AE220" t="s">
        <v>2160</v>
      </c>
      <c r="AF220" t="s">
        <v>2479</v>
      </c>
      <c r="AG220">
        <v>1099</v>
      </c>
      <c r="AH220">
        <v>-50</v>
      </c>
      <c r="AI220">
        <v>41910</v>
      </c>
      <c r="AK220" t="b">
        <v>1</v>
      </c>
    </row>
    <row r="221" spans="1:37">
      <c r="A221" s="1" t="s">
        <v>255</v>
      </c>
      <c r="B221" t="s">
        <v>576</v>
      </c>
      <c r="C221">
        <f>HYPERLINK("https://finance.naver.com/item/coinfo.nhn?code=058430", "A058430")</f>
        <v>0</v>
      </c>
      <c r="D221">
        <f>HYPERLINK("http://comp.fnguide.com/SVO2/ASP/SVD_Consensus.asp?pGB=1&amp;gicode=A058430&amp;cID=&amp;MenuYn=Y&amp;ReportGB=&amp;NewMenuID=108&amp;stkGb=701", "포스코스틸리온")</f>
        <v>0</v>
      </c>
      <c r="E221">
        <v>3</v>
      </c>
      <c r="F221">
        <v>34850</v>
      </c>
      <c r="G221">
        <v>0</v>
      </c>
      <c r="H221">
        <v>3.22</v>
      </c>
      <c r="I221">
        <v>97089</v>
      </c>
      <c r="J221">
        <v>74128</v>
      </c>
      <c r="K221">
        <v>65972</v>
      </c>
      <c r="L221">
        <v>-178.59</v>
      </c>
      <c r="M221">
        <v>-112.71</v>
      </c>
      <c r="N221">
        <v>-89.3</v>
      </c>
      <c r="O221">
        <v>19.95</v>
      </c>
      <c r="P221" t="b">
        <v>1</v>
      </c>
      <c r="Q221">
        <v>0</v>
      </c>
      <c r="R221">
        <v>17070</v>
      </c>
      <c r="U221" t="s">
        <v>897</v>
      </c>
      <c r="V221" t="s">
        <v>1218</v>
      </c>
      <c r="W221">
        <v>0</v>
      </c>
      <c r="X221">
        <v>-57.7</v>
      </c>
      <c r="Y221" t="s">
        <v>1526</v>
      </c>
      <c r="Z221">
        <v>19.21957389172842</v>
      </c>
      <c r="AA221">
        <v>2091</v>
      </c>
      <c r="AB221">
        <v>28683</v>
      </c>
      <c r="AC221" t="s">
        <v>1840</v>
      </c>
      <c r="AD221">
        <v>56.87</v>
      </c>
      <c r="AE221" t="s">
        <v>2161</v>
      </c>
      <c r="AF221" t="s">
        <v>2480</v>
      </c>
      <c r="AG221">
        <v>13473</v>
      </c>
      <c r="AH221">
        <v>1433</v>
      </c>
      <c r="AJ221">
        <v>1.82</v>
      </c>
      <c r="AK221" t="b">
        <v>1</v>
      </c>
    </row>
    <row r="222" spans="1:37">
      <c r="A222" s="1" t="s">
        <v>256</v>
      </c>
      <c r="B222" t="s">
        <v>577</v>
      </c>
      <c r="C222">
        <f>HYPERLINK("https://finance.naver.com/item/coinfo.nhn?code=044450", "A044450")</f>
        <v>0</v>
      </c>
      <c r="D222">
        <f>HYPERLINK("http://comp.fnguide.com/SVO2/ASP/SVD_Consensus.asp?pGB=1&amp;gicode=A044450&amp;cID=&amp;MenuYn=Y&amp;ReportGB=&amp;NewMenuID=108&amp;stkGb=701", "KSS해운")</f>
        <v>0</v>
      </c>
      <c r="E222">
        <v>3</v>
      </c>
      <c r="F222">
        <v>9220</v>
      </c>
      <c r="G222">
        <v>0</v>
      </c>
      <c r="H222">
        <v>4.9</v>
      </c>
      <c r="I222">
        <v>16848</v>
      </c>
      <c r="J222">
        <v>15969</v>
      </c>
      <c r="K222">
        <v>15656</v>
      </c>
      <c r="L222">
        <v>-82.73</v>
      </c>
      <c r="M222">
        <v>-73.2</v>
      </c>
      <c r="N222">
        <v>-69.81</v>
      </c>
      <c r="O222">
        <v>12.23</v>
      </c>
      <c r="P222" t="b">
        <v>1</v>
      </c>
      <c r="Q222">
        <v>0</v>
      </c>
      <c r="R222">
        <v>2418</v>
      </c>
      <c r="U222" t="s">
        <v>898</v>
      </c>
      <c r="V222" t="s">
        <v>1219</v>
      </c>
      <c r="W222">
        <v>0</v>
      </c>
      <c r="X222">
        <v>30</v>
      </c>
      <c r="Y222" t="s">
        <v>1527</v>
      </c>
      <c r="Z222">
        <v>23.18724798567893</v>
      </c>
      <c r="AA222">
        <v>2129</v>
      </c>
      <c r="AB222">
        <v>24327</v>
      </c>
      <c r="AC222" t="s">
        <v>1841</v>
      </c>
      <c r="AD222">
        <v>30.28</v>
      </c>
      <c r="AE222" t="s">
        <v>2162</v>
      </c>
      <c r="AF222" t="s">
        <v>2481</v>
      </c>
      <c r="AG222">
        <v>3240</v>
      </c>
      <c r="AH222">
        <v>581</v>
      </c>
      <c r="AI222">
        <v>508355</v>
      </c>
      <c r="AJ222">
        <v>2.95</v>
      </c>
      <c r="AK222" t="b">
        <v>1</v>
      </c>
    </row>
    <row r="223" spans="1:37">
      <c r="A223" s="1" t="s">
        <v>257</v>
      </c>
      <c r="B223" t="s">
        <v>578</v>
      </c>
      <c r="C223">
        <f>HYPERLINK("https://finance.naver.com/item/coinfo.nhn?code=005810", "A005810")</f>
        <v>0</v>
      </c>
      <c r="D223">
        <f>HYPERLINK("http://comp.fnguide.com/SVO2/ASP/SVD_Consensus.asp?pGB=1&amp;gicode=A005810&amp;cID=&amp;MenuYn=Y&amp;ReportGB=&amp;NewMenuID=108&amp;stkGb=701", "풍산홀딩스")</f>
        <v>0</v>
      </c>
      <c r="E223">
        <v>3</v>
      </c>
      <c r="F223">
        <v>28400</v>
      </c>
      <c r="G223">
        <v>0.03</v>
      </c>
      <c r="H223">
        <v>1.71</v>
      </c>
      <c r="I223">
        <v>100378</v>
      </c>
      <c r="J223">
        <v>96171</v>
      </c>
      <c r="K223">
        <v>94676</v>
      </c>
      <c r="L223">
        <v>-253.44</v>
      </c>
      <c r="M223">
        <v>-238.63</v>
      </c>
      <c r="N223">
        <v>-233.37</v>
      </c>
      <c r="O223">
        <v>11.97</v>
      </c>
      <c r="P223" t="b">
        <v>1</v>
      </c>
      <c r="Q223">
        <v>0</v>
      </c>
      <c r="R223">
        <v>16510</v>
      </c>
      <c r="S223">
        <v>7954</v>
      </c>
      <c r="T223">
        <v>-51.8</v>
      </c>
      <c r="U223" t="s">
        <v>899</v>
      </c>
      <c r="V223" t="s">
        <v>1220</v>
      </c>
      <c r="W223">
        <v>55.73938108293457</v>
      </c>
      <c r="X223">
        <v>-54.6</v>
      </c>
      <c r="Y223" t="s">
        <v>1528</v>
      </c>
      <c r="Z223">
        <v>4.933230773079633</v>
      </c>
      <c r="AA223">
        <v>2956</v>
      </c>
      <c r="AB223">
        <v>12167</v>
      </c>
      <c r="AC223" t="s">
        <v>1842</v>
      </c>
      <c r="AD223">
        <v>44.98</v>
      </c>
      <c r="AE223" t="s">
        <v>2163</v>
      </c>
      <c r="AF223" t="s">
        <v>2482</v>
      </c>
      <c r="AG223">
        <v>4878</v>
      </c>
      <c r="AH223">
        <v>968</v>
      </c>
      <c r="AI223">
        <v>822000</v>
      </c>
      <c r="AJ223">
        <v>4.95</v>
      </c>
      <c r="AK223" t="b">
        <v>1</v>
      </c>
    </row>
    <row r="224" spans="1:37">
      <c r="A224" s="1" t="s">
        <v>258</v>
      </c>
      <c r="B224" t="s">
        <v>579</v>
      </c>
      <c r="C224">
        <f>HYPERLINK("https://finance.naver.com/item/coinfo.nhn?code=071050", "A071050")</f>
        <v>0</v>
      </c>
      <c r="D224">
        <f>HYPERLINK("http://comp.fnguide.com/SVO2/ASP/SVD_Consensus.asp?pGB=1&amp;gicode=A071050&amp;cID=&amp;MenuYn=Y&amp;ReportGB=&amp;NewMenuID=108&amp;stkGb=701", "한국금융지주")</f>
        <v>0</v>
      </c>
      <c r="E224">
        <v>3</v>
      </c>
      <c r="F224">
        <v>60500</v>
      </c>
      <c r="G224">
        <v>-0.54</v>
      </c>
      <c r="H224">
        <v>2.82</v>
      </c>
      <c r="I224">
        <v>280137</v>
      </c>
      <c r="J224">
        <v>206270</v>
      </c>
      <c r="K224">
        <v>180029</v>
      </c>
      <c r="L224">
        <v>-363.04</v>
      </c>
      <c r="M224">
        <v>-240.94</v>
      </c>
      <c r="N224">
        <v>-197.57</v>
      </c>
      <c r="O224">
        <v>22.01</v>
      </c>
      <c r="P224" t="b">
        <v>1</v>
      </c>
      <c r="Q224">
        <v>0</v>
      </c>
      <c r="R224">
        <v>28650</v>
      </c>
      <c r="S224">
        <v>11682</v>
      </c>
      <c r="T224">
        <v>-59.2</v>
      </c>
      <c r="U224" t="s">
        <v>900</v>
      </c>
      <c r="V224" t="s">
        <v>1221</v>
      </c>
      <c r="W224">
        <v>-5.203316892208787</v>
      </c>
      <c r="X224">
        <v>0</v>
      </c>
      <c r="Y224" t="s">
        <v>1529</v>
      </c>
      <c r="Z224">
        <v>-0.6750597500537414</v>
      </c>
      <c r="AA224">
        <v>33714</v>
      </c>
      <c r="AB224">
        <v>305194</v>
      </c>
      <c r="AC224" t="s">
        <v>1843</v>
      </c>
      <c r="AD224">
        <v>20.7</v>
      </c>
      <c r="AE224" t="s">
        <v>2164</v>
      </c>
      <c r="AF224" t="s">
        <v>2483</v>
      </c>
      <c r="AG224">
        <v>16725</v>
      </c>
      <c r="AH224">
        <v>15210</v>
      </c>
      <c r="AI224">
        <v>2987479</v>
      </c>
      <c r="AJ224">
        <v>7.62</v>
      </c>
      <c r="AK224" t="b">
        <v>1</v>
      </c>
    </row>
    <row r="225" spans="1:37">
      <c r="A225" s="1" t="s">
        <v>259</v>
      </c>
      <c r="B225" t="s">
        <v>580</v>
      </c>
      <c r="C225">
        <f>HYPERLINK("https://finance.naver.com/item/coinfo.nhn?code=123890", "A123890")</f>
        <v>0</v>
      </c>
      <c r="D225">
        <f>HYPERLINK("http://comp.fnguide.com/SVO2/ASP/SVD_Consensus.asp?pGB=1&amp;gicode=A123890&amp;cID=&amp;MenuYn=Y&amp;ReportGB=&amp;NewMenuID=108&amp;stkGb=701", "한국자산신탁")</f>
        <v>0</v>
      </c>
      <c r="E225">
        <v>3</v>
      </c>
      <c r="F225">
        <v>3110</v>
      </c>
      <c r="G225">
        <v>0.47</v>
      </c>
      <c r="H225">
        <v>4.71</v>
      </c>
      <c r="I225">
        <v>9484</v>
      </c>
      <c r="J225">
        <v>8141</v>
      </c>
      <c r="K225">
        <v>7663</v>
      </c>
      <c r="L225">
        <v>-204.95</v>
      </c>
      <c r="M225">
        <v>-161.76</v>
      </c>
      <c r="N225">
        <v>-146.41</v>
      </c>
      <c r="O225">
        <v>15.06</v>
      </c>
      <c r="P225" t="b">
        <v>1</v>
      </c>
      <c r="Q225">
        <v>1</v>
      </c>
      <c r="R225">
        <v>867</v>
      </c>
      <c r="S225">
        <v>952</v>
      </c>
      <c r="T225">
        <v>9.800000000000001</v>
      </c>
      <c r="U225" t="s">
        <v>901</v>
      </c>
      <c r="V225" t="s">
        <v>1222</v>
      </c>
      <c r="W225">
        <v>9.980365366015121</v>
      </c>
      <c r="Y225" t="s">
        <v>1321</v>
      </c>
      <c r="Z225">
        <v>2.825023183983988</v>
      </c>
      <c r="AA225">
        <v>3856</v>
      </c>
      <c r="AB225">
        <v>52577</v>
      </c>
      <c r="AC225" t="s">
        <v>1844</v>
      </c>
      <c r="AD225">
        <v>53.62</v>
      </c>
      <c r="AE225" t="s">
        <v>2165</v>
      </c>
      <c r="AF225" t="s">
        <v>2484</v>
      </c>
      <c r="AG225">
        <v>2125</v>
      </c>
      <c r="AH225">
        <v>1479</v>
      </c>
      <c r="AI225">
        <v>1610697</v>
      </c>
      <c r="AJ225">
        <v>5.39</v>
      </c>
      <c r="AK225" t="b">
        <v>1</v>
      </c>
    </row>
    <row r="226" spans="1:37">
      <c r="A226" s="1" t="s">
        <v>260</v>
      </c>
      <c r="B226" t="s">
        <v>581</v>
      </c>
      <c r="C226">
        <f>HYPERLINK("https://finance.naver.com/item/coinfo.nhn?code=011780", "A011780")</f>
        <v>0</v>
      </c>
      <c r="D226">
        <f>HYPERLINK("http://comp.fnguide.com/SVO2/ASP/SVD_Consensus.asp?pGB=1&amp;gicode=A011780&amp;cID=&amp;MenuYn=Y&amp;ReportGB=&amp;NewMenuID=108&amp;stkGb=701", "금호석유")</f>
        <v>0</v>
      </c>
      <c r="E226">
        <v>3</v>
      </c>
      <c r="F226">
        <v>143500</v>
      </c>
      <c r="G226">
        <v>0.05</v>
      </c>
      <c r="H226">
        <v>2.83</v>
      </c>
      <c r="I226">
        <v>624299</v>
      </c>
      <c r="J226">
        <v>406097</v>
      </c>
      <c r="K226">
        <v>328580</v>
      </c>
      <c r="L226">
        <v>-335.05</v>
      </c>
      <c r="M226">
        <v>-182.99</v>
      </c>
      <c r="N226">
        <v>-128.98</v>
      </c>
      <c r="O226">
        <v>32.58</v>
      </c>
      <c r="P226" t="b">
        <v>1</v>
      </c>
      <c r="Q226">
        <v>0</v>
      </c>
      <c r="R226">
        <v>58694</v>
      </c>
      <c r="S226">
        <v>32003</v>
      </c>
      <c r="T226">
        <v>-45.5</v>
      </c>
      <c r="U226" t="s">
        <v>902</v>
      </c>
      <c r="V226" t="s">
        <v>1223</v>
      </c>
      <c r="W226">
        <v>53.78357550823936</v>
      </c>
      <c r="X226">
        <v>-47.4</v>
      </c>
      <c r="Y226" t="s">
        <v>1530</v>
      </c>
      <c r="Z226">
        <v>37.10068925234538</v>
      </c>
      <c r="AA226">
        <v>42066</v>
      </c>
      <c r="AB226">
        <v>59568</v>
      </c>
      <c r="AC226" t="s">
        <v>1845</v>
      </c>
      <c r="AD226">
        <v>26.06</v>
      </c>
      <c r="AE226" t="s">
        <v>2166</v>
      </c>
      <c r="AF226" t="s">
        <v>2485</v>
      </c>
      <c r="AG226">
        <v>84618</v>
      </c>
      <c r="AH226">
        <v>24068</v>
      </c>
      <c r="AI226">
        <v>5248834</v>
      </c>
      <c r="AJ226">
        <v>6.02</v>
      </c>
      <c r="AK226" t="b">
        <v>1</v>
      </c>
    </row>
    <row r="227" spans="1:37">
      <c r="A227" s="1" t="s">
        <v>261</v>
      </c>
      <c r="B227" t="s">
        <v>582</v>
      </c>
      <c r="C227">
        <f>HYPERLINK("https://finance.naver.com/item/coinfo.nhn?code=000970", "A000970")</f>
        <v>0</v>
      </c>
      <c r="D227">
        <f>HYPERLINK("http://comp.fnguide.com/SVO2/ASP/SVD_Consensus.asp?pGB=1&amp;gicode=A000970&amp;cID=&amp;MenuYn=Y&amp;ReportGB=&amp;NewMenuID=108&amp;stkGb=701", "한국주철관")</f>
        <v>0</v>
      </c>
      <c r="E227">
        <v>3</v>
      </c>
      <c r="F227">
        <v>7030</v>
      </c>
      <c r="G227">
        <v>0</v>
      </c>
      <c r="H227">
        <v>3.16</v>
      </c>
      <c r="I227">
        <v>18326</v>
      </c>
      <c r="J227">
        <v>16968</v>
      </c>
      <c r="K227">
        <v>16485</v>
      </c>
      <c r="L227">
        <v>-160.68</v>
      </c>
      <c r="M227">
        <v>-141.36</v>
      </c>
      <c r="N227">
        <v>-134.5</v>
      </c>
      <c r="O227">
        <v>12.82</v>
      </c>
      <c r="P227" t="b">
        <v>1</v>
      </c>
      <c r="Q227">
        <v>0</v>
      </c>
      <c r="R227">
        <v>2883</v>
      </c>
      <c r="U227" t="s">
        <v>903</v>
      </c>
      <c r="V227" t="s">
        <v>1224</v>
      </c>
      <c r="W227">
        <v>0</v>
      </c>
      <c r="X227">
        <v>-73.90000000000001</v>
      </c>
      <c r="Y227" t="s">
        <v>1531</v>
      </c>
      <c r="Z227">
        <v>7.650101474136162</v>
      </c>
      <c r="AA227">
        <v>1603</v>
      </c>
      <c r="AB227">
        <v>12344</v>
      </c>
      <c r="AC227" t="s">
        <v>1846</v>
      </c>
      <c r="AD227">
        <v>48.17</v>
      </c>
      <c r="AE227" t="s">
        <v>2167</v>
      </c>
      <c r="AF227" t="s">
        <v>2486</v>
      </c>
      <c r="AG227">
        <v>5102</v>
      </c>
      <c r="AH227">
        <v>486</v>
      </c>
      <c r="AI227">
        <v>1289530</v>
      </c>
      <c r="AJ227">
        <v>4.4</v>
      </c>
      <c r="AK227" t="b">
        <v>1</v>
      </c>
    </row>
    <row r="228" spans="1:37">
      <c r="A228" s="1" t="s">
        <v>262</v>
      </c>
      <c r="B228" t="s">
        <v>583</v>
      </c>
      <c r="C228">
        <f>HYPERLINK("https://finance.naver.com/item/coinfo.nhn?code=034830", "A034830")</f>
        <v>0</v>
      </c>
      <c r="D228">
        <f>HYPERLINK("http://comp.fnguide.com/SVO2/ASP/SVD_Consensus.asp?pGB=1&amp;gicode=A034830&amp;cID=&amp;MenuYn=Y&amp;ReportGB=&amp;NewMenuID=108&amp;stkGb=701", "한국토지신탁")</f>
        <v>0</v>
      </c>
      <c r="E228">
        <v>3</v>
      </c>
      <c r="F228">
        <v>1365</v>
      </c>
      <c r="G228">
        <v>0</v>
      </c>
      <c r="H228">
        <v>4.72</v>
      </c>
      <c r="I228">
        <v>5084</v>
      </c>
      <c r="J228">
        <v>4775</v>
      </c>
      <c r="K228">
        <v>4665</v>
      </c>
      <c r="L228">
        <v>-272.44</v>
      </c>
      <c r="M228">
        <v>-249.82</v>
      </c>
      <c r="N228">
        <v>-241.79</v>
      </c>
      <c r="O228">
        <v>12.45</v>
      </c>
      <c r="P228" t="b">
        <v>1</v>
      </c>
      <c r="Q228">
        <v>0</v>
      </c>
      <c r="R228">
        <v>552</v>
      </c>
      <c r="U228" t="s">
        <v>904</v>
      </c>
      <c r="V228" t="s">
        <v>1225</v>
      </c>
      <c r="W228">
        <v>0</v>
      </c>
      <c r="Y228" t="s">
        <v>1321</v>
      </c>
      <c r="Z228">
        <v>-10.83505472329622</v>
      </c>
      <c r="AA228">
        <v>3446</v>
      </c>
      <c r="AB228">
        <v>1119794</v>
      </c>
      <c r="AC228" t="s">
        <v>1847</v>
      </c>
      <c r="AD228">
        <v>35.46</v>
      </c>
      <c r="AE228" t="s">
        <v>2168</v>
      </c>
      <c r="AF228" t="s">
        <v>2487</v>
      </c>
      <c r="AG228">
        <v>2255</v>
      </c>
      <c r="AH228">
        <v>895</v>
      </c>
      <c r="AI228">
        <v>25652800</v>
      </c>
      <c r="AJ228">
        <v>3.84</v>
      </c>
      <c r="AK228" t="b">
        <v>1</v>
      </c>
    </row>
    <row r="229" spans="1:37">
      <c r="A229" s="1" t="s">
        <v>263</v>
      </c>
      <c r="B229" t="s">
        <v>584</v>
      </c>
      <c r="C229">
        <f>HYPERLINK("https://finance.naver.com/item/coinfo.nhn?code=001390", "A001390")</f>
        <v>0</v>
      </c>
      <c r="D229">
        <f>HYPERLINK("http://comp.fnguide.com/SVO2/ASP/SVD_Consensus.asp?pGB=1&amp;gicode=A001390&amp;cID=&amp;MenuYn=Y&amp;ReportGB=&amp;NewMenuID=108&amp;stkGb=701", "KG케미칼")</f>
        <v>0</v>
      </c>
      <c r="E229">
        <v>3</v>
      </c>
      <c r="F229">
        <v>22450</v>
      </c>
      <c r="G229">
        <v>0</v>
      </c>
      <c r="H229">
        <v>5.71</v>
      </c>
      <c r="I229">
        <v>56465</v>
      </c>
      <c r="J229">
        <v>44781</v>
      </c>
      <c r="K229">
        <v>40630</v>
      </c>
      <c r="L229">
        <v>-151.51</v>
      </c>
      <c r="M229">
        <v>-99.47</v>
      </c>
      <c r="N229">
        <v>-80.98</v>
      </c>
      <c r="O229">
        <v>18.12</v>
      </c>
      <c r="P229" t="b">
        <v>1</v>
      </c>
      <c r="Q229">
        <v>0</v>
      </c>
      <c r="R229">
        <v>5389</v>
      </c>
      <c r="U229" t="s">
        <v>905</v>
      </c>
      <c r="V229" t="s">
        <v>1226</v>
      </c>
      <c r="W229">
        <v>0</v>
      </c>
      <c r="X229">
        <v>159.7</v>
      </c>
      <c r="Y229" t="s">
        <v>1532</v>
      </c>
      <c r="Z229">
        <v>107.6137931114626</v>
      </c>
      <c r="AA229">
        <v>3113</v>
      </c>
      <c r="AB229">
        <v>32496</v>
      </c>
      <c r="AC229" t="s">
        <v>1848</v>
      </c>
      <c r="AD229">
        <v>50.3</v>
      </c>
      <c r="AE229" t="s">
        <v>2169</v>
      </c>
      <c r="AF229" t="s">
        <v>2488</v>
      </c>
      <c r="AG229">
        <v>49315</v>
      </c>
      <c r="AH229">
        <v>4672</v>
      </c>
      <c r="AI229">
        <v>70148</v>
      </c>
      <c r="AJ229">
        <v>1.63</v>
      </c>
      <c r="AK229" t="b">
        <v>1</v>
      </c>
    </row>
    <row r="230" spans="1:37">
      <c r="A230" s="1" t="s">
        <v>264</v>
      </c>
      <c r="B230" t="s">
        <v>585</v>
      </c>
      <c r="C230">
        <f>HYPERLINK("https://finance.naver.com/item/coinfo.nhn?code=007280", "A007280")</f>
        <v>0</v>
      </c>
      <c r="D230">
        <f>HYPERLINK("http://comp.fnguide.com/SVO2/ASP/SVD_Consensus.asp?pGB=1&amp;gicode=A007280&amp;cID=&amp;MenuYn=Y&amp;ReportGB=&amp;NewMenuID=108&amp;stkGb=701", "한국특강")</f>
        <v>0</v>
      </c>
      <c r="E230">
        <v>3</v>
      </c>
      <c r="F230">
        <v>2130</v>
      </c>
      <c r="G230">
        <v>0</v>
      </c>
      <c r="H230">
        <v>4.94</v>
      </c>
      <c r="I230">
        <v>3512</v>
      </c>
      <c r="J230">
        <v>2895</v>
      </c>
      <c r="K230">
        <v>2676</v>
      </c>
      <c r="L230">
        <v>-64.86</v>
      </c>
      <c r="M230">
        <v>-35.9</v>
      </c>
      <c r="N230">
        <v>-25.61</v>
      </c>
      <c r="O230">
        <v>16.51</v>
      </c>
      <c r="P230" t="b">
        <v>0</v>
      </c>
      <c r="Q230">
        <v>0</v>
      </c>
      <c r="R230">
        <v>691</v>
      </c>
      <c r="U230" t="s">
        <v>906</v>
      </c>
      <c r="V230" t="s">
        <v>1227</v>
      </c>
      <c r="W230">
        <v>0</v>
      </c>
      <c r="X230">
        <v>-21</v>
      </c>
      <c r="Y230" t="s">
        <v>1533</v>
      </c>
      <c r="Z230">
        <v>0</v>
      </c>
      <c r="AA230">
        <v>1291</v>
      </c>
      <c r="AB230">
        <v>23172</v>
      </c>
      <c r="AC230" t="s">
        <v>1849</v>
      </c>
      <c r="AD230">
        <v>48.63</v>
      </c>
      <c r="AE230" t="s">
        <v>2170</v>
      </c>
      <c r="AF230" t="s">
        <v>2489</v>
      </c>
      <c r="AG230">
        <v>6915</v>
      </c>
      <c r="AH230">
        <v>400</v>
      </c>
      <c r="AK230" t="b">
        <v>1</v>
      </c>
    </row>
    <row r="231" spans="1:37">
      <c r="A231" s="1" t="s">
        <v>265</v>
      </c>
      <c r="B231" t="s">
        <v>586</v>
      </c>
      <c r="C231">
        <f>HYPERLINK("https://finance.naver.com/item/coinfo.nhn?code=001230", "A001230")</f>
        <v>0</v>
      </c>
      <c r="D231">
        <f>HYPERLINK("http://comp.fnguide.com/SVO2/ASP/SVD_Consensus.asp?pGB=1&amp;gicode=A001230&amp;cID=&amp;MenuYn=Y&amp;ReportGB=&amp;NewMenuID=108&amp;stkGb=701", "동국제강")</f>
        <v>0</v>
      </c>
      <c r="E231">
        <v>3</v>
      </c>
      <c r="F231">
        <v>13350</v>
      </c>
      <c r="G231">
        <v>0</v>
      </c>
      <c r="H231">
        <v>2.76</v>
      </c>
      <c r="I231">
        <v>33946</v>
      </c>
      <c r="J231">
        <v>31427</v>
      </c>
      <c r="K231">
        <v>30532</v>
      </c>
      <c r="L231">
        <v>-154.28</v>
      </c>
      <c r="M231">
        <v>-135.41</v>
      </c>
      <c r="N231">
        <v>-128.7</v>
      </c>
      <c r="O231">
        <v>12.82</v>
      </c>
      <c r="P231" t="b">
        <v>1</v>
      </c>
      <c r="Q231">
        <v>3</v>
      </c>
      <c r="R231">
        <v>5769</v>
      </c>
      <c r="S231">
        <v>6780</v>
      </c>
      <c r="T231">
        <v>17.5</v>
      </c>
      <c r="U231" t="s">
        <v>907</v>
      </c>
      <c r="V231" t="s">
        <v>1228</v>
      </c>
      <c r="W231">
        <v>0</v>
      </c>
      <c r="X231">
        <v>49.6</v>
      </c>
      <c r="Y231" t="s">
        <v>1534</v>
      </c>
      <c r="Z231">
        <v>0</v>
      </c>
      <c r="AA231">
        <v>12740</v>
      </c>
      <c r="AB231">
        <v>462682</v>
      </c>
      <c r="AC231" t="s">
        <v>1850</v>
      </c>
      <c r="AD231">
        <v>26.24</v>
      </c>
      <c r="AE231" t="s">
        <v>2171</v>
      </c>
      <c r="AF231" t="s">
        <v>2490</v>
      </c>
      <c r="AG231">
        <v>72403</v>
      </c>
      <c r="AH231">
        <v>8030</v>
      </c>
      <c r="AI231">
        <v>3930280</v>
      </c>
      <c r="AJ231">
        <v>2.52</v>
      </c>
      <c r="AK231" t="b">
        <v>1</v>
      </c>
    </row>
    <row r="232" spans="1:37">
      <c r="A232" s="1" t="s">
        <v>266</v>
      </c>
      <c r="B232" t="s">
        <v>587</v>
      </c>
      <c r="C232">
        <f>HYPERLINK("https://finance.naver.com/item/coinfo.nhn?code=016450", "A016450")</f>
        <v>0</v>
      </c>
      <c r="D232">
        <f>HYPERLINK("http://comp.fnguide.com/SVO2/ASP/SVD_Consensus.asp?pGB=1&amp;gicode=A016450&amp;cID=&amp;MenuYn=Y&amp;ReportGB=&amp;NewMenuID=108&amp;stkGb=701", "한세예스24홀딩스")</f>
        <v>0</v>
      </c>
      <c r="E232">
        <v>3</v>
      </c>
      <c r="F232">
        <v>4695</v>
      </c>
      <c r="G232">
        <v>0</v>
      </c>
      <c r="H232">
        <v>7.37</v>
      </c>
      <c r="I232">
        <v>12822</v>
      </c>
      <c r="J232">
        <v>12422</v>
      </c>
      <c r="K232">
        <v>12280</v>
      </c>
      <c r="L232">
        <v>-173.11</v>
      </c>
      <c r="M232">
        <v>-164.59</v>
      </c>
      <c r="N232">
        <v>-161.56</v>
      </c>
      <c r="O232">
        <v>11.71</v>
      </c>
      <c r="P232" t="b">
        <v>1</v>
      </c>
      <c r="Q232">
        <v>0</v>
      </c>
      <c r="R232">
        <v>1007</v>
      </c>
      <c r="U232" t="s">
        <v>908</v>
      </c>
      <c r="V232" t="s">
        <v>1229</v>
      </c>
      <c r="W232">
        <v>0</v>
      </c>
      <c r="X232">
        <v>3.8</v>
      </c>
      <c r="Y232" t="s">
        <v>1535</v>
      </c>
      <c r="Z232">
        <v>0</v>
      </c>
      <c r="AA232">
        <v>1878</v>
      </c>
      <c r="AB232">
        <v>88786</v>
      </c>
      <c r="AC232" t="s">
        <v>1851</v>
      </c>
      <c r="AD232">
        <v>79.72</v>
      </c>
      <c r="AE232" t="s">
        <v>2172</v>
      </c>
      <c r="AF232" t="s">
        <v>2491</v>
      </c>
      <c r="AG232">
        <v>27989</v>
      </c>
      <c r="AH232">
        <v>1347</v>
      </c>
      <c r="AI232">
        <v>738213</v>
      </c>
      <c r="AJ232">
        <v>3.37</v>
      </c>
      <c r="AK232" t="b">
        <v>1</v>
      </c>
    </row>
    <row r="233" spans="1:37">
      <c r="A233" s="1" t="s">
        <v>267</v>
      </c>
      <c r="B233" t="s">
        <v>588</v>
      </c>
      <c r="C233">
        <f>HYPERLINK("https://finance.naver.com/item/coinfo.nhn?code=009180", "A009180")</f>
        <v>0</v>
      </c>
      <c r="D233">
        <f>HYPERLINK("http://comp.fnguide.com/SVO2/ASP/SVD_Consensus.asp?pGB=1&amp;gicode=A009180&amp;cID=&amp;MenuYn=Y&amp;ReportGB=&amp;NewMenuID=108&amp;stkGb=701", "한솔로지스틱스")</f>
        <v>0</v>
      </c>
      <c r="E233">
        <v>3</v>
      </c>
      <c r="F233">
        <v>2995</v>
      </c>
      <c r="G233">
        <v>0</v>
      </c>
      <c r="H233">
        <v>4.6</v>
      </c>
      <c r="I233">
        <v>6546</v>
      </c>
      <c r="J233">
        <v>4598</v>
      </c>
      <c r="K233">
        <v>3906</v>
      </c>
      <c r="L233">
        <v>-118.56</v>
      </c>
      <c r="M233">
        <v>-53.52</v>
      </c>
      <c r="N233">
        <v>-30.41</v>
      </c>
      <c r="O233">
        <v>25.24</v>
      </c>
      <c r="P233" t="b">
        <v>1</v>
      </c>
      <c r="Q233">
        <v>0</v>
      </c>
      <c r="R233">
        <v>855</v>
      </c>
      <c r="U233" t="s">
        <v>909</v>
      </c>
      <c r="V233" t="s">
        <v>1230</v>
      </c>
      <c r="W233">
        <v>0</v>
      </c>
      <c r="X233">
        <v>-0.6</v>
      </c>
      <c r="Y233" t="s">
        <v>1536</v>
      </c>
      <c r="Z233">
        <v>40.0086405314571</v>
      </c>
      <c r="AA233">
        <v>823</v>
      </c>
      <c r="AB233">
        <v>140477</v>
      </c>
      <c r="AC233" t="s">
        <v>1852</v>
      </c>
      <c r="AD233">
        <v>21.51</v>
      </c>
      <c r="AE233" t="s">
        <v>2173</v>
      </c>
      <c r="AF233" t="s">
        <v>2492</v>
      </c>
      <c r="AG233">
        <v>7470</v>
      </c>
      <c r="AH233">
        <v>303</v>
      </c>
      <c r="AI233">
        <v>6691</v>
      </c>
      <c r="AJ233">
        <v>1.53</v>
      </c>
      <c r="AK233" t="b">
        <v>1</v>
      </c>
    </row>
    <row r="234" spans="1:37">
      <c r="A234" s="1" t="s">
        <v>268</v>
      </c>
      <c r="B234" t="s">
        <v>589</v>
      </c>
      <c r="C234">
        <f>HYPERLINK("https://finance.naver.com/item/coinfo.nhn?code=016380", "A016380")</f>
        <v>0</v>
      </c>
      <c r="D234">
        <f>HYPERLINK("http://comp.fnguide.com/SVO2/ASP/SVD_Consensus.asp?pGB=1&amp;gicode=A016380&amp;cID=&amp;MenuYn=Y&amp;ReportGB=&amp;NewMenuID=108&amp;stkGb=701", "KG스틸")</f>
        <v>0</v>
      </c>
      <c r="E234">
        <v>3</v>
      </c>
      <c r="F234">
        <v>8020</v>
      </c>
      <c r="G234">
        <v>0</v>
      </c>
      <c r="H234">
        <v>5.55</v>
      </c>
      <c r="I234">
        <v>11888</v>
      </c>
      <c r="J234">
        <v>11685</v>
      </c>
      <c r="K234">
        <v>11613</v>
      </c>
      <c r="L234">
        <v>-48.23</v>
      </c>
      <c r="M234">
        <v>-45.7</v>
      </c>
      <c r="N234">
        <v>-44.8</v>
      </c>
      <c r="O234">
        <v>11.39</v>
      </c>
      <c r="P234" t="b">
        <v>0</v>
      </c>
      <c r="Q234">
        <v>0</v>
      </c>
      <c r="R234">
        <v>1908</v>
      </c>
      <c r="U234" t="s">
        <v>910</v>
      </c>
      <c r="V234" t="s">
        <v>1231</v>
      </c>
      <c r="W234">
        <v>0</v>
      </c>
      <c r="X234">
        <v>12.2</v>
      </c>
      <c r="Y234" t="s">
        <v>1537</v>
      </c>
      <c r="Z234">
        <v>0</v>
      </c>
      <c r="AA234">
        <v>8021</v>
      </c>
      <c r="AB234">
        <v>385077</v>
      </c>
      <c r="AC234" t="s">
        <v>1853</v>
      </c>
      <c r="AD234">
        <v>65.98999999999999</v>
      </c>
      <c r="AE234" t="s">
        <v>2174</v>
      </c>
      <c r="AF234" t="s">
        <v>2493</v>
      </c>
      <c r="AG234">
        <v>33548</v>
      </c>
      <c r="AH234">
        <v>2969</v>
      </c>
      <c r="AI234">
        <v>6585</v>
      </c>
      <c r="AJ234">
        <v>0.9399999999999999</v>
      </c>
      <c r="AK234" t="b">
        <v>1</v>
      </c>
    </row>
    <row r="235" spans="1:37">
      <c r="A235" s="1" t="s">
        <v>269</v>
      </c>
      <c r="B235" t="s">
        <v>590</v>
      </c>
      <c r="C235">
        <f>HYPERLINK("https://finance.naver.com/item/coinfo.nhn?code=175330", "A175330")</f>
        <v>0</v>
      </c>
      <c r="D235">
        <f>HYPERLINK("http://comp.fnguide.com/SVO2/ASP/SVD_Consensus.asp?pGB=1&amp;gicode=A175330&amp;cID=&amp;MenuYn=Y&amp;ReportGB=&amp;NewMenuID=108&amp;stkGb=701", "JB금융지주")</f>
        <v>0</v>
      </c>
      <c r="E235">
        <v>3</v>
      </c>
      <c r="F235">
        <v>9630</v>
      </c>
      <c r="G235">
        <v>0.17</v>
      </c>
      <c r="H235">
        <v>3.25</v>
      </c>
      <c r="I235">
        <v>22285</v>
      </c>
      <c r="J235">
        <v>21813</v>
      </c>
      <c r="K235">
        <v>21646</v>
      </c>
      <c r="L235">
        <v>-131.41</v>
      </c>
      <c r="M235">
        <v>-126.51</v>
      </c>
      <c r="N235">
        <v>-124.77</v>
      </c>
      <c r="O235">
        <v>11.48</v>
      </c>
      <c r="P235" t="b">
        <v>1</v>
      </c>
      <c r="Q235">
        <v>3</v>
      </c>
      <c r="R235">
        <v>2572</v>
      </c>
      <c r="S235">
        <v>2954</v>
      </c>
      <c r="T235">
        <v>14.9</v>
      </c>
      <c r="U235" t="s">
        <v>911</v>
      </c>
      <c r="V235" t="s">
        <v>1232</v>
      </c>
      <c r="W235">
        <v>19.40944752675864</v>
      </c>
      <c r="X235">
        <v>3.8</v>
      </c>
      <c r="Y235" t="s">
        <v>1538</v>
      </c>
      <c r="Z235">
        <v>3.539911236306237</v>
      </c>
      <c r="AA235">
        <v>18969</v>
      </c>
      <c r="AB235">
        <v>1351272</v>
      </c>
      <c r="AC235" t="s">
        <v>1854</v>
      </c>
      <c r="AD235">
        <v>14.61</v>
      </c>
      <c r="AE235" t="s">
        <v>2175</v>
      </c>
      <c r="AF235" t="s">
        <v>2494</v>
      </c>
      <c r="AG235">
        <v>18996</v>
      </c>
      <c r="AH235">
        <v>7083</v>
      </c>
      <c r="AI235">
        <v>2638819</v>
      </c>
      <c r="AJ235">
        <v>7.17</v>
      </c>
      <c r="AK235" t="b">
        <v>1</v>
      </c>
    </row>
    <row r="236" spans="1:37">
      <c r="A236" s="1" t="s">
        <v>270</v>
      </c>
      <c r="B236" t="s">
        <v>591</v>
      </c>
      <c r="C236">
        <f>HYPERLINK("https://finance.naver.com/item/coinfo.nhn?code=004960", "A004960")</f>
        <v>0</v>
      </c>
      <c r="D236">
        <f>HYPERLINK("http://comp.fnguide.com/SVO2/ASP/SVD_Consensus.asp?pGB=1&amp;gicode=A004960&amp;cID=&amp;MenuYn=Y&amp;ReportGB=&amp;NewMenuID=108&amp;stkGb=701", "한신공영")</f>
        <v>0</v>
      </c>
      <c r="E236">
        <v>3</v>
      </c>
      <c r="F236">
        <v>8900</v>
      </c>
      <c r="G236">
        <v>-0.13</v>
      </c>
      <c r="H236">
        <v>3.75</v>
      </c>
      <c r="I236">
        <v>66493</v>
      </c>
      <c r="J236">
        <v>62017</v>
      </c>
      <c r="K236">
        <v>60426</v>
      </c>
      <c r="L236">
        <v>-647.12</v>
      </c>
      <c r="M236">
        <v>-596.8200000000001</v>
      </c>
      <c r="N236">
        <v>-578.95</v>
      </c>
      <c r="O236">
        <v>12.63</v>
      </c>
      <c r="P236" t="b">
        <v>1</v>
      </c>
      <c r="Q236">
        <v>0</v>
      </c>
      <c r="R236">
        <v>4186</v>
      </c>
      <c r="S236">
        <v>2160</v>
      </c>
      <c r="T236">
        <v>-48.4</v>
      </c>
      <c r="U236" t="s">
        <v>912</v>
      </c>
      <c r="V236" t="s">
        <v>1233</v>
      </c>
      <c r="W236">
        <v>-29.68934748478977</v>
      </c>
      <c r="X236">
        <v>-5.6</v>
      </c>
      <c r="Y236" t="s">
        <v>1539</v>
      </c>
      <c r="Z236">
        <v>-9.779141207312325</v>
      </c>
      <c r="AA236">
        <v>1030</v>
      </c>
      <c r="AB236">
        <v>38466</v>
      </c>
      <c r="AC236" t="s">
        <v>1855</v>
      </c>
      <c r="AD236">
        <v>36.76</v>
      </c>
      <c r="AE236" t="s">
        <v>2176</v>
      </c>
      <c r="AF236" t="s">
        <v>2495</v>
      </c>
      <c r="AG236">
        <v>13111</v>
      </c>
      <c r="AH236">
        <v>446</v>
      </c>
      <c r="AJ236">
        <v>2.23</v>
      </c>
      <c r="AK236" t="b">
        <v>1</v>
      </c>
    </row>
    <row r="237" spans="1:37">
      <c r="A237" s="1" t="s">
        <v>271</v>
      </c>
      <c r="B237" t="s">
        <v>592</v>
      </c>
      <c r="C237">
        <f>HYPERLINK("https://finance.naver.com/item/coinfo.nhn?code=016360", "A016360")</f>
        <v>0</v>
      </c>
      <c r="D237">
        <f>HYPERLINK("http://comp.fnguide.com/SVO2/ASP/SVD_Consensus.asp?pGB=1&amp;gicode=A016360&amp;cID=&amp;MenuYn=Y&amp;ReportGB=&amp;NewMenuID=108&amp;stkGb=701", "삼성증권")</f>
        <v>0</v>
      </c>
      <c r="E237">
        <v>3</v>
      </c>
      <c r="F237">
        <v>34650</v>
      </c>
      <c r="G237">
        <v>0.45</v>
      </c>
      <c r="H237">
        <v>4.15</v>
      </c>
      <c r="I237">
        <v>81102</v>
      </c>
      <c r="J237">
        <v>74232</v>
      </c>
      <c r="K237">
        <v>71792</v>
      </c>
      <c r="L237">
        <v>-134.06</v>
      </c>
      <c r="M237">
        <v>-114.24</v>
      </c>
      <c r="N237">
        <v>-107.19</v>
      </c>
      <c r="O237">
        <v>13.12</v>
      </c>
      <c r="P237" t="b">
        <v>0</v>
      </c>
      <c r="Q237">
        <v>0</v>
      </c>
      <c r="R237">
        <v>10810</v>
      </c>
      <c r="S237">
        <v>5729</v>
      </c>
      <c r="T237">
        <v>-47</v>
      </c>
      <c r="U237" t="s">
        <v>913</v>
      </c>
      <c r="V237" t="s">
        <v>1234</v>
      </c>
      <c r="W237">
        <v>9.300209907834912</v>
      </c>
      <c r="X237">
        <v>9</v>
      </c>
      <c r="Y237" t="s">
        <v>1540</v>
      </c>
      <c r="Z237">
        <v>10.22853837593485</v>
      </c>
      <c r="AA237">
        <v>30942</v>
      </c>
      <c r="AB237">
        <v>329141</v>
      </c>
      <c r="AC237" t="s">
        <v>1856</v>
      </c>
      <c r="AD237">
        <v>29.63</v>
      </c>
      <c r="AE237" t="s">
        <v>2177</v>
      </c>
      <c r="AF237" t="s">
        <v>2496</v>
      </c>
      <c r="AG237">
        <v>22418</v>
      </c>
      <c r="AH237">
        <v>13087</v>
      </c>
      <c r="AJ237">
        <v>8.460000000000001</v>
      </c>
      <c r="AK237" t="b">
        <v>1</v>
      </c>
    </row>
    <row r="238" spans="1:37">
      <c r="A238" s="1" t="s">
        <v>272</v>
      </c>
      <c r="B238" t="s">
        <v>593</v>
      </c>
      <c r="C238">
        <f>HYPERLINK("https://finance.naver.com/item/coinfo.nhn?code=002410", "A002410")</f>
        <v>0</v>
      </c>
      <c r="D238">
        <f>HYPERLINK("http://comp.fnguide.com/SVO2/ASP/SVD_Consensus.asp?pGB=1&amp;gicode=A002410&amp;cID=&amp;MenuYn=Y&amp;ReportGB=&amp;NewMenuID=108&amp;stkGb=701", "범양건영")</f>
        <v>0</v>
      </c>
      <c r="E238">
        <v>2</v>
      </c>
      <c r="F238">
        <v>3660</v>
      </c>
      <c r="G238">
        <v>0</v>
      </c>
      <c r="H238">
        <v>33.45</v>
      </c>
      <c r="I238">
        <v>4140</v>
      </c>
      <c r="J238">
        <v>3778</v>
      </c>
      <c r="K238">
        <v>3650</v>
      </c>
      <c r="L238">
        <v>-13.1</v>
      </c>
      <c r="M238">
        <v>-3.23</v>
      </c>
      <c r="N238">
        <v>0.28</v>
      </c>
      <c r="O238">
        <v>13.2</v>
      </c>
      <c r="P238" t="b">
        <v>0</v>
      </c>
      <c r="Q238">
        <v>0</v>
      </c>
      <c r="R238">
        <v>195</v>
      </c>
      <c r="U238" t="s">
        <v>914</v>
      </c>
      <c r="V238" t="s">
        <v>1235</v>
      </c>
      <c r="W238">
        <v>0</v>
      </c>
      <c r="X238">
        <v>57.5</v>
      </c>
      <c r="Y238" t="s">
        <v>1541</v>
      </c>
      <c r="Z238">
        <v>45.89736346457667</v>
      </c>
      <c r="AA238">
        <v>909</v>
      </c>
      <c r="AB238">
        <v>170935</v>
      </c>
      <c r="AC238" t="s">
        <v>1857</v>
      </c>
      <c r="AD238">
        <v>28.39</v>
      </c>
      <c r="AE238" t="s">
        <v>2178</v>
      </c>
      <c r="AF238" t="s">
        <v>2497</v>
      </c>
      <c r="AG238">
        <v>1119</v>
      </c>
      <c r="AH238">
        <v>30</v>
      </c>
      <c r="AI238">
        <v>2030</v>
      </c>
      <c r="AK238" t="b">
        <v>1</v>
      </c>
    </row>
    <row r="239" spans="1:37">
      <c r="A239" s="1" t="s">
        <v>273</v>
      </c>
      <c r="B239" t="s">
        <v>594</v>
      </c>
      <c r="C239">
        <f>HYPERLINK("https://finance.naver.com/item/coinfo.nhn?code=036930", "A036930")</f>
        <v>0</v>
      </c>
      <c r="D239">
        <f>HYPERLINK("http://comp.fnguide.com/SVO2/ASP/SVD_Consensus.asp?pGB=1&amp;gicode=A036930&amp;cID=&amp;MenuYn=Y&amp;ReportGB=&amp;NewMenuID=108&amp;stkGb=701", "주성엔지니어링")</f>
        <v>0</v>
      </c>
      <c r="E239">
        <v>2</v>
      </c>
      <c r="F239">
        <v>12100</v>
      </c>
      <c r="G239">
        <v>0.12</v>
      </c>
      <c r="H239">
        <v>6.96</v>
      </c>
      <c r="I239">
        <v>18499</v>
      </c>
      <c r="J239">
        <v>12805</v>
      </c>
      <c r="K239">
        <v>10782</v>
      </c>
      <c r="L239">
        <v>-52.89</v>
      </c>
      <c r="M239">
        <v>-5.82</v>
      </c>
      <c r="N239">
        <v>10.9</v>
      </c>
      <c r="O239">
        <v>26.42</v>
      </c>
      <c r="P239" t="b">
        <v>1</v>
      </c>
      <c r="Q239">
        <v>0</v>
      </c>
      <c r="R239">
        <v>3016</v>
      </c>
      <c r="S239">
        <v>2301</v>
      </c>
      <c r="T239">
        <v>-23.7</v>
      </c>
      <c r="U239" t="s">
        <v>915</v>
      </c>
      <c r="V239" t="s">
        <v>1236</v>
      </c>
      <c r="W239">
        <v>60.07189541057745</v>
      </c>
      <c r="X239">
        <v>59</v>
      </c>
      <c r="Y239" t="s">
        <v>1542</v>
      </c>
      <c r="Z239">
        <v>0</v>
      </c>
      <c r="AA239">
        <v>5838</v>
      </c>
      <c r="AB239">
        <v>296145</v>
      </c>
      <c r="AC239" t="s">
        <v>1858</v>
      </c>
      <c r="AD239">
        <v>28.97</v>
      </c>
      <c r="AE239" t="s">
        <v>2179</v>
      </c>
      <c r="AF239" t="s">
        <v>2498</v>
      </c>
      <c r="AG239">
        <v>3773</v>
      </c>
      <c r="AH239">
        <v>1026</v>
      </c>
      <c r="AI239">
        <v>356191</v>
      </c>
      <c r="AJ239">
        <v>0.74</v>
      </c>
      <c r="AK239" t="b">
        <v>1</v>
      </c>
    </row>
    <row r="240" spans="1:37">
      <c r="A240" s="1" t="s">
        <v>274</v>
      </c>
      <c r="B240" t="s">
        <v>595</v>
      </c>
      <c r="C240">
        <f>HYPERLINK("https://finance.naver.com/item/coinfo.nhn?code=007370", "A007370")</f>
        <v>0</v>
      </c>
      <c r="D240">
        <f>HYPERLINK("http://comp.fnguide.com/SVO2/ASP/SVD_Consensus.asp?pGB=1&amp;gicode=A007370&amp;cID=&amp;MenuYn=Y&amp;ReportGB=&amp;NewMenuID=108&amp;stkGb=701", "진양제약")</f>
        <v>0</v>
      </c>
      <c r="E240">
        <v>2</v>
      </c>
      <c r="F240">
        <v>6470</v>
      </c>
      <c r="G240">
        <v>0</v>
      </c>
      <c r="H240">
        <v>8.859999999999999</v>
      </c>
      <c r="I240">
        <v>7053</v>
      </c>
      <c r="J240">
        <v>6528</v>
      </c>
      <c r="K240">
        <v>6342</v>
      </c>
      <c r="L240">
        <v>-9</v>
      </c>
      <c r="M240">
        <v>-0.9</v>
      </c>
      <c r="N240">
        <v>1.98</v>
      </c>
      <c r="O240">
        <v>12.82</v>
      </c>
      <c r="P240" t="b">
        <v>1</v>
      </c>
      <c r="Q240">
        <v>0</v>
      </c>
      <c r="R240">
        <v>795</v>
      </c>
      <c r="U240" t="s">
        <v>916</v>
      </c>
      <c r="V240" t="s">
        <v>1237</v>
      </c>
      <c r="W240">
        <v>0</v>
      </c>
      <c r="X240">
        <v>32.4</v>
      </c>
      <c r="Y240" t="s">
        <v>1543</v>
      </c>
      <c r="Z240">
        <v>0</v>
      </c>
      <c r="AA240">
        <v>776</v>
      </c>
      <c r="AB240">
        <v>24963</v>
      </c>
      <c r="AC240" t="s">
        <v>1859</v>
      </c>
      <c r="AD240">
        <v>29.52</v>
      </c>
      <c r="AE240" t="s">
        <v>2180</v>
      </c>
      <c r="AF240" t="s">
        <v>2499</v>
      </c>
      <c r="AG240">
        <v>628</v>
      </c>
      <c r="AH240">
        <v>70</v>
      </c>
      <c r="AI240">
        <v>1224391</v>
      </c>
      <c r="AJ240">
        <v>1.42</v>
      </c>
      <c r="AK240" t="b">
        <v>1</v>
      </c>
    </row>
    <row r="241" spans="1:37">
      <c r="A241" s="1" t="s">
        <v>275</v>
      </c>
      <c r="B241" t="s">
        <v>596</v>
      </c>
      <c r="C241">
        <f>HYPERLINK("https://finance.naver.com/item/coinfo.nhn?code=137950", "A137950")</f>
        <v>0</v>
      </c>
      <c r="D241">
        <f>HYPERLINK("http://comp.fnguide.com/SVO2/ASP/SVD_Consensus.asp?pGB=1&amp;gicode=A137950&amp;cID=&amp;MenuYn=Y&amp;ReportGB=&amp;NewMenuID=108&amp;stkGb=701", "제이씨케미칼")</f>
        <v>0</v>
      </c>
      <c r="E241">
        <v>2</v>
      </c>
      <c r="F241">
        <v>7340</v>
      </c>
      <c r="G241">
        <v>0</v>
      </c>
      <c r="H241">
        <v>6.23</v>
      </c>
      <c r="I241">
        <v>10343</v>
      </c>
      <c r="J241">
        <v>8038</v>
      </c>
      <c r="K241">
        <v>7219</v>
      </c>
      <c r="L241">
        <v>-40.91</v>
      </c>
      <c r="M241">
        <v>-9.51</v>
      </c>
      <c r="N241">
        <v>1.65</v>
      </c>
      <c r="O241">
        <v>19.06</v>
      </c>
      <c r="P241" t="b">
        <v>1</v>
      </c>
      <c r="Q241">
        <v>0</v>
      </c>
      <c r="R241">
        <v>1471</v>
      </c>
      <c r="U241" t="s">
        <v>917</v>
      </c>
      <c r="V241" t="s">
        <v>1238</v>
      </c>
      <c r="W241">
        <v>0</v>
      </c>
      <c r="X241">
        <v>0</v>
      </c>
      <c r="Y241" t="s">
        <v>1544</v>
      </c>
      <c r="Z241">
        <v>268.4066737156291</v>
      </c>
      <c r="AA241">
        <v>1634</v>
      </c>
      <c r="AB241">
        <v>147110</v>
      </c>
      <c r="AC241" t="s">
        <v>1860</v>
      </c>
      <c r="AD241">
        <v>42.82</v>
      </c>
      <c r="AE241" t="s">
        <v>2181</v>
      </c>
      <c r="AF241" t="s">
        <v>2500</v>
      </c>
      <c r="AG241">
        <v>3929</v>
      </c>
      <c r="AH241">
        <v>398</v>
      </c>
      <c r="AI241">
        <v>305361</v>
      </c>
      <c r="AJ241">
        <v>1.64</v>
      </c>
      <c r="AK241" t="b">
        <v>1</v>
      </c>
    </row>
    <row r="242" spans="1:37">
      <c r="A242" s="1" t="s">
        <v>276</v>
      </c>
      <c r="B242" t="s">
        <v>597</v>
      </c>
      <c r="C242">
        <f>HYPERLINK("https://finance.naver.com/item/coinfo.nhn?code=339770", "A339770")</f>
        <v>0</v>
      </c>
      <c r="D242">
        <f>HYPERLINK("http://comp.fnguide.com/SVO2/ASP/SVD_Consensus.asp?pGB=1&amp;gicode=A339770&amp;cID=&amp;MenuYn=Y&amp;ReportGB=&amp;NewMenuID=108&amp;stkGb=701", "교촌에프앤비")</f>
        <v>0</v>
      </c>
      <c r="E242">
        <v>2</v>
      </c>
      <c r="F242">
        <v>9440</v>
      </c>
      <c r="G242">
        <v>-0.59</v>
      </c>
      <c r="H242">
        <v>13.89</v>
      </c>
      <c r="I242">
        <v>15046</v>
      </c>
      <c r="J242">
        <v>10900</v>
      </c>
      <c r="K242">
        <v>9428</v>
      </c>
      <c r="L242">
        <v>-59.39</v>
      </c>
      <c r="M242">
        <v>-15.47</v>
      </c>
      <c r="N242">
        <v>0.13</v>
      </c>
      <c r="O242">
        <v>23.04</v>
      </c>
      <c r="P242" t="b">
        <v>0</v>
      </c>
      <c r="Q242">
        <v>0</v>
      </c>
      <c r="R242">
        <v>1195</v>
      </c>
      <c r="S242">
        <v>628</v>
      </c>
      <c r="T242">
        <v>-47.4</v>
      </c>
      <c r="U242" t="s">
        <v>918</v>
      </c>
      <c r="V242" t="s">
        <v>1239</v>
      </c>
      <c r="W242">
        <v>-23.62364142124878</v>
      </c>
      <c r="X242">
        <v>-61</v>
      </c>
      <c r="Y242" t="s">
        <v>1545</v>
      </c>
      <c r="Z242">
        <v>-51.06959415460419</v>
      </c>
      <c r="AA242">
        <v>2358</v>
      </c>
      <c r="AB242">
        <v>22795</v>
      </c>
      <c r="AC242" t="s">
        <v>1861</v>
      </c>
      <c r="AD242">
        <v>69.33</v>
      </c>
      <c r="AE242" t="s">
        <v>2182</v>
      </c>
      <c r="AF242" t="s">
        <v>2501</v>
      </c>
      <c r="AG242">
        <v>5076</v>
      </c>
      <c r="AH242">
        <v>410</v>
      </c>
      <c r="AJ242">
        <v>1.81</v>
      </c>
      <c r="AK242" t="b">
        <v>1</v>
      </c>
    </row>
    <row r="243" spans="1:37">
      <c r="A243" s="1" t="s">
        <v>277</v>
      </c>
      <c r="B243" t="s">
        <v>598</v>
      </c>
      <c r="C243">
        <f>HYPERLINK("https://finance.naver.com/item/coinfo.nhn?code=112040", "A112040")</f>
        <v>0</v>
      </c>
      <c r="D243">
        <f>HYPERLINK("http://comp.fnguide.com/SVO2/ASP/SVD_Consensus.asp?pGB=1&amp;gicode=A112040&amp;cID=&amp;MenuYn=Y&amp;ReportGB=&amp;NewMenuID=108&amp;stkGb=701", "위메이드")</f>
        <v>0</v>
      </c>
      <c r="E243">
        <v>2</v>
      </c>
      <c r="F243">
        <v>35450</v>
      </c>
      <c r="G243">
        <v>0.18</v>
      </c>
      <c r="H243">
        <v>19.3</v>
      </c>
      <c r="I243">
        <v>58897</v>
      </c>
      <c r="J243">
        <v>37621</v>
      </c>
      <c r="K243">
        <v>30062</v>
      </c>
      <c r="L243">
        <v>-66.14</v>
      </c>
      <c r="M243">
        <v>-6.12</v>
      </c>
      <c r="N243">
        <v>15.2</v>
      </c>
      <c r="O243">
        <v>34.87</v>
      </c>
      <c r="P243" t="b">
        <v>1</v>
      </c>
      <c r="Q243">
        <v>0</v>
      </c>
      <c r="R243">
        <v>9218</v>
      </c>
      <c r="S243">
        <v>-2656</v>
      </c>
      <c r="T243">
        <v>-128.8</v>
      </c>
      <c r="U243" t="s">
        <v>919</v>
      </c>
      <c r="V243" t="s">
        <v>1240</v>
      </c>
      <c r="W243">
        <v>106.5760306459921</v>
      </c>
      <c r="Y243" t="s">
        <v>1336</v>
      </c>
      <c r="Z243">
        <v>0</v>
      </c>
      <c r="AA243">
        <v>11981</v>
      </c>
      <c r="AB243">
        <v>781151</v>
      </c>
      <c r="AC243" t="s">
        <v>1862</v>
      </c>
      <c r="AD243">
        <v>44.97</v>
      </c>
      <c r="AE243" t="s">
        <v>2183</v>
      </c>
      <c r="AF243" t="s">
        <v>2502</v>
      </c>
      <c r="AG243">
        <v>3350</v>
      </c>
      <c r="AH243">
        <v>974</v>
      </c>
      <c r="AI243">
        <v>342566</v>
      </c>
      <c r="AJ243">
        <v>0.37</v>
      </c>
      <c r="AK243" t="b">
        <v>1</v>
      </c>
    </row>
    <row r="244" spans="1:37">
      <c r="A244" s="1" t="s">
        <v>278</v>
      </c>
      <c r="B244" t="s">
        <v>599</v>
      </c>
      <c r="C244">
        <f>HYPERLINK("https://finance.naver.com/item/coinfo.nhn?code=041920", "A041920")</f>
        <v>0</v>
      </c>
      <c r="D244">
        <f>HYPERLINK("http://comp.fnguide.com/SVO2/ASP/SVD_Consensus.asp?pGB=1&amp;gicode=A041920&amp;cID=&amp;MenuYn=Y&amp;ReportGB=&amp;NewMenuID=108&amp;stkGb=701", "메디아나")</f>
        <v>0</v>
      </c>
      <c r="E244">
        <v>2</v>
      </c>
      <c r="F244">
        <v>5470</v>
      </c>
      <c r="G244">
        <v>0</v>
      </c>
      <c r="H244">
        <v>12.11</v>
      </c>
      <c r="I244">
        <v>6295</v>
      </c>
      <c r="J244">
        <v>5576</v>
      </c>
      <c r="K244">
        <v>5320</v>
      </c>
      <c r="L244">
        <v>-15.08</v>
      </c>
      <c r="M244">
        <v>-1.94</v>
      </c>
      <c r="N244">
        <v>2.73</v>
      </c>
      <c r="O244">
        <v>14.06</v>
      </c>
      <c r="P244" t="b">
        <v>1</v>
      </c>
      <c r="Q244">
        <v>0</v>
      </c>
      <c r="R244">
        <v>548</v>
      </c>
      <c r="U244" t="s">
        <v>920</v>
      </c>
      <c r="V244" t="s">
        <v>1241</v>
      </c>
      <c r="W244">
        <v>0</v>
      </c>
      <c r="X244">
        <v>93.7</v>
      </c>
      <c r="Y244" t="s">
        <v>1546</v>
      </c>
      <c r="Z244">
        <v>40.07784623643409</v>
      </c>
      <c r="AA244">
        <v>875</v>
      </c>
      <c r="AB244">
        <v>66459</v>
      </c>
      <c r="AC244" t="s">
        <v>1863</v>
      </c>
      <c r="AD244">
        <v>37.92</v>
      </c>
      <c r="AE244" t="s">
        <v>2184</v>
      </c>
      <c r="AF244" t="s">
        <v>2503</v>
      </c>
      <c r="AG244">
        <v>568</v>
      </c>
      <c r="AH244">
        <v>83</v>
      </c>
      <c r="AI244">
        <v>47620</v>
      </c>
      <c r="AJ244">
        <v>0.41</v>
      </c>
      <c r="AK244" t="b">
        <v>1</v>
      </c>
    </row>
    <row r="245" spans="1:37">
      <c r="A245" s="1" t="s">
        <v>279</v>
      </c>
      <c r="B245" t="s">
        <v>600</v>
      </c>
      <c r="C245">
        <f>HYPERLINK("https://finance.naver.com/item/coinfo.nhn?code=052400", "A052400")</f>
        <v>0</v>
      </c>
      <c r="D245">
        <f>HYPERLINK("http://comp.fnguide.com/SVO2/ASP/SVD_Consensus.asp?pGB=1&amp;gicode=A052400&amp;cID=&amp;MenuYn=Y&amp;ReportGB=&amp;NewMenuID=108&amp;stkGb=701", "코나아이")</f>
        <v>0</v>
      </c>
      <c r="E245">
        <v>2</v>
      </c>
      <c r="F245">
        <v>17450</v>
      </c>
      <c r="G245">
        <v>0</v>
      </c>
      <c r="H245">
        <v>9.58</v>
      </c>
      <c r="I245">
        <v>28600</v>
      </c>
      <c r="J245">
        <v>19071</v>
      </c>
      <c r="K245">
        <v>15686</v>
      </c>
      <c r="L245">
        <v>-63.9</v>
      </c>
      <c r="M245">
        <v>-9.289999999999999</v>
      </c>
      <c r="N245">
        <v>10.11</v>
      </c>
      <c r="O245">
        <v>29.85</v>
      </c>
      <c r="P245" t="b">
        <v>1</v>
      </c>
      <c r="Q245">
        <v>0</v>
      </c>
      <c r="R245">
        <v>3378</v>
      </c>
      <c r="U245" t="s">
        <v>921</v>
      </c>
      <c r="V245" t="s">
        <v>1242</v>
      </c>
      <c r="W245">
        <v>0</v>
      </c>
      <c r="X245">
        <v>-5.7</v>
      </c>
      <c r="Y245" t="s">
        <v>1547</v>
      </c>
      <c r="Z245">
        <v>0</v>
      </c>
      <c r="AA245">
        <v>2618</v>
      </c>
      <c r="AB245">
        <v>47431</v>
      </c>
      <c r="AC245" t="s">
        <v>1864</v>
      </c>
      <c r="AD245">
        <v>30.85</v>
      </c>
      <c r="AE245" t="s">
        <v>2185</v>
      </c>
      <c r="AF245" t="s">
        <v>2504</v>
      </c>
      <c r="AG245">
        <v>1945</v>
      </c>
      <c r="AH245">
        <v>482</v>
      </c>
      <c r="AI245">
        <v>2214815</v>
      </c>
      <c r="AK245" t="b">
        <v>1</v>
      </c>
    </row>
    <row r="246" spans="1:37">
      <c r="A246" s="1" t="s">
        <v>280</v>
      </c>
      <c r="B246" t="s">
        <v>601</v>
      </c>
      <c r="C246">
        <f>HYPERLINK("https://finance.naver.com/item/coinfo.nhn?code=376980", "A376980")</f>
        <v>0</v>
      </c>
      <c r="D246">
        <f>HYPERLINK("http://comp.fnguide.com/SVO2/ASP/SVD_Consensus.asp?pGB=1&amp;gicode=A376980&amp;cID=&amp;MenuYn=Y&amp;ReportGB=&amp;NewMenuID=108&amp;stkGb=701", "원티드랩")</f>
        <v>0</v>
      </c>
      <c r="E246">
        <v>2</v>
      </c>
      <c r="F246">
        <v>13150</v>
      </c>
      <c r="G246">
        <v>0</v>
      </c>
      <c r="H246">
        <v>97.78</v>
      </c>
      <c r="I246">
        <v>27243</v>
      </c>
      <c r="J246">
        <v>14707</v>
      </c>
      <c r="K246">
        <v>10253</v>
      </c>
      <c r="L246">
        <v>-107.17</v>
      </c>
      <c r="M246">
        <v>-11.84</v>
      </c>
      <c r="N246">
        <v>22.03</v>
      </c>
      <c r="O246">
        <v>85.61</v>
      </c>
      <c r="P246" t="b">
        <v>0</v>
      </c>
      <c r="Q246">
        <v>2</v>
      </c>
      <c r="R246">
        <v>382</v>
      </c>
      <c r="S246">
        <v>999</v>
      </c>
      <c r="T246">
        <v>161.5</v>
      </c>
      <c r="U246" t="s">
        <v>922</v>
      </c>
      <c r="V246" t="s">
        <v>1243</v>
      </c>
      <c r="W246">
        <v>0</v>
      </c>
      <c r="X246">
        <v>220.1</v>
      </c>
      <c r="Y246" t="s">
        <v>1548</v>
      </c>
      <c r="Z246">
        <v>0</v>
      </c>
      <c r="AA246">
        <v>1241</v>
      </c>
      <c r="AB246">
        <v>26820</v>
      </c>
      <c r="AC246" t="s">
        <v>1865</v>
      </c>
      <c r="AD246">
        <v>29.74</v>
      </c>
      <c r="AE246" t="s">
        <v>2186</v>
      </c>
      <c r="AF246" t="s">
        <v>2505</v>
      </c>
      <c r="AG246">
        <v>317</v>
      </c>
      <c r="AH246">
        <v>61</v>
      </c>
      <c r="AK246" t="b">
        <v>1</v>
      </c>
    </row>
    <row r="247" spans="1:37">
      <c r="A247" s="1" t="s">
        <v>281</v>
      </c>
      <c r="B247" t="s">
        <v>602</v>
      </c>
      <c r="C247">
        <f>HYPERLINK("https://finance.naver.com/item/coinfo.nhn?code=040300", "A040300")</f>
        <v>0</v>
      </c>
      <c r="D247">
        <f>HYPERLINK("http://comp.fnguide.com/SVO2/ASP/SVD_Consensus.asp?pGB=1&amp;gicode=A040300&amp;cID=&amp;MenuYn=Y&amp;ReportGB=&amp;NewMenuID=108&amp;stkGb=701", "YTN")</f>
        <v>0</v>
      </c>
      <c r="E247">
        <v>2</v>
      </c>
      <c r="F247">
        <v>6290</v>
      </c>
      <c r="G247">
        <v>0</v>
      </c>
      <c r="H247">
        <v>2.4</v>
      </c>
      <c r="I247">
        <v>6971</v>
      </c>
      <c r="J247">
        <v>6331</v>
      </c>
      <c r="K247">
        <v>6104</v>
      </c>
      <c r="L247">
        <v>-10.83</v>
      </c>
      <c r="M247">
        <v>-0.66</v>
      </c>
      <c r="N247">
        <v>2.96</v>
      </c>
      <c r="O247">
        <v>13.34</v>
      </c>
      <c r="P247" t="b">
        <v>1</v>
      </c>
      <c r="Q247">
        <v>0</v>
      </c>
      <c r="R247">
        <v>1228</v>
      </c>
      <c r="U247" t="s">
        <v>923</v>
      </c>
      <c r="V247" t="s">
        <v>1244</v>
      </c>
      <c r="W247">
        <v>0</v>
      </c>
      <c r="X247">
        <v>101.5</v>
      </c>
      <c r="Y247" t="s">
        <v>1549</v>
      </c>
      <c r="Z247">
        <v>0</v>
      </c>
      <c r="AA247">
        <v>2642</v>
      </c>
      <c r="AB247">
        <v>812523</v>
      </c>
      <c r="AC247" t="s">
        <v>1866</v>
      </c>
      <c r="AD247">
        <v>21.87</v>
      </c>
      <c r="AE247" t="s">
        <v>2187</v>
      </c>
      <c r="AF247" t="s">
        <v>2506</v>
      </c>
      <c r="AG247">
        <v>1452</v>
      </c>
      <c r="AH247">
        <v>34</v>
      </c>
      <c r="AJ247">
        <v>1.69</v>
      </c>
      <c r="AK247" t="b">
        <v>1</v>
      </c>
    </row>
    <row r="248" spans="1:37">
      <c r="A248" s="1" t="s">
        <v>282</v>
      </c>
      <c r="B248" t="s">
        <v>603</v>
      </c>
      <c r="C248">
        <f>HYPERLINK("https://finance.naver.com/item/coinfo.nhn?code=092730", "A092730")</f>
        <v>0</v>
      </c>
      <c r="D248">
        <f>HYPERLINK("http://comp.fnguide.com/SVO2/ASP/SVD_Consensus.asp?pGB=1&amp;gicode=A092730&amp;cID=&amp;MenuYn=Y&amp;ReportGB=&amp;NewMenuID=108&amp;stkGb=701", "네오팜")</f>
        <v>0</v>
      </c>
      <c r="E248">
        <v>2</v>
      </c>
      <c r="F248">
        <v>20450</v>
      </c>
      <c r="G248">
        <v>0</v>
      </c>
      <c r="H248">
        <v>11.49</v>
      </c>
      <c r="I248">
        <v>24853</v>
      </c>
      <c r="J248">
        <v>20526</v>
      </c>
      <c r="K248">
        <v>18989</v>
      </c>
      <c r="L248">
        <v>-21.53</v>
      </c>
      <c r="M248">
        <v>-0.37</v>
      </c>
      <c r="N248">
        <v>7.14</v>
      </c>
      <c r="O248">
        <v>16.44</v>
      </c>
      <c r="P248" t="b">
        <v>1</v>
      </c>
      <c r="Q248">
        <v>0</v>
      </c>
      <c r="R248">
        <v>2158</v>
      </c>
      <c r="U248" t="s">
        <v>924</v>
      </c>
      <c r="V248" t="s">
        <v>1245</v>
      </c>
      <c r="W248">
        <v>0</v>
      </c>
      <c r="X248">
        <v>4.1</v>
      </c>
      <c r="Y248" t="s">
        <v>1550</v>
      </c>
      <c r="Z248">
        <v>7.729679263699563</v>
      </c>
      <c r="AA248">
        <v>1678</v>
      </c>
      <c r="AB248">
        <v>16363</v>
      </c>
      <c r="AC248" t="s">
        <v>1867</v>
      </c>
      <c r="AD248">
        <v>38.94</v>
      </c>
      <c r="AE248" t="s">
        <v>2188</v>
      </c>
      <c r="AF248" t="s">
        <v>2507</v>
      </c>
      <c r="AG248">
        <v>879</v>
      </c>
      <c r="AH248">
        <v>224</v>
      </c>
      <c r="AI248">
        <v>386733</v>
      </c>
      <c r="AJ248">
        <v>2.82</v>
      </c>
      <c r="AK248" t="b">
        <v>1</v>
      </c>
    </row>
    <row r="249" spans="1:37">
      <c r="A249" s="1" t="s">
        <v>283</v>
      </c>
      <c r="B249" t="s">
        <v>604</v>
      </c>
      <c r="C249">
        <f>HYPERLINK("https://finance.naver.com/item/coinfo.nhn?code=285490", "A285490")</f>
        <v>0</v>
      </c>
      <c r="D249">
        <f>HYPERLINK("http://comp.fnguide.com/SVO2/ASP/SVD_Consensus.asp?pGB=1&amp;gicode=A285490&amp;cID=&amp;MenuYn=Y&amp;ReportGB=&amp;NewMenuID=108&amp;stkGb=701", "노바텍")</f>
        <v>0</v>
      </c>
      <c r="E249">
        <v>2</v>
      </c>
      <c r="F249">
        <v>22700</v>
      </c>
      <c r="G249">
        <v>0.19</v>
      </c>
      <c r="H249">
        <v>11</v>
      </c>
      <c r="I249">
        <v>41926</v>
      </c>
      <c r="J249">
        <v>26052</v>
      </c>
      <c r="K249">
        <v>20412</v>
      </c>
      <c r="L249">
        <v>-84.69</v>
      </c>
      <c r="M249">
        <v>-14.76</v>
      </c>
      <c r="N249">
        <v>10.08</v>
      </c>
      <c r="O249">
        <v>38.92</v>
      </c>
      <c r="P249" t="b">
        <v>1</v>
      </c>
      <c r="Q249">
        <v>0</v>
      </c>
      <c r="R249">
        <v>3836</v>
      </c>
      <c r="S249">
        <v>1957</v>
      </c>
      <c r="T249">
        <v>-49</v>
      </c>
      <c r="U249" t="s">
        <v>925</v>
      </c>
      <c r="V249" t="s">
        <v>1246</v>
      </c>
      <c r="W249">
        <v>58.86137278211472</v>
      </c>
      <c r="X249">
        <v>-50.7</v>
      </c>
      <c r="Y249" t="s">
        <v>1551</v>
      </c>
      <c r="Z249">
        <v>29.18652015197476</v>
      </c>
      <c r="AA249">
        <v>2401</v>
      </c>
      <c r="AB249">
        <v>25697</v>
      </c>
      <c r="AC249" t="s">
        <v>1868</v>
      </c>
      <c r="AD249">
        <v>55.64</v>
      </c>
      <c r="AE249" t="s">
        <v>2189</v>
      </c>
      <c r="AF249" t="s">
        <v>2508</v>
      </c>
      <c r="AG249">
        <v>905</v>
      </c>
      <c r="AH249">
        <v>329</v>
      </c>
      <c r="AI249">
        <v>668918</v>
      </c>
      <c r="AJ249">
        <v>0.34</v>
      </c>
      <c r="AK249" t="b">
        <v>1</v>
      </c>
    </row>
    <row r="250" spans="1:37">
      <c r="A250" s="1" t="s">
        <v>284</v>
      </c>
      <c r="B250" t="s">
        <v>605</v>
      </c>
      <c r="C250">
        <f>HYPERLINK("https://finance.naver.com/item/coinfo.nhn?code=151860", "A151860")</f>
        <v>0</v>
      </c>
      <c r="D250">
        <f>HYPERLINK("http://comp.fnguide.com/SVO2/ASP/SVD_Consensus.asp?pGB=1&amp;gicode=A151860&amp;cID=&amp;MenuYn=Y&amp;ReportGB=&amp;NewMenuID=108&amp;stkGb=701", "KG ETS")</f>
        <v>0</v>
      </c>
      <c r="E250">
        <v>2</v>
      </c>
      <c r="F250">
        <v>11400</v>
      </c>
      <c r="G250">
        <v>0</v>
      </c>
      <c r="H250">
        <v>11.01</v>
      </c>
      <c r="I250">
        <v>16039</v>
      </c>
      <c r="J250">
        <v>12248</v>
      </c>
      <c r="K250">
        <v>10901</v>
      </c>
      <c r="L250">
        <v>-40.69</v>
      </c>
      <c r="M250">
        <v>-7.44</v>
      </c>
      <c r="N250">
        <v>4.38</v>
      </c>
      <c r="O250">
        <v>19.95</v>
      </c>
      <c r="P250" t="b">
        <v>1</v>
      </c>
      <c r="Q250">
        <v>0</v>
      </c>
      <c r="R250">
        <v>1331</v>
      </c>
      <c r="U250" t="s">
        <v>926</v>
      </c>
      <c r="V250" t="s">
        <v>1247</v>
      </c>
      <c r="W250">
        <v>0</v>
      </c>
      <c r="X250">
        <v>617.5</v>
      </c>
      <c r="Y250" t="s">
        <v>1552</v>
      </c>
      <c r="Z250">
        <v>96.58263004365185</v>
      </c>
      <c r="AA250">
        <v>4104</v>
      </c>
      <c r="AB250">
        <v>511202</v>
      </c>
      <c r="AC250" t="s">
        <v>1869</v>
      </c>
      <c r="AD250">
        <v>46.5</v>
      </c>
      <c r="AE250" t="s">
        <v>2190</v>
      </c>
      <c r="AF250" t="s">
        <v>2509</v>
      </c>
      <c r="AG250">
        <v>35369</v>
      </c>
      <c r="AH250">
        <v>3256</v>
      </c>
      <c r="AJ250">
        <v>0.82</v>
      </c>
      <c r="AK250" t="b">
        <v>1</v>
      </c>
    </row>
    <row r="251" spans="1:37">
      <c r="A251" s="1" t="s">
        <v>285</v>
      </c>
      <c r="B251" t="s">
        <v>606</v>
      </c>
      <c r="C251">
        <f>HYPERLINK("https://finance.naver.com/item/coinfo.nhn?code=036670", "A036670")</f>
        <v>0</v>
      </c>
      <c r="D251">
        <f>HYPERLINK("http://comp.fnguide.com/SVO2/ASP/SVD_Consensus.asp?pGB=1&amp;gicode=A036670&amp;cID=&amp;MenuYn=Y&amp;ReportGB=&amp;NewMenuID=108&amp;stkGb=701", "KCI")</f>
        <v>0</v>
      </c>
      <c r="E251">
        <v>2</v>
      </c>
      <c r="F251">
        <v>8700</v>
      </c>
      <c r="G251">
        <v>0</v>
      </c>
      <c r="H251">
        <v>10.19</v>
      </c>
      <c r="I251">
        <v>10182</v>
      </c>
      <c r="J251">
        <v>8859</v>
      </c>
      <c r="K251">
        <v>8388</v>
      </c>
      <c r="L251">
        <v>-17.03</v>
      </c>
      <c r="M251">
        <v>-1.82</v>
      </c>
      <c r="N251">
        <v>3.58</v>
      </c>
      <c r="O251">
        <v>14.62</v>
      </c>
      <c r="P251" t="b">
        <v>1</v>
      </c>
      <c r="Q251">
        <v>0</v>
      </c>
      <c r="R251">
        <v>901</v>
      </c>
      <c r="U251" t="s">
        <v>927</v>
      </c>
      <c r="V251" t="s">
        <v>1248</v>
      </c>
      <c r="W251">
        <v>0</v>
      </c>
      <c r="X251">
        <v>90.7</v>
      </c>
      <c r="Y251" t="s">
        <v>1553</v>
      </c>
      <c r="Z251">
        <v>37.27008453186429</v>
      </c>
      <c r="AA251">
        <v>980</v>
      </c>
      <c r="AB251">
        <v>7590</v>
      </c>
      <c r="AC251" t="s">
        <v>1870</v>
      </c>
      <c r="AD251">
        <v>50.02</v>
      </c>
      <c r="AE251" t="s">
        <v>2191</v>
      </c>
      <c r="AF251" t="s">
        <v>2510</v>
      </c>
      <c r="AG251">
        <v>815</v>
      </c>
      <c r="AH251">
        <v>124</v>
      </c>
      <c r="AI251">
        <v>509800</v>
      </c>
      <c r="AJ251">
        <v>2.18</v>
      </c>
      <c r="AK251" t="b">
        <v>1</v>
      </c>
    </row>
    <row r="252" spans="1:37">
      <c r="A252" s="1" t="s">
        <v>286</v>
      </c>
      <c r="B252" t="s">
        <v>607</v>
      </c>
      <c r="C252">
        <f>HYPERLINK("https://finance.naver.com/item/coinfo.nhn?code=000990", "A000990")</f>
        <v>0</v>
      </c>
      <c r="D252">
        <f>HYPERLINK("http://comp.fnguide.com/SVO2/ASP/SVD_Consensus.asp?pGB=1&amp;gicode=A000990&amp;cID=&amp;MenuYn=Y&amp;ReportGB=&amp;NewMenuID=108&amp;stkGb=701", "DB하이텍")</f>
        <v>0</v>
      </c>
      <c r="E252">
        <v>2</v>
      </c>
      <c r="F252">
        <v>43200</v>
      </c>
      <c r="G252">
        <v>0.12</v>
      </c>
      <c r="H252">
        <v>10.21</v>
      </c>
      <c r="I252">
        <v>63116</v>
      </c>
      <c r="J252">
        <v>43254</v>
      </c>
      <c r="K252">
        <v>36198</v>
      </c>
      <c r="L252">
        <v>-46.1</v>
      </c>
      <c r="M252">
        <v>-0.13</v>
      </c>
      <c r="N252">
        <v>16.21</v>
      </c>
      <c r="O252">
        <v>27.27</v>
      </c>
      <c r="P252" t="b">
        <v>1</v>
      </c>
      <c r="Q252">
        <v>3</v>
      </c>
      <c r="R252">
        <v>7119</v>
      </c>
      <c r="S252">
        <v>14118</v>
      </c>
      <c r="T252">
        <v>98.3</v>
      </c>
      <c r="U252" t="s">
        <v>928</v>
      </c>
      <c r="V252" t="s">
        <v>1249</v>
      </c>
      <c r="W252">
        <v>81.78938613255866</v>
      </c>
      <c r="X252">
        <v>145.8</v>
      </c>
      <c r="Y252" t="s">
        <v>1554</v>
      </c>
      <c r="Z252">
        <v>47.87528669139003</v>
      </c>
      <c r="AA252">
        <v>19180</v>
      </c>
      <c r="AB252">
        <v>279932</v>
      </c>
      <c r="AC252" t="s">
        <v>1871</v>
      </c>
      <c r="AD252">
        <v>17.85</v>
      </c>
      <c r="AE252" t="s">
        <v>2192</v>
      </c>
      <c r="AF252" t="s">
        <v>2511</v>
      </c>
      <c r="AG252">
        <v>12147</v>
      </c>
      <c r="AH252">
        <v>3991</v>
      </c>
      <c r="AI252">
        <v>1039890</v>
      </c>
      <c r="AJ252">
        <v>0.62</v>
      </c>
      <c r="AK252" t="b">
        <v>1</v>
      </c>
    </row>
    <row r="253" spans="1:37">
      <c r="A253" s="1" t="s">
        <v>287</v>
      </c>
      <c r="B253" t="s">
        <v>608</v>
      </c>
      <c r="C253">
        <f>HYPERLINK("https://finance.naver.com/item/coinfo.nhn?code=083450", "A083450")</f>
        <v>0</v>
      </c>
      <c r="D253">
        <f>HYPERLINK("http://comp.fnguide.com/SVO2/ASP/SVD_Consensus.asp?pGB=1&amp;gicode=A083450&amp;cID=&amp;MenuYn=Y&amp;ReportGB=&amp;NewMenuID=108&amp;stkGb=701", "GST")</f>
        <v>0</v>
      </c>
      <c r="E253">
        <v>2</v>
      </c>
      <c r="F253">
        <v>21650</v>
      </c>
      <c r="G253">
        <v>0.25</v>
      </c>
      <c r="H253">
        <v>9.289999999999999</v>
      </c>
      <c r="I253">
        <v>33876</v>
      </c>
      <c r="J253">
        <v>24544</v>
      </c>
      <c r="K253">
        <v>21228</v>
      </c>
      <c r="L253">
        <v>-56.47</v>
      </c>
      <c r="M253">
        <v>-13.37</v>
      </c>
      <c r="N253">
        <v>1.95</v>
      </c>
      <c r="O253">
        <v>23.04</v>
      </c>
      <c r="P253" t="b">
        <v>1</v>
      </c>
      <c r="Q253">
        <v>2</v>
      </c>
      <c r="R253">
        <v>4051</v>
      </c>
      <c r="S253">
        <v>4915</v>
      </c>
      <c r="T253">
        <v>21.3</v>
      </c>
      <c r="U253" t="s">
        <v>929</v>
      </c>
      <c r="V253" t="s">
        <v>1250</v>
      </c>
      <c r="W253">
        <v>36.82844934861367</v>
      </c>
      <c r="X253">
        <v>29.1</v>
      </c>
      <c r="Y253" t="s">
        <v>1555</v>
      </c>
      <c r="Z253">
        <v>26.05935358248812</v>
      </c>
      <c r="AA253">
        <v>2017</v>
      </c>
      <c r="AB253">
        <v>32324</v>
      </c>
      <c r="AC253" t="s">
        <v>1872</v>
      </c>
      <c r="AD253">
        <v>23.21</v>
      </c>
      <c r="AE253" t="s">
        <v>2193</v>
      </c>
      <c r="AF253" t="s">
        <v>2512</v>
      </c>
      <c r="AG253">
        <v>3045</v>
      </c>
      <c r="AH253">
        <v>464</v>
      </c>
      <c r="AI253">
        <v>315230</v>
      </c>
      <c r="AJ253">
        <v>0.8</v>
      </c>
      <c r="AK253" t="b">
        <v>1</v>
      </c>
    </row>
    <row r="254" spans="1:37">
      <c r="A254" s="1" t="s">
        <v>288</v>
      </c>
      <c r="B254" t="s">
        <v>609</v>
      </c>
      <c r="C254">
        <f>HYPERLINK("https://finance.naver.com/item/coinfo.nhn?code=265520", "A265520")</f>
        <v>0</v>
      </c>
      <c r="D254">
        <f>HYPERLINK("http://comp.fnguide.com/SVO2/ASP/SVD_Consensus.asp?pGB=1&amp;gicode=A265520&amp;cID=&amp;MenuYn=Y&amp;ReportGB=&amp;NewMenuID=108&amp;stkGb=701", "AP시스템")</f>
        <v>0</v>
      </c>
      <c r="E254">
        <v>2</v>
      </c>
      <c r="F254">
        <v>19000</v>
      </c>
      <c r="G254">
        <v>0.06</v>
      </c>
      <c r="H254">
        <v>6.74</v>
      </c>
      <c r="I254">
        <v>29342</v>
      </c>
      <c r="J254">
        <v>20579</v>
      </c>
      <c r="K254">
        <v>17465</v>
      </c>
      <c r="L254">
        <v>-54.43</v>
      </c>
      <c r="M254">
        <v>-8.31</v>
      </c>
      <c r="N254">
        <v>8.08</v>
      </c>
      <c r="O254">
        <v>25.36</v>
      </c>
      <c r="P254" t="b">
        <v>1</v>
      </c>
      <c r="Q254">
        <v>3</v>
      </c>
      <c r="R254">
        <v>3741</v>
      </c>
      <c r="S254">
        <v>6040</v>
      </c>
      <c r="T254">
        <v>61.5</v>
      </c>
      <c r="U254" t="s">
        <v>930</v>
      </c>
      <c r="V254" t="s">
        <v>1251</v>
      </c>
      <c r="W254">
        <v>113.8176127454079</v>
      </c>
      <c r="X254">
        <v>89.8</v>
      </c>
      <c r="Y254" t="s">
        <v>1556</v>
      </c>
      <c r="Z254">
        <v>41.09548885510477</v>
      </c>
      <c r="AA254">
        <v>2903</v>
      </c>
      <c r="AB254">
        <v>79494</v>
      </c>
      <c r="AC254" t="s">
        <v>1873</v>
      </c>
      <c r="AD254">
        <v>25.07</v>
      </c>
      <c r="AE254" t="s">
        <v>2194</v>
      </c>
      <c r="AF254" t="s">
        <v>2513</v>
      </c>
      <c r="AG254">
        <v>5287</v>
      </c>
      <c r="AH254">
        <v>643</v>
      </c>
      <c r="AI254">
        <v>261287</v>
      </c>
      <c r="AJ254">
        <v>0.95</v>
      </c>
      <c r="AK254" t="b">
        <v>1</v>
      </c>
    </row>
    <row r="255" spans="1:37">
      <c r="A255" s="1" t="s">
        <v>289</v>
      </c>
      <c r="B255" t="s">
        <v>610</v>
      </c>
      <c r="C255">
        <f>HYPERLINK("https://finance.naver.com/item/coinfo.nhn?code=214180", "A214180")</f>
        <v>0</v>
      </c>
      <c r="D255">
        <f>HYPERLINK("http://comp.fnguide.com/SVO2/ASP/SVD_Consensus.asp?pGB=1&amp;gicode=A214180&amp;cID=&amp;MenuYn=Y&amp;ReportGB=&amp;NewMenuID=108&amp;stkGb=701", "헥토이노베이션")</f>
        <v>0</v>
      </c>
      <c r="E255">
        <v>2</v>
      </c>
      <c r="F255">
        <v>12450</v>
      </c>
      <c r="G255">
        <v>0.93</v>
      </c>
      <c r="H255">
        <v>12.56</v>
      </c>
      <c r="I255">
        <v>15247</v>
      </c>
      <c r="J255">
        <v>12788</v>
      </c>
      <c r="K255">
        <v>11915</v>
      </c>
      <c r="L255">
        <v>-22.47</v>
      </c>
      <c r="M255">
        <v>-2.72</v>
      </c>
      <c r="N255">
        <v>4.3</v>
      </c>
      <c r="O255">
        <v>15.86</v>
      </c>
      <c r="P255" t="b">
        <v>1</v>
      </c>
      <c r="Q255">
        <v>3</v>
      </c>
      <c r="R255">
        <v>1600</v>
      </c>
      <c r="S255">
        <v>1946</v>
      </c>
      <c r="T255">
        <v>21.6</v>
      </c>
      <c r="U255" t="s">
        <v>931</v>
      </c>
      <c r="V255" t="s">
        <v>1252</v>
      </c>
      <c r="W255">
        <v>13.5414563122813</v>
      </c>
      <c r="X255">
        <v>33.9</v>
      </c>
      <c r="Y255" t="s">
        <v>1557</v>
      </c>
      <c r="Z255">
        <v>14.78714072116056</v>
      </c>
      <c r="AA255">
        <v>1651</v>
      </c>
      <c r="AB255">
        <v>163597</v>
      </c>
      <c r="AC255" t="s">
        <v>1874</v>
      </c>
      <c r="AD255">
        <v>30.42</v>
      </c>
      <c r="AE255" t="s">
        <v>2195</v>
      </c>
      <c r="AF255" t="s">
        <v>2514</v>
      </c>
      <c r="AG255">
        <v>2210</v>
      </c>
      <c r="AH255">
        <v>375</v>
      </c>
      <c r="AI255">
        <v>398216</v>
      </c>
      <c r="AJ255">
        <v>1.94</v>
      </c>
      <c r="AK255" t="b">
        <v>1</v>
      </c>
    </row>
    <row r="256" spans="1:37">
      <c r="A256" s="1" t="s">
        <v>290</v>
      </c>
      <c r="B256" t="s">
        <v>611</v>
      </c>
      <c r="C256">
        <f>HYPERLINK("https://finance.naver.com/item/coinfo.nhn?code=256150", "A256150")</f>
        <v>0</v>
      </c>
      <c r="D256">
        <f>HYPERLINK("http://comp.fnguide.com/SVO2/ASP/SVD_Consensus.asp?pGB=1&amp;gicode=A256150&amp;cID=&amp;MenuYn=Y&amp;ReportGB=&amp;NewMenuID=108&amp;stkGb=701", "한독크린텍")</f>
        <v>0</v>
      </c>
      <c r="E256">
        <v>2</v>
      </c>
      <c r="F256">
        <v>7640</v>
      </c>
      <c r="G256">
        <v>0</v>
      </c>
      <c r="H256">
        <v>19.33</v>
      </c>
      <c r="I256">
        <v>9356</v>
      </c>
      <c r="J256">
        <v>7825</v>
      </c>
      <c r="K256">
        <v>7281</v>
      </c>
      <c r="L256">
        <v>-22.46</v>
      </c>
      <c r="M256">
        <v>-2.42</v>
      </c>
      <c r="N256">
        <v>4.71</v>
      </c>
      <c r="O256">
        <v>15.97</v>
      </c>
      <c r="P256" t="b">
        <v>1</v>
      </c>
      <c r="Q256">
        <v>0</v>
      </c>
      <c r="R256">
        <v>559</v>
      </c>
      <c r="U256" t="s">
        <v>932</v>
      </c>
      <c r="V256" t="s">
        <v>1253</v>
      </c>
      <c r="W256">
        <v>0</v>
      </c>
      <c r="X256">
        <v>15.5</v>
      </c>
      <c r="Y256" t="s">
        <v>1558</v>
      </c>
      <c r="Z256">
        <v>12.01427924821619</v>
      </c>
      <c r="AA256">
        <v>641</v>
      </c>
      <c r="AB256">
        <v>17333</v>
      </c>
      <c r="AC256" t="s">
        <v>1875</v>
      </c>
      <c r="AD256">
        <v>41.12</v>
      </c>
      <c r="AE256" t="s">
        <v>2196</v>
      </c>
      <c r="AF256" t="s">
        <v>2515</v>
      </c>
      <c r="AG256">
        <v>527</v>
      </c>
      <c r="AH256">
        <v>49</v>
      </c>
      <c r="AI256">
        <v>387643</v>
      </c>
      <c r="AJ256">
        <v>1.85</v>
      </c>
      <c r="AK256" t="b">
        <v>1</v>
      </c>
    </row>
    <row r="257" spans="1:37">
      <c r="A257" s="1" t="s">
        <v>291</v>
      </c>
      <c r="B257" t="s">
        <v>612</v>
      </c>
      <c r="C257">
        <f>HYPERLINK("https://finance.naver.com/item/coinfo.nhn?code=206640", "A206640")</f>
        <v>0</v>
      </c>
      <c r="D257">
        <f>HYPERLINK("http://comp.fnguide.com/SVO2/ASP/SVD_Consensus.asp?pGB=1&amp;gicode=A206640&amp;cID=&amp;MenuYn=Y&amp;ReportGB=&amp;NewMenuID=108&amp;stkGb=701", "바디텍메드")</f>
        <v>0</v>
      </c>
      <c r="E257">
        <v>2</v>
      </c>
      <c r="F257">
        <v>13050</v>
      </c>
      <c r="G257">
        <v>0</v>
      </c>
      <c r="H257">
        <v>8.890000000000001</v>
      </c>
      <c r="I257">
        <v>21753</v>
      </c>
      <c r="J257">
        <v>13897</v>
      </c>
      <c r="K257">
        <v>11106</v>
      </c>
      <c r="L257">
        <v>-66.69</v>
      </c>
      <c r="M257">
        <v>-6.49</v>
      </c>
      <c r="N257">
        <v>14.9</v>
      </c>
      <c r="O257">
        <v>34.85</v>
      </c>
      <c r="P257" t="b">
        <v>1</v>
      </c>
      <c r="Q257">
        <v>0</v>
      </c>
      <c r="R257">
        <v>1889</v>
      </c>
      <c r="U257" t="s">
        <v>933</v>
      </c>
      <c r="V257" t="s">
        <v>1254</v>
      </c>
      <c r="W257">
        <v>0</v>
      </c>
      <c r="X257">
        <v>-50</v>
      </c>
      <c r="Y257" t="s">
        <v>1559</v>
      </c>
      <c r="Z257">
        <v>0</v>
      </c>
      <c r="AA257">
        <v>3065</v>
      </c>
      <c r="AB257">
        <v>1417815</v>
      </c>
      <c r="AC257" t="s">
        <v>1876</v>
      </c>
      <c r="AD257">
        <v>22.59</v>
      </c>
      <c r="AE257" t="s">
        <v>2197</v>
      </c>
      <c r="AF257" t="s">
        <v>2516</v>
      </c>
      <c r="AG257">
        <v>1577</v>
      </c>
      <c r="AH257">
        <v>519</v>
      </c>
      <c r="AI257">
        <v>1518764</v>
      </c>
      <c r="AJ257">
        <v>1.19</v>
      </c>
      <c r="AK257" t="b">
        <v>1</v>
      </c>
    </row>
    <row r="258" spans="1:37">
      <c r="A258" s="1" t="s">
        <v>292</v>
      </c>
      <c r="B258" t="s">
        <v>613</v>
      </c>
      <c r="C258">
        <f>HYPERLINK("https://finance.naver.com/item/coinfo.nhn?code=054220", "A054220")</f>
        <v>0</v>
      </c>
      <c r="D258">
        <f>HYPERLINK("http://comp.fnguide.com/SVO2/ASP/SVD_Consensus.asp?pGB=1&amp;gicode=A054220&amp;cID=&amp;MenuYn=Y&amp;ReportGB=&amp;NewMenuID=108&amp;stkGb=701", "비츠로시스")</f>
        <v>0</v>
      </c>
      <c r="E258">
        <v>2</v>
      </c>
      <c r="F258">
        <v>909</v>
      </c>
      <c r="G258">
        <v>0</v>
      </c>
      <c r="H258">
        <v>25.82</v>
      </c>
      <c r="I258">
        <v>1485</v>
      </c>
      <c r="J258">
        <v>997</v>
      </c>
      <c r="K258">
        <v>823</v>
      </c>
      <c r="L258">
        <v>-63.37</v>
      </c>
      <c r="M258">
        <v>-9.640000000000001</v>
      </c>
      <c r="N258">
        <v>9.44</v>
      </c>
      <c r="O258">
        <v>29.2</v>
      </c>
      <c r="P258" t="b">
        <v>1</v>
      </c>
      <c r="Q258">
        <v>0</v>
      </c>
      <c r="R258">
        <v>218</v>
      </c>
      <c r="U258" t="s">
        <v>934</v>
      </c>
      <c r="V258" t="s">
        <v>1255</v>
      </c>
      <c r="W258">
        <v>0</v>
      </c>
      <c r="Y258" t="s">
        <v>1336</v>
      </c>
      <c r="Z258">
        <v>0</v>
      </c>
      <c r="AA258">
        <v>229</v>
      </c>
      <c r="AB258">
        <v>584366</v>
      </c>
      <c r="AC258" t="s">
        <v>1877</v>
      </c>
      <c r="AD258">
        <v>27.82</v>
      </c>
      <c r="AE258" t="s">
        <v>2198</v>
      </c>
      <c r="AF258" t="s">
        <v>2517</v>
      </c>
      <c r="AG258">
        <v>168</v>
      </c>
      <c r="AH258">
        <v>4</v>
      </c>
      <c r="AK258" t="b">
        <v>1</v>
      </c>
    </row>
    <row r="259" spans="1:37">
      <c r="A259" s="1" t="s">
        <v>293</v>
      </c>
      <c r="B259" t="s">
        <v>614</v>
      </c>
      <c r="C259">
        <f>HYPERLINK("https://finance.naver.com/item/coinfo.nhn?code=108320", "A108320")</f>
        <v>0</v>
      </c>
      <c r="D259">
        <f>HYPERLINK("http://comp.fnguide.com/SVO2/ASP/SVD_Consensus.asp?pGB=1&amp;gicode=A108320&amp;cID=&amp;MenuYn=Y&amp;ReportGB=&amp;NewMenuID=108&amp;stkGb=701", "LX세미콘")</f>
        <v>0</v>
      </c>
      <c r="E259">
        <v>2</v>
      </c>
      <c r="F259">
        <v>76500</v>
      </c>
      <c r="G259">
        <v>0.1</v>
      </c>
      <c r="H259">
        <v>9.18</v>
      </c>
      <c r="I259">
        <v>127063</v>
      </c>
      <c r="J259">
        <v>85942</v>
      </c>
      <c r="K259">
        <v>71333</v>
      </c>
      <c r="L259">
        <v>-66.09999999999999</v>
      </c>
      <c r="M259">
        <v>-12.34</v>
      </c>
      <c r="N259">
        <v>6.75</v>
      </c>
      <c r="O259">
        <v>28.46</v>
      </c>
      <c r="P259" t="b">
        <v>1</v>
      </c>
      <c r="Q259">
        <v>0</v>
      </c>
      <c r="R259">
        <v>18225</v>
      </c>
      <c r="S259">
        <v>17139</v>
      </c>
      <c r="T259">
        <v>-6</v>
      </c>
      <c r="U259" t="s">
        <v>935</v>
      </c>
      <c r="V259" t="s">
        <v>1256</v>
      </c>
      <c r="W259">
        <v>93.33349215867517</v>
      </c>
      <c r="X259">
        <v>-3</v>
      </c>
      <c r="Y259" t="s">
        <v>1560</v>
      </c>
      <c r="Z259">
        <v>43.60210713634935</v>
      </c>
      <c r="AA259">
        <v>12442</v>
      </c>
      <c r="AB259">
        <v>114967</v>
      </c>
      <c r="AC259" t="s">
        <v>1878</v>
      </c>
      <c r="AD259">
        <v>33.11</v>
      </c>
      <c r="AE259" t="s">
        <v>2199</v>
      </c>
      <c r="AF259" t="s">
        <v>2518</v>
      </c>
      <c r="AG259">
        <v>18988</v>
      </c>
      <c r="AH259">
        <v>3696</v>
      </c>
      <c r="AJ259">
        <v>3.23</v>
      </c>
      <c r="AK259" t="b">
        <v>1</v>
      </c>
    </row>
    <row r="260" spans="1:37">
      <c r="A260" s="1" t="s">
        <v>294</v>
      </c>
      <c r="B260" t="s">
        <v>615</v>
      </c>
      <c r="C260">
        <f>HYPERLINK("https://finance.naver.com/item/coinfo.nhn?code=128660", "A128660")</f>
        <v>0</v>
      </c>
      <c r="D260">
        <f>HYPERLINK("http://comp.fnguide.com/SVO2/ASP/SVD_Consensus.asp?pGB=1&amp;gicode=A128660&amp;cID=&amp;MenuYn=Y&amp;ReportGB=&amp;NewMenuID=108&amp;stkGb=701", "피제이메탈")</f>
        <v>0</v>
      </c>
      <c r="E260">
        <v>2</v>
      </c>
      <c r="F260">
        <v>3295</v>
      </c>
      <c r="G260">
        <v>0</v>
      </c>
      <c r="H260">
        <v>7.19</v>
      </c>
      <c r="I260">
        <v>4886</v>
      </c>
      <c r="J260">
        <v>3553</v>
      </c>
      <c r="K260">
        <v>3080</v>
      </c>
      <c r="L260">
        <v>-48.29</v>
      </c>
      <c r="M260">
        <v>-7.84</v>
      </c>
      <c r="N260">
        <v>6.53</v>
      </c>
      <c r="O260">
        <v>22.79</v>
      </c>
      <c r="P260" t="b">
        <v>1</v>
      </c>
      <c r="Q260">
        <v>0</v>
      </c>
      <c r="R260">
        <v>740</v>
      </c>
      <c r="U260" t="s">
        <v>936</v>
      </c>
      <c r="V260" t="s">
        <v>1257</v>
      </c>
      <c r="W260">
        <v>0</v>
      </c>
      <c r="X260">
        <v>-90.5</v>
      </c>
      <c r="Y260" t="s">
        <v>1561</v>
      </c>
      <c r="Z260">
        <v>-20.10834087295344</v>
      </c>
      <c r="AA260">
        <v>817</v>
      </c>
      <c r="AB260">
        <v>63121</v>
      </c>
      <c r="AC260" t="s">
        <v>1879</v>
      </c>
      <c r="AD260">
        <v>64.22</v>
      </c>
      <c r="AE260" t="s">
        <v>2200</v>
      </c>
      <c r="AF260" t="s">
        <v>2519</v>
      </c>
      <c r="AG260">
        <v>2462</v>
      </c>
      <c r="AH260">
        <v>252</v>
      </c>
      <c r="AJ260">
        <v>2.82</v>
      </c>
      <c r="AK260" t="b">
        <v>1</v>
      </c>
    </row>
    <row r="261" spans="1:37">
      <c r="A261" s="1" t="s">
        <v>295</v>
      </c>
      <c r="B261" t="s">
        <v>616</v>
      </c>
      <c r="C261">
        <f>HYPERLINK("https://finance.naver.com/item/coinfo.nhn?code=010050", "A010050")</f>
        <v>0</v>
      </c>
      <c r="D261">
        <f>HYPERLINK("http://comp.fnguide.com/SVO2/ASP/SVD_Consensus.asp?pGB=1&amp;gicode=A010050&amp;cID=&amp;MenuYn=Y&amp;ReportGB=&amp;NewMenuID=108&amp;stkGb=701", "우리종금")</f>
        <v>0</v>
      </c>
      <c r="E261">
        <v>2</v>
      </c>
      <c r="F261">
        <v>775</v>
      </c>
      <c r="G261">
        <v>0</v>
      </c>
      <c r="H261">
        <v>9.869999999999999</v>
      </c>
      <c r="I261">
        <v>895</v>
      </c>
      <c r="J261">
        <v>785</v>
      </c>
      <c r="K261">
        <v>746</v>
      </c>
      <c r="L261">
        <v>-15.46</v>
      </c>
      <c r="M261">
        <v>-1.25</v>
      </c>
      <c r="N261">
        <v>3.8</v>
      </c>
      <c r="O261">
        <v>14.37</v>
      </c>
      <c r="P261" t="b">
        <v>0</v>
      </c>
      <c r="Q261">
        <v>0</v>
      </c>
      <c r="R261">
        <v>91</v>
      </c>
      <c r="U261" t="s">
        <v>937</v>
      </c>
      <c r="V261" t="s">
        <v>1258</v>
      </c>
      <c r="W261">
        <v>0</v>
      </c>
      <c r="Y261" t="s">
        <v>1321</v>
      </c>
      <c r="Z261">
        <v>33.61539187934501</v>
      </c>
      <c r="AA261">
        <v>6775</v>
      </c>
      <c r="AB261">
        <v>575205</v>
      </c>
      <c r="AC261" t="s">
        <v>1880</v>
      </c>
      <c r="AD261">
        <v>58.76</v>
      </c>
      <c r="AE261" t="s">
        <v>2201</v>
      </c>
      <c r="AF261" t="s">
        <v>2520</v>
      </c>
      <c r="AG261">
        <v>3033</v>
      </c>
      <c r="AH261">
        <v>1040</v>
      </c>
      <c r="AI261">
        <v>69076</v>
      </c>
      <c r="AJ261">
        <v>2.22</v>
      </c>
      <c r="AK261" t="b">
        <v>1</v>
      </c>
    </row>
    <row r="262" spans="1:37">
      <c r="A262" s="1" t="s">
        <v>296</v>
      </c>
      <c r="B262" t="s">
        <v>617</v>
      </c>
      <c r="C262">
        <f>HYPERLINK("https://finance.naver.com/item/coinfo.nhn?code=089970", "A089970")</f>
        <v>0</v>
      </c>
      <c r="D262">
        <f>HYPERLINK("http://comp.fnguide.com/SVO2/ASP/SVD_Consensus.asp?pGB=1&amp;gicode=A089970&amp;cID=&amp;MenuYn=Y&amp;ReportGB=&amp;NewMenuID=108&amp;stkGb=701", "에이피티씨")</f>
        <v>0</v>
      </c>
      <c r="E262">
        <v>2</v>
      </c>
      <c r="F262">
        <v>10950</v>
      </c>
      <c r="G262">
        <v>0</v>
      </c>
      <c r="H262">
        <v>11.25</v>
      </c>
      <c r="I262">
        <v>18171</v>
      </c>
      <c r="J262">
        <v>11400</v>
      </c>
      <c r="K262">
        <v>8994</v>
      </c>
      <c r="L262">
        <v>-65.94</v>
      </c>
      <c r="M262">
        <v>-4.11</v>
      </c>
      <c r="N262">
        <v>17.86</v>
      </c>
      <c r="O262">
        <v>37.43</v>
      </c>
      <c r="P262" t="b">
        <v>1</v>
      </c>
      <c r="Q262">
        <v>0</v>
      </c>
      <c r="R262">
        <v>1968</v>
      </c>
      <c r="U262" t="s">
        <v>938</v>
      </c>
      <c r="V262" t="s">
        <v>1259</v>
      </c>
      <c r="W262">
        <v>0</v>
      </c>
      <c r="X262">
        <v>-12.9</v>
      </c>
      <c r="Y262" t="s">
        <v>1562</v>
      </c>
      <c r="Z262">
        <v>27.56778804595834</v>
      </c>
      <c r="AA262">
        <v>2626</v>
      </c>
      <c r="AB262">
        <v>54439</v>
      </c>
      <c r="AC262" t="s">
        <v>1881</v>
      </c>
      <c r="AD262">
        <v>14.27</v>
      </c>
      <c r="AE262" t="s">
        <v>2202</v>
      </c>
      <c r="AF262" t="s">
        <v>2521</v>
      </c>
      <c r="AG262">
        <v>1781</v>
      </c>
      <c r="AH262">
        <v>540</v>
      </c>
      <c r="AI262">
        <v>2654609</v>
      </c>
      <c r="AJ262">
        <v>5.42</v>
      </c>
      <c r="AK262" t="b">
        <v>1</v>
      </c>
    </row>
    <row r="263" spans="1:37">
      <c r="A263" s="1" t="s">
        <v>297</v>
      </c>
      <c r="B263" t="s">
        <v>618</v>
      </c>
      <c r="C263">
        <f>HYPERLINK("https://finance.naver.com/item/coinfo.nhn?code=009780", "A009780")</f>
        <v>0</v>
      </c>
      <c r="D263">
        <f>HYPERLINK("http://comp.fnguide.com/SVO2/ASP/SVD_Consensus.asp?pGB=1&amp;gicode=A009780&amp;cID=&amp;MenuYn=Y&amp;ReportGB=&amp;NewMenuID=108&amp;stkGb=701", "엠에스씨")</f>
        <v>0</v>
      </c>
      <c r="E263">
        <v>2</v>
      </c>
      <c r="F263">
        <v>6940</v>
      </c>
      <c r="G263">
        <v>0.3</v>
      </c>
      <c r="H263">
        <v>6.78</v>
      </c>
      <c r="I263">
        <v>7435</v>
      </c>
      <c r="J263">
        <v>6980</v>
      </c>
      <c r="K263">
        <v>6819</v>
      </c>
      <c r="L263">
        <v>-7.13</v>
      </c>
      <c r="M263">
        <v>-0.58</v>
      </c>
      <c r="N263">
        <v>1.75</v>
      </c>
      <c r="O263">
        <v>12.46</v>
      </c>
      <c r="P263" t="b">
        <v>1</v>
      </c>
      <c r="Q263">
        <v>2</v>
      </c>
      <c r="R263">
        <v>874</v>
      </c>
      <c r="S263">
        <v>1222</v>
      </c>
      <c r="T263">
        <v>39.8</v>
      </c>
      <c r="U263" t="s">
        <v>939</v>
      </c>
      <c r="V263" t="s">
        <v>1260</v>
      </c>
      <c r="W263">
        <v>22.84665403256867</v>
      </c>
      <c r="X263">
        <v>12.1</v>
      </c>
      <c r="Y263" t="s">
        <v>1563</v>
      </c>
      <c r="Z263">
        <v>8.94035318730948</v>
      </c>
      <c r="AA263">
        <v>1221</v>
      </c>
      <c r="AB263">
        <v>67227</v>
      </c>
      <c r="AC263" t="s">
        <v>1882</v>
      </c>
      <c r="AD263">
        <v>73.22</v>
      </c>
      <c r="AE263" t="s">
        <v>2203</v>
      </c>
      <c r="AF263" t="s">
        <v>2522</v>
      </c>
      <c r="AG263">
        <v>1620</v>
      </c>
      <c r="AH263">
        <v>213</v>
      </c>
      <c r="AJ263">
        <v>1.01</v>
      </c>
      <c r="AK263" t="b">
        <v>1</v>
      </c>
    </row>
    <row r="264" spans="1:37">
      <c r="A264" s="1" t="s">
        <v>298</v>
      </c>
      <c r="B264" t="s">
        <v>619</v>
      </c>
      <c r="C264">
        <f>HYPERLINK("https://finance.naver.com/item/coinfo.nhn?code=065150", "A065150")</f>
        <v>0</v>
      </c>
      <c r="D264">
        <f>HYPERLINK("http://comp.fnguide.com/SVO2/ASP/SVD_Consensus.asp?pGB=1&amp;gicode=A065150&amp;cID=&amp;MenuYn=Y&amp;ReportGB=&amp;NewMenuID=108&amp;stkGb=701", "엠피대산")</f>
        <v>0</v>
      </c>
      <c r="E264">
        <v>2</v>
      </c>
      <c r="F264">
        <v>423</v>
      </c>
      <c r="G264">
        <v>0</v>
      </c>
      <c r="H264">
        <v>7.49</v>
      </c>
      <c r="I264">
        <v>585</v>
      </c>
      <c r="J264">
        <v>447</v>
      </c>
      <c r="K264">
        <v>397</v>
      </c>
      <c r="L264">
        <v>-38.35</v>
      </c>
      <c r="M264">
        <v>-5.56</v>
      </c>
      <c r="N264">
        <v>6.09</v>
      </c>
      <c r="O264">
        <v>19.99</v>
      </c>
      <c r="P264" t="b">
        <v>1</v>
      </c>
      <c r="Q264">
        <v>0</v>
      </c>
      <c r="R264">
        <v>104</v>
      </c>
      <c r="U264" t="s">
        <v>940</v>
      </c>
      <c r="V264" t="s">
        <v>1261</v>
      </c>
      <c r="W264">
        <v>0</v>
      </c>
      <c r="Y264" t="s">
        <v>1336</v>
      </c>
      <c r="Z264">
        <v>0</v>
      </c>
      <c r="AA264">
        <v>530</v>
      </c>
      <c r="AB264">
        <v>273497</v>
      </c>
      <c r="AC264" t="s">
        <v>1883</v>
      </c>
      <c r="AD264">
        <v>31.93</v>
      </c>
      <c r="AE264" t="s">
        <v>2204</v>
      </c>
      <c r="AF264" t="s">
        <v>2523</v>
      </c>
      <c r="AG264">
        <v>1043</v>
      </c>
      <c r="AH264">
        <v>-9</v>
      </c>
      <c r="AI264">
        <v>362400</v>
      </c>
      <c r="AK264" t="b">
        <v>1</v>
      </c>
    </row>
    <row r="265" spans="1:37">
      <c r="A265" s="1" t="s">
        <v>299</v>
      </c>
      <c r="B265" t="s">
        <v>620</v>
      </c>
      <c r="C265">
        <f>HYPERLINK("https://finance.naver.com/item/coinfo.nhn?code=014940", "A014940")</f>
        <v>0</v>
      </c>
      <c r="D265">
        <f>HYPERLINK("http://comp.fnguide.com/SVO2/ASP/SVD_Consensus.asp?pGB=1&amp;gicode=A014940&amp;cID=&amp;MenuYn=Y&amp;ReportGB=&amp;NewMenuID=108&amp;stkGb=701", "오리엔탈정공")</f>
        <v>0</v>
      </c>
      <c r="E265">
        <v>2</v>
      </c>
      <c r="F265">
        <v>2480</v>
      </c>
      <c r="G265">
        <v>0</v>
      </c>
      <c r="H265">
        <v>36.74</v>
      </c>
      <c r="I265">
        <v>4101</v>
      </c>
      <c r="J265">
        <v>2807</v>
      </c>
      <c r="K265">
        <v>2347</v>
      </c>
      <c r="L265">
        <v>-65.34999999999999</v>
      </c>
      <c r="M265">
        <v>-13.18</v>
      </c>
      <c r="N265">
        <v>5.35</v>
      </c>
      <c r="O265">
        <v>27.37</v>
      </c>
      <c r="P265" t="b">
        <v>1</v>
      </c>
      <c r="Q265">
        <v>0</v>
      </c>
      <c r="R265">
        <v>100</v>
      </c>
      <c r="U265" t="s">
        <v>941</v>
      </c>
      <c r="V265" t="s">
        <v>1262</v>
      </c>
      <c r="W265">
        <v>0</v>
      </c>
      <c r="X265">
        <v>73.2</v>
      </c>
      <c r="Y265" t="s">
        <v>1564</v>
      </c>
      <c r="Z265">
        <v>0</v>
      </c>
      <c r="AA265">
        <v>1130</v>
      </c>
      <c r="AB265">
        <v>100655</v>
      </c>
      <c r="AC265" t="s">
        <v>1884</v>
      </c>
      <c r="AD265">
        <v>45.88</v>
      </c>
      <c r="AE265" t="s">
        <v>2205</v>
      </c>
      <c r="AF265" t="s">
        <v>2524</v>
      </c>
      <c r="AG265">
        <v>1159</v>
      </c>
      <c r="AH265">
        <v>67</v>
      </c>
      <c r="AI265">
        <v>26372</v>
      </c>
      <c r="AK265" t="b">
        <v>1</v>
      </c>
    </row>
    <row r="266" spans="1:37">
      <c r="A266" s="1" t="s">
        <v>300</v>
      </c>
      <c r="B266" t="s">
        <v>621</v>
      </c>
      <c r="C266">
        <f>HYPERLINK("https://finance.naver.com/item/coinfo.nhn?code=323280", "A323280")</f>
        <v>0</v>
      </c>
      <c r="D266">
        <f>HYPERLINK("http://comp.fnguide.com/SVO2/ASP/SVD_Consensus.asp?pGB=1&amp;gicode=A323280&amp;cID=&amp;MenuYn=Y&amp;ReportGB=&amp;NewMenuID=108&amp;stkGb=701", "태성")</f>
        <v>0</v>
      </c>
      <c r="E266">
        <v>2</v>
      </c>
      <c r="F266">
        <v>1770</v>
      </c>
      <c r="G266">
        <v>0</v>
      </c>
      <c r="I266">
        <v>3088</v>
      </c>
      <c r="J266">
        <v>1903</v>
      </c>
      <c r="K266">
        <v>1482</v>
      </c>
      <c r="L266">
        <v>-74.45</v>
      </c>
      <c r="M266">
        <v>-7.49</v>
      </c>
      <c r="N266">
        <v>16.3</v>
      </c>
      <c r="O266">
        <v>40.33</v>
      </c>
      <c r="P266" t="b">
        <v>0</v>
      </c>
      <c r="Q266">
        <v>0</v>
      </c>
      <c r="R266">
        <v>524</v>
      </c>
      <c r="U266" t="s">
        <v>942</v>
      </c>
      <c r="V266" t="s">
        <v>1263</v>
      </c>
      <c r="W266">
        <v>0</v>
      </c>
      <c r="X266">
        <v>53.1</v>
      </c>
      <c r="Y266" t="s">
        <v>1565</v>
      </c>
      <c r="Z266">
        <v>0</v>
      </c>
      <c r="AA266">
        <v>447</v>
      </c>
      <c r="AB266">
        <v>168878</v>
      </c>
      <c r="AC266" t="s">
        <v>1885</v>
      </c>
      <c r="AD266">
        <v>42.12</v>
      </c>
      <c r="AE266" t="s">
        <v>2206</v>
      </c>
      <c r="AF266" t="s">
        <v>2272</v>
      </c>
      <c r="AG266">
        <v>439</v>
      </c>
      <c r="AH266">
        <v>46</v>
      </c>
      <c r="AI266">
        <v>350004</v>
      </c>
      <c r="AK266" t="b">
        <v>1</v>
      </c>
    </row>
    <row r="267" spans="1:37">
      <c r="A267" s="1" t="s">
        <v>301</v>
      </c>
      <c r="B267" t="s">
        <v>622</v>
      </c>
      <c r="C267">
        <f>HYPERLINK("https://finance.naver.com/item/coinfo.nhn?code=139990", "A139990")</f>
        <v>0</v>
      </c>
      <c r="D267">
        <f>HYPERLINK("http://comp.fnguide.com/SVO2/ASP/SVD_Consensus.asp?pGB=1&amp;gicode=A139990&amp;cID=&amp;MenuYn=Y&amp;ReportGB=&amp;NewMenuID=108&amp;stkGb=701", "아주스틸")</f>
        <v>0</v>
      </c>
      <c r="E267">
        <v>2</v>
      </c>
      <c r="F267">
        <v>9590</v>
      </c>
      <c r="G267">
        <v>0</v>
      </c>
      <c r="H267">
        <v>13.1</v>
      </c>
      <c r="I267">
        <v>11076</v>
      </c>
      <c r="J267">
        <v>9928</v>
      </c>
      <c r="K267">
        <v>9520</v>
      </c>
      <c r="L267">
        <v>-15.5</v>
      </c>
      <c r="M267">
        <v>-3.53</v>
      </c>
      <c r="N267">
        <v>0.72</v>
      </c>
      <c r="O267">
        <v>13.71</v>
      </c>
      <c r="P267" t="b">
        <v>0</v>
      </c>
      <c r="Q267">
        <v>0</v>
      </c>
      <c r="R267">
        <v>1413</v>
      </c>
      <c r="U267" t="s">
        <v>943</v>
      </c>
      <c r="V267" t="s">
        <v>1264</v>
      </c>
      <c r="W267">
        <v>0</v>
      </c>
      <c r="X267">
        <v>-72.5</v>
      </c>
      <c r="Y267" t="s">
        <v>1566</v>
      </c>
      <c r="Z267">
        <v>0</v>
      </c>
      <c r="AA267">
        <v>2537</v>
      </c>
      <c r="AB267">
        <v>22744</v>
      </c>
      <c r="AC267" t="s">
        <v>1886</v>
      </c>
      <c r="AD267">
        <v>44.5</v>
      </c>
      <c r="AE267" t="s">
        <v>2207</v>
      </c>
      <c r="AF267" t="s">
        <v>2525</v>
      </c>
      <c r="AG267">
        <v>9334</v>
      </c>
      <c r="AH267">
        <v>553</v>
      </c>
      <c r="AK267" t="b">
        <v>1</v>
      </c>
    </row>
    <row r="268" spans="1:37">
      <c r="A268" s="1" t="s">
        <v>302</v>
      </c>
      <c r="B268" t="s">
        <v>623</v>
      </c>
      <c r="C268">
        <f>HYPERLINK("https://finance.naver.com/item/coinfo.nhn?code=089790", "A089790")</f>
        <v>0</v>
      </c>
      <c r="D268">
        <f>HYPERLINK("http://comp.fnguide.com/SVO2/ASP/SVD_Consensus.asp?pGB=1&amp;gicode=A089790&amp;cID=&amp;MenuYn=Y&amp;ReportGB=&amp;NewMenuID=108&amp;stkGb=701", "제이티")</f>
        <v>0</v>
      </c>
      <c r="E268">
        <v>2</v>
      </c>
      <c r="F268">
        <v>7210</v>
      </c>
      <c r="G268">
        <v>0</v>
      </c>
      <c r="H268">
        <v>7.86</v>
      </c>
      <c r="I268">
        <v>12285</v>
      </c>
      <c r="J268">
        <v>8513</v>
      </c>
      <c r="K268">
        <v>7173</v>
      </c>
      <c r="L268">
        <v>-70.38</v>
      </c>
      <c r="M268">
        <v>-18.07</v>
      </c>
      <c r="N268">
        <v>0.51</v>
      </c>
      <c r="O268">
        <v>26.32</v>
      </c>
      <c r="P268" t="b">
        <v>1</v>
      </c>
      <c r="Q268">
        <v>0</v>
      </c>
      <c r="R268">
        <v>1349</v>
      </c>
      <c r="U268" t="s">
        <v>944</v>
      </c>
      <c r="V268" t="s">
        <v>1265</v>
      </c>
      <c r="W268">
        <v>0</v>
      </c>
      <c r="X268">
        <v>24</v>
      </c>
      <c r="Y268" t="s">
        <v>1567</v>
      </c>
      <c r="Z268">
        <v>0</v>
      </c>
      <c r="AA268">
        <v>744</v>
      </c>
      <c r="AB268">
        <v>9966</v>
      </c>
      <c r="AC268" t="s">
        <v>1887</v>
      </c>
      <c r="AD268">
        <v>27.94</v>
      </c>
      <c r="AE268" t="s">
        <v>2208</v>
      </c>
      <c r="AF268" t="s">
        <v>2526</v>
      </c>
      <c r="AG268">
        <v>656</v>
      </c>
      <c r="AH268">
        <v>112</v>
      </c>
      <c r="AI268">
        <v>1352757</v>
      </c>
      <c r="AK268" t="b">
        <v>1</v>
      </c>
    </row>
    <row r="269" spans="1:37">
      <c r="A269" s="1" t="s">
        <v>303</v>
      </c>
      <c r="B269" t="s">
        <v>624</v>
      </c>
      <c r="C269">
        <f>HYPERLINK("https://finance.naver.com/item/coinfo.nhn?code=293490", "A293490")</f>
        <v>0</v>
      </c>
      <c r="D269">
        <f>HYPERLINK("http://comp.fnguide.com/SVO2/ASP/SVD_Consensus.asp?pGB=1&amp;gicode=A293490&amp;cID=&amp;MenuYn=Y&amp;ReportGB=&amp;NewMenuID=108&amp;stkGb=701", "카카오게임즈")</f>
        <v>0</v>
      </c>
      <c r="E269">
        <v>1</v>
      </c>
      <c r="F269">
        <v>44300</v>
      </c>
      <c r="G269">
        <v>0.22</v>
      </c>
      <c r="H269">
        <v>12.89</v>
      </c>
      <c r="I269">
        <v>50365</v>
      </c>
      <c r="J269">
        <v>37392</v>
      </c>
      <c r="K269">
        <v>32784</v>
      </c>
      <c r="L269">
        <v>-13.69</v>
      </c>
      <c r="M269">
        <v>15.59</v>
      </c>
      <c r="N269">
        <v>26</v>
      </c>
      <c r="O269">
        <v>21.51</v>
      </c>
      <c r="P269" t="b">
        <v>1</v>
      </c>
      <c r="Q269">
        <v>0</v>
      </c>
      <c r="R269">
        <v>7062</v>
      </c>
      <c r="S269">
        <v>788</v>
      </c>
      <c r="T269">
        <v>-88.8</v>
      </c>
      <c r="U269" t="s">
        <v>945</v>
      </c>
      <c r="V269" t="s">
        <v>1266</v>
      </c>
      <c r="W269">
        <v>58.93291897560496</v>
      </c>
      <c r="X269">
        <v>-18.4</v>
      </c>
      <c r="Y269" t="s">
        <v>1568</v>
      </c>
      <c r="Z269">
        <v>21.40756202045273</v>
      </c>
      <c r="AA269">
        <v>36454</v>
      </c>
      <c r="AB269">
        <v>522953</v>
      </c>
      <c r="AC269" t="s">
        <v>1888</v>
      </c>
      <c r="AD269">
        <v>53.78</v>
      </c>
      <c r="AE269" t="s">
        <v>2209</v>
      </c>
      <c r="AF269" t="s">
        <v>2527</v>
      </c>
      <c r="AG269">
        <v>10125</v>
      </c>
      <c r="AH269">
        <v>1119</v>
      </c>
      <c r="AI269">
        <v>854009</v>
      </c>
      <c r="AK269" t="b">
        <v>1</v>
      </c>
    </row>
    <row r="270" spans="1:37">
      <c r="A270" s="1" t="s">
        <v>304</v>
      </c>
      <c r="B270" t="s">
        <v>625</v>
      </c>
      <c r="C270">
        <f>HYPERLINK("https://finance.naver.com/item/coinfo.nhn?code=126700", "A126700")</f>
        <v>0</v>
      </c>
      <c r="D270">
        <f>HYPERLINK("http://comp.fnguide.com/SVO2/ASP/SVD_Consensus.asp?pGB=1&amp;gicode=A126700&amp;cID=&amp;MenuYn=Y&amp;ReportGB=&amp;NewMenuID=108&amp;stkGb=701", "하이비젼시스템")</f>
        <v>0</v>
      </c>
      <c r="E270">
        <v>1</v>
      </c>
      <c r="F270">
        <v>18100</v>
      </c>
      <c r="G270">
        <v>0.31</v>
      </c>
      <c r="H270">
        <v>8.220000000000001</v>
      </c>
      <c r="I270">
        <v>21867</v>
      </c>
      <c r="J270">
        <v>17486</v>
      </c>
      <c r="K270">
        <v>15930</v>
      </c>
      <c r="L270">
        <v>-20.81</v>
      </c>
      <c r="M270">
        <v>3.39</v>
      </c>
      <c r="N270">
        <v>11.99</v>
      </c>
      <c r="O270">
        <v>17.75</v>
      </c>
      <c r="P270" t="b">
        <v>1</v>
      </c>
      <c r="Q270">
        <v>0</v>
      </c>
      <c r="R270">
        <v>2896</v>
      </c>
      <c r="S270">
        <v>1128</v>
      </c>
      <c r="T270">
        <v>-61</v>
      </c>
      <c r="U270" t="s">
        <v>946</v>
      </c>
      <c r="V270" t="s">
        <v>1267</v>
      </c>
      <c r="W270">
        <v>26.34984407138239</v>
      </c>
      <c r="X270">
        <v>-79.90000000000001</v>
      </c>
      <c r="Y270" t="s">
        <v>1569</v>
      </c>
      <c r="Z270">
        <v>-15.78107228772542</v>
      </c>
      <c r="AA270">
        <v>2705</v>
      </c>
      <c r="AB270">
        <v>213584</v>
      </c>
      <c r="AC270" t="s">
        <v>1889</v>
      </c>
      <c r="AD270">
        <v>15.69</v>
      </c>
      <c r="AE270" t="s">
        <v>2210</v>
      </c>
      <c r="AF270" t="s">
        <v>2528</v>
      </c>
      <c r="AG270">
        <v>2729</v>
      </c>
      <c r="AH270">
        <v>435</v>
      </c>
      <c r="AI270">
        <v>1701876</v>
      </c>
      <c r="AJ270">
        <v>0.63</v>
      </c>
      <c r="AK270" t="b">
        <v>1</v>
      </c>
    </row>
    <row r="271" spans="1:37">
      <c r="A271" s="1" t="s">
        <v>305</v>
      </c>
      <c r="B271" t="s">
        <v>626</v>
      </c>
      <c r="C271">
        <f>HYPERLINK("https://finance.naver.com/item/coinfo.nhn?code=347770", "A347770")</f>
        <v>0</v>
      </c>
      <c r="D271">
        <f>HYPERLINK("http://comp.fnguide.com/SVO2/ASP/SVD_Consensus.asp?pGB=1&amp;gicode=A347770&amp;cID=&amp;MenuYn=Y&amp;ReportGB=&amp;NewMenuID=108&amp;stkGb=701", "핌스")</f>
        <v>0</v>
      </c>
      <c r="E271">
        <v>1</v>
      </c>
      <c r="F271">
        <v>11300</v>
      </c>
      <c r="G271">
        <v>0</v>
      </c>
      <c r="H271">
        <v>29.49</v>
      </c>
      <c r="I271">
        <v>14886</v>
      </c>
      <c r="J271">
        <v>10947</v>
      </c>
      <c r="K271">
        <v>9548</v>
      </c>
      <c r="L271">
        <v>-31.73</v>
      </c>
      <c r="M271">
        <v>3.12</v>
      </c>
      <c r="N271">
        <v>15.5</v>
      </c>
      <c r="O271">
        <v>22.08</v>
      </c>
      <c r="P271" t="b">
        <v>0</v>
      </c>
      <c r="Q271">
        <v>0</v>
      </c>
      <c r="R271">
        <v>977</v>
      </c>
      <c r="U271" t="s">
        <v>947</v>
      </c>
      <c r="V271" t="s">
        <v>1268</v>
      </c>
      <c r="W271">
        <v>0</v>
      </c>
      <c r="X271">
        <v>-78.90000000000001</v>
      </c>
      <c r="Y271" t="s">
        <v>1570</v>
      </c>
      <c r="Z271">
        <v>0</v>
      </c>
      <c r="AA271">
        <v>883</v>
      </c>
      <c r="AB271">
        <v>142819</v>
      </c>
      <c r="AC271" t="s">
        <v>1890</v>
      </c>
      <c r="AD271">
        <v>40.59</v>
      </c>
      <c r="AE271" t="s">
        <v>2211</v>
      </c>
      <c r="AF271" t="s">
        <v>2529</v>
      </c>
      <c r="AG271">
        <v>671</v>
      </c>
      <c r="AH271">
        <v>73</v>
      </c>
      <c r="AI271">
        <v>199500</v>
      </c>
      <c r="AK271" t="b">
        <v>1</v>
      </c>
    </row>
    <row r="272" spans="1:37">
      <c r="A272" s="1" t="s">
        <v>306</v>
      </c>
      <c r="B272" t="s">
        <v>627</v>
      </c>
      <c r="C272">
        <f>HYPERLINK("https://finance.naver.com/item/coinfo.nhn?code=382800", "A382800")</f>
        <v>0</v>
      </c>
      <c r="D272">
        <f>HYPERLINK("http://comp.fnguide.com/SVO2/ASP/SVD_Consensus.asp?pGB=1&amp;gicode=A382800&amp;cID=&amp;MenuYn=Y&amp;ReportGB=&amp;NewMenuID=108&amp;stkGb=701", "지앤비에스엔지니어링")</f>
        <v>0</v>
      </c>
      <c r="E272">
        <v>1</v>
      </c>
      <c r="F272">
        <v>11700</v>
      </c>
      <c r="G272">
        <v>0</v>
      </c>
      <c r="H272">
        <v>11.6</v>
      </c>
      <c r="I272">
        <v>16251</v>
      </c>
      <c r="J272">
        <v>11634</v>
      </c>
      <c r="K272">
        <v>9994</v>
      </c>
      <c r="L272">
        <v>-38.9</v>
      </c>
      <c r="M272">
        <v>0.5600000000000001</v>
      </c>
      <c r="N272">
        <v>14.58</v>
      </c>
      <c r="O272">
        <v>23.85</v>
      </c>
      <c r="P272" t="b">
        <v>1</v>
      </c>
      <c r="Q272">
        <v>0</v>
      </c>
      <c r="R272">
        <v>1729</v>
      </c>
      <c r="U272" t="s">
        <v>948</v>
      </c>
      <c r="V272" t="s">
        <v>1269</v>
      </c>
      <c r="W272">
        <v>0</v>
      </c>
      <c r="X272">
        <v>12.7</v>
      </c>
      <c r="Y272" t="s">
        <v>1571</v>
      </c>
      <c r="Z272">
        <v>0</v>
      </c>
      <c r="AA272">
        <v>887</v>
      </c>
      <c r="AB272">
        <v>61796</v>
      </c>
      <c r="AC272" t="s">
        <v>1891</v>
      </c>
      <c r="AD272">
        <v>29.69</v>
      </c>
      <c r="AE272" t="s">
        <v>2212</v>
      </c>
      <c r="AF272" t="s">
        <v>2530</v>
      </c>
      <c r="AG272">
        <v>521</v>
      </c>
      <c r="AH272">
        <v>106</v>
      </c>
      <c r="AI272">
        <v>134652</v>
      </c>
      <c r="AK272" t="b">
        <v>1</v>
      </c>
    </row>
    <row r="273" spans="1:37">
      <c r="A273" s="1" t="s">
        <v>307</v>
      </c>
      <c r="B273" t="s">
        <v>628</v>
      </c>
      <c r="C273">
        <f>HYPERLINK("https://finance.naver.com/item/coinfo.nhn?code=170790", "A170790")</f>
        <v>0</v>
      </c>
      <c r="D273">
        <f>HYPERLINK("http://comp.fnguide.com/SVO2/ASP/SVD_Consensus.asp?pGB=1&amp;gicode=A170790&amp;cID=&amp;MenuYn=Y&amp;ReportGB=&amp;NewMenuID=108&amp;stkGb=701", "파이오링크")</f>
        <v>0</v>
      </c>
      <c r="E273">
        <v>1</v>
      </c>
      <c r="F273">
        <v>13050</v>
      </c>
      <c r="G273">
        <v>0</v>
      </c>
      <c r="H273">
        <v>10.84</v>
      </c>
      <c r="I273">
        <v>17023</v>
      </c>
      <c r="J273">
        <v>12926</v>
      </c>
      <c r="K273">
        <v>11471</v>
      </c>
      <c r="L273">
        <v>-30.45</v>
      </c>
      <c r="M273">
        <v>0.95</v>
      </c>
      <c r="N273">
        <v>12.1</v>
      </c>
      <c r="O273">
        <v>20.25</v>
      </c>
      <c r="P273" t="b">
        <v>1</v>
      </c>
      <c r="Q273">
        <v>0</v>
      </c>
      <c r="R273">
        <v>1629</v>
      </c>
      <c r="U273" t="s">
        <v>949</v>
      </c>
      <c r="V273" t="s">
        <v>1270</v>
      </c>
      <c r="W273">
        <v>0</v>
      </c>
      <c r="X273">
        <v>15.2</v>
      </c>
      <c r="Y273" t="s">
        <v>1572</v>
      </c>
      <c r="Z273">
        <v>0</v>
      </c>
      <c r="AA273">
        <v>895</v>
      </c>
      <c r="AB273">
        <v>25412</v>
      </c>
      <c r="AC273" t="s">
        <v>1892</v>
      </c>
      <c r="AD273">
        <v>39.28</v>
      </c>
      <c r="AE273" t="s">
        <v>2213</v>
      </c>
      <c r="AF273" t="s">
        <v>2531</v>
      </c>
      <c r="AG273">
        <v>543</v>
      </c>
      <c r="AH273">
        <v>109</v>
      </c>
      <c r="AI273">
        <v>176221</v>
      </c>
      <c r="AJ273">
        <v>1.42</v>
      </c>
      <c r="AK273" t="b">
        <v>1</v>
      </c>
    </row>
    <row r="274" spans="1:37">
      <c r="A274" s="1" t="s">
        <v>308</v>
      </c>
      <c r="B274" t="s">
        <v>629</v>
      </c>
      <c r="C274">
        <f>HYPERLINK("https://finance.naver.com/item/coinfo.nhn?code=089010", "A089010")</f>
        <v>0</v>
      </c>
      <c r="D274">
        <f>HYPERLINK("http://comp.fnguide.com/SVO2/ASP/SVD_Consensus.asp?pGB=1&amp;gicode=A089010&amp;cID=&amp;MenuYn=Y&amp;ReportGB=&amp;NewMenuID=108&amp;stkGb=701", "켐트로닉스")</f>
        <v>0</v>
      </c>
      <c r="E274">
        <v>1</v>
      </c>
      <c r="F274">
        <v>14650</v>
      </c>
      <c r="G274">
        <v>0</v>
      </c>
      <c r="H274">
        <v>15.01</v>
      </c>
      <c r="I274">
        <v>17411</v>
      </c>
      <c r="J274">
        <v>13347</v>
      </c>
      <c r="K274">
        <v>11903</v>
      </c>
      <c r="L274">
        <v>-18.84</v>
      </c>
      <c r="M274">
        <v>8.9</v>
      </c>
      <c r="N274">
        <v>18.75</v>
      </c>
      <c r="O274">
        <v>19.75</v>
      </c>
      <c r="P274" t="b">
        <v>1</v>
      </c>
      <c r="Q274">
        <v>0</v>
      </c>
      <c r="R274">
        <v>1918</v>
      </c>
      <c r="U274" t="s">
        <v>950</v>
      </c>
      <c r="V274" t="s">
        <v>1271</v>
      </c>
      <c r="W274">
        <v>0</v>
      </c>
      <c r="X274">
        <v>-78.2</v>
      </c>
      <c r="Y274" t="s">
        <v>1573</v>
      </c>
      <c r="Z274">
        <v>0</v>
      </c>
      <c r="AA274">
        <v>2177</v>
      </c>
      <c r="AB274">
        <v>30593</v>
      </c>
      <c r="AC274" t="s">
        <v>1893</v>
      </c>
      <c r="AD274">
        <v>28.15</v>
      </c>
      <c r="AE274" t="s">
        <v>2214</v>
      </c>
      <c r="AF274" t="s">
        <v>2532</v>
      </c>
      <c r="AG274">
        <v>5634</v>
      </c>
      <c r="AH274">
        <v>385</v>
      </c>
      <c r="AI274">
        <v>428915</v>
      </c>
      <c r="AJ274">
        <v>1.04</v>
      </c>
      <c r="AK274" t="b">
        <v>1</v>
      </c>
    </row>
    <row r="275" spans="1:37">
      <c r="A275" s="1" t="s">
        <v>309</v>
      </c>
      <c r="B275" t="s">
        <v>630</v>
      </c>
      <c r="C275">
        <f>HYPERLINK("https://finance.naver.com/item/coinfo.nhn?code=243070", "A243070")</f>
        <v>0</v>
      </c>
      <c r="D275">
        <f>HYPERLINK("http://comp.fnguide.com/SVO2/ASP/SVD_Consensus.asp?pGB=1&amp;gicode=A243070&amp;cID=&amp;MenuYn=Y&amp;ReportGB=&amp;NewMenuID=108&amp;stkGb=701", "휴온스")</f>
        <v>0</v>
      </c>
      <c r="E275">
        <v>1</v>
      </c>
      <c r="F275">
        <v>29500</v>
      </c>
      <c r="G275">
        <v>-1.68</v>
      </c>
      <c r="H275">
        <v>18.51</v>
      </c>
      <c r="I275">
        <v>37141</v>
      </c>
      <c r="J275">
        <v>29400</v>
      </c>
      <c r="K275">
        <v>26650</v>
      </c>
      <c r="L275">
        <v>-25.9</v>
      </c>
      <c r="M275">
        <v>0.34</v>
      </c>
      <c r="N275">
        <v>9.66</v>
      </c>
      <c r="O275">
        <v>18.2</v>
      </c>
      <c r="P275" t="b">
        <v>1</v>
      </c>
      <c r="Q275">
        <v>0</v>
      </c>
      <c r="R275">
        <v>2577</v>
      </c>
      <c r="S275">
        <v>2258</v>
      </c>
      <c r="T275">
        <v>-12.4</v>
      </c>
      <c r="U275" t="s">
        <v>951</v>
      </c>
      <c r="V275" t="s">
        <v>1272</v>
      </c>
      <c r="W275">
        <v>-11.00531361942832</v>
      </c>
      <c r="X275">
        <v>-41.3</v>
      </c>
      <c r="Y275" t="s">
        <v>1574</v>
      </c>
      <c r="Z275">
        <v>-12.43419812727439</v>
      </c>
      <c r="AA275">
        <v>3521</v>
      </c>
      <c r="AB275">
        <v>35136</v>
      </c>
      <c r="AC275" t="s">
        <v>1894</v>
      </c>
      <c r="AD275">
        <v>44.98</v>
      </c>
      <c r="AE275" t="s">
        <v>2215</v>
      </c>
      <c r="AF275" t="s">
        <v>2533</v>
      </c>
      <c r="AG275">
        <v>4369</v>
      </c>
      <c r="AH275">
        <v>453</v>
      </c>
      <c r="AI275">
        <v>100889</v>
      </c>
      <c r="AJ275">
        <v>1.14</v>
      </c>
      <c r="AK275" t="b">
        <v>1</v>
      </c>
    </row>
    <row r="276" spans="1:37">
      <c r="A276" s="1" t="s">
        <v>310</v>
      </c>
      <c r="B276" t="s">
        <v>631</v>
      </c>
      <c r="C276">
        <f>HYPERLINK("https://finance.naver.com/item/coinfo.nhn?code=137080", "A137080")</f>
        <v>0</v>
      </c>
      <c r="D276">
        <f>HYPERLINK("http://comp.fnguide.com/SVO2/ASP/SVD_Consensus.asp?pGB=1&amp;gicode=A137080&amp;cID=&amp;MenuYn=Y&amp;ReportGB=&amp;NewMenuID=108&amp;stkGb=701", "나래나노텍")</f>
        <v>0</v>
      </c>
      <c r="E276">
        <v>1</v>
      </c>
      <c r="F276">
        <v>7540</v>
      </c>
      <c r="G276">
        <v>0</v>
      </c>
      <c r="I276">
        <v>9118</v>
      </c>
      <c r="J276">
        <v>7292</v>
      </c>
      <c r="K276">
        <v>6643</v>
      </c>
      <c r="L276">
        <v>-20.93</v>
      </c>
      <c r="M276">
        <v>3.29</v>
      </c>
      <c r="N276">
        <v>11.9</v>
      </c>
      <c r="O276">
        <v>17.75</v>
      </c>
      <c r="P276" t="b">
        <v>0</v>
      </c>
      <c r="Q276">
        <v>0</v>
      </c>
      <c r="R276">
        <v>2028</v>
      </c>
      <c r="U276" t="s">
        <v>952</v>
      </c>
      <c r="V276" t="s">
        <v>1273</v>
      </c>
      <c r="W276">
        <v>0</v>
      </c>
      <c r="X276">
        <v>-82.90000000000001</v>
      </c>
      <c r="Y276" t="s">
        <v>1575</v>
      </c>
      <c r="Z276">
        <v>0</v>
      </c>
      <c r="AA276">
        <v>834</v>
      </c>
      <c r="AB276">
        <v>50784</v>
      </c>
      <c r="AC276" t="s">
        <v>1895</v>
      </c>
      <c r="AD276">
        <v>42.13</v>
      </c>
      <c r="AE276" t="s">
        <v>2216</v>
      </c>
      <c r="AF276" t="s">
        <v>2272</v>
      </c>
      <c r="AG276">
        <v>1352</v>
      </c>
      <c r="AH276">
        <v>231</v>
      </c>
      <c r="AK276" t="b">
        <v>1</v>
      </c>
    </row>
    <row r="277" spans="1:37">
      <c r="A277" s="1" t="s">
        <v>311</v>
      </c>
      <c r="B277" t="s">
        <v>632</v>
      </c>
      <c r="C277">
        <f>HYPERLINK("https://finance.naver.com/item/coinfo.nhn?code=122310", "A122310")</f>
        <v>0</v>
      </c>
      <c r="D277">
        <f>HYPERLINK("http://comp.fnguide.com/SVO2/ASP/SVD_Consensus.asp?pGB=1&amp;gicode=A122310&amp;cID=&amp;MenuYn=Y&amp;ReportGB=&amp;NewMenuID=108&amp;stkGb=701", "제노레이")</f>
        <v>0</v>
      </c>
      <c r="E277">
        <v>1</v>
      </c>
      <c r="F277">
        <v>8000</v>
      </c>
      <c r="G277">
        <v>0</v>
      </c>
      <c r="H277">
        <v>10.06</v>
      </c>
      <c r="I277">
        <v>9952</v>
      </c>
      <c r="J277">
        <v>7674</v>
      </c>
      <c r="K277">
        <v>6864</v>
      </c>
      <c r="L277">
        <v>-24.41</v>
      </c>
      <c r="M277">
        <v>4.08</v>
      </c>
      <c r="N277">
        <v>14.2</v>
      </c>
      <c r="O277">
        <v>19.45</v>
      </c>
      <c r="P277" t="b">
        <v>1</v>
      </c>
      <c r="Q277">
        <v>0</v>
      </c>
      <c r="R277">
        <v>984</v>
      </c>
      <c r="U277" t="s">
        <v>953</v>
      </c>
      <c r="V277" t="s">
        <v>1274</v>
      </c>
      <c r="W277">
        <v>0</v>
      </c>
      <c r="X277">
        <v>6</v>
      </c>
      <c r="Y277" t="s">
        <v>1576</v>
      </c>
      <c r="Z277">
        <v>17.0496019064235</v>
      </c>
      <c r="AA277">
        <v>1164</v>
      </c>
      <c r="AB277">
        <v>24443</v>
      </c>
      <c r="AC277" t="s">
        <v>1896</v>
      </c>
      <c r="AD277">
        <v>28.63</v>
      </c>
      <c r="AE277" t="s">
        <v>2217</v>
      </c>
      <c r="AF277" t="s">
        <v>2534</v>
      </c>
      <c r="AG277">
        <v>743</v>
      </c>
      <c r="AH277">
        <v>150</v>
      </c>
      <c r="AI277">
        <v>577000</v>
      </c>
      <c r="AJ277">
        <v>1.72</v>
      </c>
      <c r="AK277" t="b">
        <v>1</v>
      </c>
    </row>
    <row r="278" spans="1:37">
      <c r="A278" s="1" t="s">
        <v>312</v>
      </c>
      <c r="B278" t="s">
        <v>633</v>
      </c>
      <c r="C278">
        <f>HYPERLINK("https://finance.naver.com/item/coinfo.nhn?code=348030", "A348030")</f>
        <v>0</v>
      </c>
      <c r="D278">
        <f>HYPERLINK("http://comp.fnguide.com/SVO2/ASP/SVD_Consensus.asp?pGB=1&amp;gicode=A348030&amp;cID=&amp;MenuYn=Y&amp;ReportGB=&amp;NewMenuID=108&amp;stkGb=701", "모비릭스")</f>
        <v>0</v>
      </c>
      <c r="E278">
        <v>1</v>
      </c>
      <c r="F278">
        <v>12100</v>
      </c>
      <c r="G278">
        <v>0</v>
      </c>
      <c r="H278">
        <v>22.18</v>
      </c>
      <c r="I278">
        <v>16049</v>
      </c>
      <c r="J278">
        <v>11620</v>
      </c>
      <c r="K278">
        <v>10047</v>
      </c>
      <c r="L278">
        <v>-32.64</v>
      </c>
      <c r="M278">
        <v>3.96</v>
      </c>
      <c r="N278">
        <v>16.97</v>
      </c>
      <c r="O278">
        <v>23.08</v>
      </c>
      <c r="P278" t="b">
        <v>1</v>
      </c>
      <c r="Q278">
        <v>0</v>
      </c>
      <c r="R278">
        <v>1082</v>
      </c>
      <c r="U278" t="s">
        <v>954</v>
      </c>
      <c r="V278" t="s">
        <v>1275</v>
      </c>
      <c r="W278">
        <v>0</v>
      </c>
      <c r="X278">
        <v>-32.8</v>
      </c>
      <c r="Y278" t="s">
        <v>1577</v>
      </c>
      <c r="Z278">
        <v>0</v>
      </c>
      <c r="AA278">
        <v>1162</v>
      </c>
      <c r="AB278">
        <v>16056</v>
      </c>
      <c r="AC278" t="s">
        <v>1897</v>
      </c>
      <c r="AD278">
        <v>51.29</v>
      </c>
      <c r="AE278" t="s">
        <v>2218</v>
      </c>
      <c r="AF278" t="s">
        <v>2535</v>
      </c>
      <c r="AG278">
        <v>567</v>
      </c>
      <c r="AH278">
        <v>100</v>
      </c>
      <c r="AK278" t="b">
        <v>1</v>
      </c>
    </row>
    <row r="279" spans="1:37">
      <c r="A279" s="1" t="s">
        <v>313</v>
      </c>
      <c r="B279" t="s">
        <v>634</v>
      </c>
      <c r="C279">
        <f>HYPERLINK("https://finance.naver.com/item/coinfo.nhn?code=114840", "A114840")</f>
        <v>0</v>
      </c>
      <c r="D279">
        <f>HYPERLINK("http://comp.fnguide.com/SVO2/ASP/SVD_Consensus.asp?pGB=1&amp;gicode=A114840&amp;cID=&amp;MenuYn=Y&amp;ReportGB=&amp;NewMenuID=108&amp;stkGb=701", "아이패밀리에스씨")</f>
        <v>0</v>
      </c>
      <c r="E279">
        <v>1</v>
      </c>
      <c r="F279">
        <v>13200</v>
      </c>
      <c r="G279">
        <v>0</v>
      </c>
      <c r="H279">
        <v>16.71</v>
      </c>
      <c r="I279">
        <v>15371</v>
      </c>
      <c r="J279">
        <v>9831</v>
      </c>
      <c r="K279">
        <v>7863</v>
      </c>
      <c r="L279">
        <v>-16.45</v>
      </c>
      <c r="M279">
        <v>25.52</v>
      </c>
      <c r="N279">
        <v>40.43</v>
      </c>
      <c r="O279">
        <v>34.7</v>
      </c>
      <c r="P279" t="b">
        <v>1</v>
      </c>
      <c r="Q279">
        <v>0</v>
      </c>
      <c r="R279">
        <v>530</v>
      </c>
      <c r="U279" t="s">
        <v>955</v>
      </c>
      <c r="V279" t="s">
        <v>1276</v>
      </c>
      <c r="W279">
        <v>0</v>
      </c>
      <c r="X279">
        <v>53.5</v>
      </c>
      <c r="Y279" t="s">
        <v>1578</v>
      </c>
      <c r="Z279">
        <v>0</v>
      </c>
      <c r="AA279">
        <v>1122</v>
      </c>
      <c r="AB279">
        <v>95904</v>
      </c>
      <c r="AC279" t="s">
        <v>1898</v>
      </c>
      <c r="AD279">
        <v>44.03</v>
      </c>
      <c r="AE279" t="s">
        <v>2219</v>
      </c>
      <c r="AF279" t="s">
        <v>2536</v>
      </c>
      <c r="AG279">
        <v>716</v>
      </c>
      <c r="AH279">
        <v>56</v>
      </c>
      <c r="AJ279">
        <v>0.37</v>
      </c>
      <c r="AK279" t="b">
        <v>1</v>
      </c>
    </row>
    <row r="280" spans="1:37">
      <c r="A280" s="1" t="s">
        <v>314</v>
      </c>
      <c r="B280" t="s">
        <v>635</v>
      </c>
      <c r="C280">
        <f>HYPERLINK("https://finance.naver.com/item/coinfo.nhn?code=372800", "A372800")</f>
        <v>0</v>
      </c>
      <c r="D280">
        <f>HYPERLINK("http://comp.fnguide.com/SVO2/ASP/SVD_Consensus.asp?pGB=1&amp;gicode=A372800&amp;cID=&amp;MenuYn=Y&amp;ReportGB=&amp;NewMenuID=108&amp;stkGb=701", "아이티아이즈")</f>
        <v>0</v>
      </c>
      <c r="E280">
        <v>1</v>
      </c>
      <c r="F280">
        <v>8380</v>
      </c>
      <c r="G280">
        <v>0</v>
      </c>
      <c r="I280">
        <v>9872</v>
      </c>
      <c r="J280">
        <v>7318</v>
      </c>
      <c r="K280">
        <v>6411</v>
      </c>
      <c r="L280">
        <v>-17.81</v>
      </c>
      <c r="M280">
        <v>12.67</v>
      </c>
      <c r="N280">
        <v>23.5</v>
      </c>
      <c r="O280">
        <v>21.6</v>
      </c>
      <c r="P280" t="b">
        <v>0</v>
      </c>
      <c r="Q280">
        <v>0</v>
      </c>
      <c r="R280">
        <v>-576</v>
      </c>
      <c r="U280" t="s">
        <v>956</v>
      </c>
      <c r="V280" t="s">
        <v>1277</v>
      </c>
      <c r="W280">
        <v>0</v>
      </c>
      <c r="Y280" t="s">
        <v>1579</v>
      </c>
      <c r="Z280">
        <v>0</v>
      </c>
      <c r="AA280">
        <v>501</v>
      </c>
      <c r="AB280">
        <v>29261</v>
      </c>
      <c r="AC280" t="s">
        <v>1899</v>
      </c>
      <c r="AD280">
        <v>54.95</v>
      </c>
      <c r="AE280" t="s">
        <v>2220</v>
      </c>
      <c r="AF280" t="s">
        <v>2272</v>
      </c>
      <c r="AG280">
        <v>669</v>
      </c>
      <c r="AH280">
        <v>-25</v>
      </c>
      <c r="AK280" t="b">
        <v>1</v>
      </c>
    </row>
    <row r="281" spans="1:37">
      <c r="A281" s="1" t="s">
        <v>315</v>
      </c>
      <c r="B281" t="s">
        <v>636</v>
      </c>
      <c r="C281">
        <f>HYPERLINK("https://finance.naver.com/item/coinfo.nhn?code=262840", "A262840")</f>
        <v>0</v>
      </c>
      <c r="D281">
        <f>HYPERLINK("http://comp.fnguide.com/SVO2/ASP/SVD_Consensus.asp?pGB=1&amp;gicode=A262840&amp;cID=&amp;MenuYn=Y&amp;ReportGB=&amp;NewMenuID=108&amp;stkGb=701", "아이퀘스트")</f>
        <v>0</v>
      </c>
      <c r="E281">
        <v>1</v>
      </c>
      <c r="F281">
        <v>7000</v>
      </c>
      <c r="G281">
        <v>0</v>
      </c>
      <c r="H281">
        <v>30.07</v>
      </c>
      <c r="I281">
        <v>7933</v>
      </c>
      <c r="J281">
        <v>6089</v>
      </c>
      <c r="K281">
        <v>5434</v>
      </c>
      <c r="L281">
        <v>-13.33</v>
      </c>
      <c r="M281">
        <v>13.01</v>
      </c>
      <c r="N281">
        <v>22.37</v>
      </c>
      <c r="O281">
        <v>19.68</v>
      </c>
      <c r="P281" t="b">
        <v>1</v>
      </c>
      <c r="Q281">
        <v>0</v>
      </c>
      <c r="R281">
        <v>358</v>
      </c>
      <c r="U281" t="s">
        <v>957</v>
      </c>
      <c r="V281" t="s">
        <v>1278</v>
      </c>
      <c r="W281">
        <v>0</v>
      </c>
      <c r="X281">
        <v>46.6</v>
      </c>
      <c r="Y281" t="s">
        <v>1580</v>
      </c>
      <c r="Z281">
        <v>0</v>
      </c>
      <c r="AA281">
        <v>690</v>
      </c>
      <c r="AB281">
        <v>5984</v>
      </c>
      <c r="AC281" t="s">
        <v>1900</v>
      </c>
      <c r="AD281">
        <v>40.22</v>
      </c>
      <c r="AE281" t="s">
        <v>2221</v>
      </c>
      <c r="AF281" t="s">
        <v>2537</v>
      </c>
      <c r="AG281">
        <v>157</v>
      </c>
      <c r="AH281">
        <v>36</v>
      </c>
      <c r="AI281">
        <v>450000</v>
      </c>
      <c r="AJ281">
        <v>0.93</v>
      </c>
      <c r="AK281" t="b">
        <v>1</v>
      </c>
    </row>
    <row r="282" spans="1:37">
      <c r="A282" s="1" t="s">
        <v>316</v>
      </c>
      <c r="B282" t="s">
        <v>637</v>
      </c>
      <c r="C282">
        <f>HYPERLINK("https://finance.naver.com/item/coinfo.nhn?code=243840", "A243840")</f>
        <v>0</v>
      </c>
      <c r="D282">
        <f>HYPERLINK("http://comp.fnguide.com/SVO2/ASP/SVD_Consensus.asp?pGB=1&amp;gicode=A243840&amp;cID=&amp;MenuYn=Y&amp;ReportGB=&amp;NewMenuID=108&amp;stkGb=701", "신흥에스이씨")</f>
        <v>0</v>
      </c>
      <c r="E282">
        <v>1</v>
      </c>
      <c r="F282">
        <v>43350</v>
      </c>
      <c r="G282">
        <v>1.39</v>
      </c>
      <c r="H282">
        <v>18.86</v>
      </c>
      <c r="I282">
        <v>49209</v>
      </c>
      <c r="J282">
        <v>42969</v>
      </c>
      <c r="K282">
        <v>40752</v>
      </c>
      <c r="L282">
        <v>-13.51</v>
      </c>
      <c r="M282">
        <v>0.88</v>
      </c>
      <c r="N282">
        <v>5.99</v>
      </c>
      <c r="O282">
        <v>14.5</v>
      </c>
      <c r="P282" t="b">
        <v>1</v>
      </c>
      <c r="Q282">
        <v>3</v>
      </c>
      <c r="R282">
        <v>3341</v>
      </c>
      <c r="S282">
        <v>3571</v>
      </c>
      <c r="T282">
        <v>6.9</v>
      </c>
      <c r="U282" t="s">
        <v>958</v>
      </c>
      <c r="V282" t="s">
        <v>1279</v>
      </c>
      <c r="W282">
        <v>13.56038074025514</v>
      </c>
      <c r="X282">
        <v>-20.8</v>
      </c>
      <c r="Y282" t="s">
        <v>1581</v>
      </c>
      <c r="Z282">
        <v>21.43029516357424</v>
      </c>
      <c r="AA282">
        <v>3365</v>
      </c>
      <c r="AB282">
        <v>11525</v>
      </c>
      <c r="AC282" t="s">
        <v>1901</v>
      </c>
      <c r="AD282">
        <v>53.57</v>
      </c>
      <c r="AE282" t="s">
        <v>2222</v>
      </c>
      <c r="AF282" t="s">
        <v>2538</v>
      </c>
      <c r="AG282">
        <v>3663</v>
      </c>
      <c r="AH282">
        <v>311</v>
      </c>
      <c r="AJ282">
        <v>0.52</v>
      </c>
      <c r="AK282" t="b">
        <v>1</v>
      </c>
    </row>
    <row r="283" spans="1:37">
      <c r="A283" s="1" t="s">
        <v>317</v>
      </c>
      <c r="B283" t="s">
        <v>638</v>
      </c>
      <c r="C283">
        <f>HYPERLINK("https://finance.naver.com/item/coinfo.nhn?code=021240", "A021240")</f>
        <v>0</v>
      </c>
      <c r="D283">
        <f>HYPERLINK("http://comp.fnguide.com/SVO2/ASP/SVD_Consensus.asp?pGB=1&amp;gicode=A021240&amp;cID=&amp;MenuYn=Y&amp;ReportGB=&amp;NewMenuID=108&amp;stkGb=701", "코웨이")</f>
        <v>0</v>
      </c>
      <c r="E283">
        <v>1</v>
      </c>
      <c r="F283">
        <v>55600</v>
      </c>
      <c r="G283">
        <v>0.8100000000000001</v>
      </c>
      <c r="H283">
        <v>11.79</v>
      </c>
      <c r="I283">
        <v>69909</v>
      </c>
      <c r="J283">
        <v>46858</v>
      </c>
      <c r="K283">
        <v>38669</v>
      </c>
      <c r="L283">
        <v>-25.74</v>
      </c>
      <c r="M283">
        <v>15.72</v>
      </c>
      <c r="N283">
        <v>30.45</v>
      </c>
      <c r="O283">
        <v>29.33</v>
      </c>
      <c r="P283" t="b">
        <v>0</v>
      </c>
      <c r="Q283">
        <v>3</v>
      </c>
      <c r="R283">
        <v>6310</v>
      </c>
      <c r="S283">
        <v>6782</v>
      </c>
      <c r="T283">
        <v>7.5</v>
      </c>
      <c r="U283" t="s">
        <v>959</v>
      </c>
      <c r="V283" t="s">
        <v>1280</v>
      </c>
      <c r="W283">
        <v>14.55480046207594</v>
      </c>
      <c r="X283">
        <v>0.9</v>
      </c>
      <c r="Y283" t="s">
        <v>1582</v>
      </c>
      <c r="Z283">
        <v>8.025568576239728</v>
      </c>
      <c r="AA283">
        <v>41033</v>
      </c>
      <c r="AB283">
        <v>200124</v>
      </c>
      <c r="AC283" t="s">
        <v>1902</v>
      </c>
      <c r="AD283">
        <v>25.1</v>
      </c>
      <c r="AE283" t="s">
        <v>2223</v>
      </c>
      <c r="AF283" t="s">
        <v>2539</v>
      </c>
      <c r="AG283">
        <v>36643</v>
      </c>
      <c r="AH283">
        <v>6402</v>
      </c>
      <c r="AI283">
        <v>1235874</v>
      </c>
      <c r="AJ283">
        <v>1.68</v>
      </c>
      <c r="AK283" t="b">
        <v>1</v>
      </c>
    </row>
    <row r="284" spans="1:37">
      <c r="A284" s="1" t="s">
        <v>318</v>
      </c>
      <c r="B284" t="s">
        <v>639</v>
      </c>
      <c r="C284">
        <f>HYPERLINK("https://finance.naver.com/item/coinfo.nhn?code=253840", "A253840")</f>
        <v>0</v>
      </c>
      <c r="D284">
        <f>HYPERLINK("http://comp.fnguide.com/SVO2/ASP/SVD_Consensus.asp?pGB=1&amp;gicode=A253840&amp;cID=&amp;MenuYn=Y&amp;ReportGB=&amp;NewMenuID=108&amp;stkGb=701", "수젠텍")</f>
        <v>0</v>
      </c>
      <c r="E284">
        <v>1</v>
      </c>
      <c r="F284">
        <v>9900</v>
      </c>
      <c r="G284">
        <v>0</v>
      </c>
      <c r="H284">
        <v>6.08</v>
      </c>
      <c r="I284">
        <v>12396</v>
      </c>
      <c r="J284">
        <v>9118</v>
      </c>
      <c r="K284">
        <v>7954</v>
      </c>
      <c r="L284">
        <v>-25.22</v>
      </c>
      <c r="M284">
        <v>7.9</v>
      </c>
      <c r="N284">
        <v>19.66</v>
      </c>
      <c r="O284">
        <v>22.07</v>
      </c>
      <c r="P284" t="b">
        <v>1</v>
      </c>
      <c r="Q284">
        <v>0</v>
      </c>
      <c r="R284">
        <v>2301</v>
      </c>
      <c r="U284" t="s">
        <v>960</v>
      </c>
      <c r="V284" t="s">
        <v>1281</v>
      </c>
      <c r="W284">
        <v>0</v>
      </c>
      <c r="X284">
        <v>96.2</v>
      </c>
      <c r="Y284" t="s">
        <v>1583</v>
      </c>
      <c r="Z284">
        <v>0</v>
      </c>
      <c r="AA284">
        <v>1611</v>
      </c>
      <c r="AB284">
        <v>125167</v>
      </c>
      <c r="AC284" t="s">
        <v>1903</v>
      </c>
      <c r="AD284">
        <v>16.19</v>
      </c>
      <c r="AE284" t="s">
        <v>2224</v>
      </c>
      <c r="AF284" t="s">
        <v>2540</v>
      </c>
      <c r="AG284">
        <v>772</v>
      </c>
      <c r="AH284">
        <v>348</v>
      </c>
      <c r="AK284" t="b">
        <v>1</v>
      </c>
    </row>
    <row r="285" spans="1:37">
      <c r="A285" s="1" t="s">
        <v>319</v>
      </c>
      <c r="B285" t="s">
        <v>640</v>
      </c>
      <c r="C285">
        <f>HYPERLINK("https://finance.naver.com/item/coinfo.nhn?code=290690", "A290690")</f>
        <v>0</v>
      </c>
      <c r="D285">
        <f>HYPERLINK("http://comp.fnguide.com/SVO2/ASP/SVD_Consensus.asp?pGB=1&amp;gicode=A290690&amp;cID=&amp;MenuYn=Y&amp;ReportGB=&amp;NewMenuID=108&amp;stkGb=701", "소룩스")</f>
        <v>0</v>
      </c>
      <c r="E285">
        <v>1</v>
      </c>
      <c r="F285">
        <v>6770</v>
      </c>
      <c r="G285">
        <v>0</v>
      </c>
      <c r="H285">
        <v>20.22</v>
      </c>
      <c r="I285">
        <v>7774</v>
      </c>
      <c r="J285">
        <v>6732</v>
      </c>
      <c r="K285">
        <v>6362</v>
      </c>
      <c r="L285">
        <v>-14.82</v>
      </c>
      <c r="M285">
        <v>0.5600000000000001</v>
      </c>
      <c r="N285">
        <v>6.03</v>
      </c>
      <c r="O285">
        <v>14.77</v>
      </c>
      <c r="P285" t="b">
        <v>1</v>
      </c>
      <c r="Q285">
        <v>0</v>
      </c>
      <c r="R285">
        <v>505</v>
      </c>
      <c r="U285" t="s">
        <v>961</v>
      </c>
      <c r="V285" t="s">
        <v>1282</v>
      </c>
      <c r="W285">
        <v>0</v>
      </c>
      <c r="Y285" t="s">
        <v>1584</v>
      </c>
      <c r="Z285">
        <v>0</v>
      </c>
      <c r="AA285">
        <v>559</v>
      </c>
      <c r="AB285">
        <v>10065</v>
      </c>
      <c r="AC285" t="s">
        <v>1904</v>
      </c>
      <c r="AD285">
        <v>45.48</v>
      </c>
      <c r="AE285" t="s">
        <v>2225</v>
      </c>
      <c r="AF285" t="s">
        <v>2541</v>
      </c>
      <c r="AG285">
        <v>700</v>
      </c>
      <c r="AH285">
        <v>51</v>
      </c>
      <c r="AJ285">
        <v>0.49</v>
      </c>
      <c r="AK285" t="b">
        <v>1</v>
      </c>
    </row>
    <row r="286" spans="1:37">
      <c r="A286" s="1" t="s">
        <v>320</v>
      </c>
      <c r="B286" t="s">
        <v>641</v>
      </c>
      <c r="C286">
        <f>HYPERLINK("https://finance.naver.com/item/coinfo.nhn?code=038070", "A038070")</f>
        <v>0</v>
      </c>
      <c r="D286">
        <f>HYPERLINK("http://comp.fnguide.com/SVO2/ASP/SVD_Consensus.asp?pGB=1&amp;gicode=A038070&amp;cID=&amp;MenuYn=Y&amp;ReportGB=&amp;NewMenuID=108&amp;stkGb=701", "서린바이오")</f>
        <v>0</v>
      </c>
      <c r="E286">
        <v>1</v>
      </c>
      <c r="F286">
        <v>12000</v>
      </c>
      <c r="G286">
        <v>0</v>
      </c>
      <c r="H286">
        <v>11.64</v>
      </c>
      <c r="I286">
        <v>14057</v>
      </c>
      <c r="J286">
        <v>11473</v>
      </c>
      <c r="K286">
        <v>10555</v>
      </c>
      <c r="L286">
        <v>-17.14</v>
      </c>
      <c r="M286">
        <v>4.39</v>
      </c>
      <c r="N286">
        <v>12.04</v>
      </c>
      <c r="O286">
        <v>16.9</v>
      </c>
      <c r="P286" t="b">
        <v>1</v>
      </c>
      <c r="Q286">
        <v>0</v>
      </c>
      <c r="R286">
        <v>1834</v>
      </c>
      <c r="U286" t="s">
        <v>962</v>
      </c>
      <c r="V286" t="s">
        <v>1283</v>
      </c>
      <c r="W286">
        <v>0</v>
      </c>
      <c r="X286">
        <v>-43</v>
      </c>
      <c r="Y286" t="s">
        <v>1585</v>
      </c>
      <c r="Z286">
        <v>32.713561511723</v>
      </c>
      <c r="AA286">
        <v>1044</v>
      </c>
      <c r="AB286">
        <v>207967</v>
      </c>
      <c r="AC286" t="s">
        <v>1905</v>
      </c>
      <c r="AD286">
        <v>28.68</v>
      </c>
      <c r="AE286" t="s">
        <v>2226</v>
      </c>
      <c r="AF286" t="s">
        <v>2542</v>
      </c>
      <c r="AG286">
        <v>807</v>
      </c>
      <c r="AH286">
        <v>73</v>
      </c>
      <c r="AI286">
        <v>327632</v>
      </c>
      <c r="AJ286">
        <v>0.46</v>
      </c>
      <c r="AK286" t="b">
        <v>1</v>
      </c>
    </row>
    <row r="287" spans="1:37">
      <c r="A287" s="1" t="s">
        <v>321</v>
      </c>
      <c r="B287" t="s">
        <v>642</v>
      </c>
      <c r="C287">
        <f>HYPERLINK("https://finance.naver.com/item/coinfo.nhn?code=365900", "A365900")</f>
        <v>0</v>
      </c>
      <c r="D287">
        <f>HYPERLINK("http://comp.fnguide.com/SVO2/ASP/SVD_Consensus.asp?pGB=1&amp;gicode=A365900&amp;cID=&amp;MenuYn=Y&amp;ReportGB=&amp;NewMenuID=108&amp;stkGb=701", "브이씨")</f>
        <v>0</v>
      </c>
      <c r="E287">
        <v>1</v>
      </c>
      <c r="F287">
        <v>8190</v>
      </c>
      <c r="G287">
        <v>0</v>
      </c>
      <c r="I287">
        <v>10117</v>
      </c>
      <c r="J287">
        <v>7129</v>
      </c>
      <c r="K287">
        <v>6067</v>
      </c>
      <c r="L287">
        <v>-23.53</v>
      </c>
      <c r="M287">
        <v>12.96</v>
      </c>
      <c r="N287">
        <v>25.92</v>
      </c>
      <c r="O287">
        <v>25</v>
      </c>
      <c r="P287" t="b">
        <v>0</v>
      </c>
      <c r="Q287">
        <v>0</v>
      </c>
      <c r="R287">
        <v>1177</v>
      </c>
      <c r="U287" t="s">
        <v>963</v>
      </c>
      <c r="V287" t="s">
        <v>1284</v>
      </c>
      <c r="W287">
        <v>0</v>
      </c>
      <c r="X287">
        <v>-45.8</v>
      </c>
      <c r="Y287" t="s">
        <v>1586</v>
      </c>
      <c r="Z287">
        <v>0</v>
      </c>
      <c r="AA287">
        <v>599</v>
      </c>
      <c r="AB287">
        <v>87674</v>
      </c>
      <c r="AC287" t="s">
        <v>1906</v>
      </c>
      <c r="AD287">
        <v>35.78</v>
      </c>
      <c r="AE287" t="s">
        <v>2227</v>
      </c>
      <c r="AF287" t="s">
        <v>2272</v>
      </c>
      <c r="AG287">
        <v>537</v>
      </c>
      <c r="AH287">
        <v>84</v>
      </c>
      <c r="AK287" t="b">
        <v>1</v>
      </c>
    </row>
    <row r="288" spans="1:37">
      <c r="A288" s="1" t="s">
        <v>322</v>
      </c>
      <c r="B288" t="s">
        <v>643</v>
      </c>
      <c r="C288">
        <f>HYPERLINK("https://finance.naver.com/item/coinfo.nhn?code=363260", "A363260")</f>
        <v>0</v>
      </c>
      <c r="D288">
        <f>HYPERLINK("http://comp.fnguide.com/SVO2/ASP/SVD_Consensus.asp?pGB=1&amp;gicode=A363260&amp;cID=&amp;MenuYn=Y&amp;ReportGB=&amp;NewMenuID=108&amp;stkGb=701", "모비데이즈")</f>
        <v>0</v>
      </c>
      <c r="E288">
        <v>1</v>
      </c>
      <c r="F288">
        <v>874</v>
      </c>
      <c r="G288">
        <v>0</v>
      </c>
      <c r="I288">
        <v>1642</v>
      </c>
      <c r="J288">
        <v>849</v>
      </c>
      <c r="K288">
        <v>567</v>
      </c>
      <c r="L288">
        <v>-87.87</v>
      </c>
      <c r="M288">
        <v>2.86</v>
      </c>
      <c r="N288">
        <v>35.09</v>
      </c>
      <c r="O288">
        <v>128.69</v>
      </c>
      <c r="P288" t="b">
        <v>0</v>
      </c>
      <c r="Q288">
        <v>0</v>
      </c>
      <c r="R288">
        <v>55</v>
      </c>
      <c r="U288" t="s">
        <v>964</v>
      </c>
      <c r="V288" t="s">
        <v>1285</v>
      </c>
      <c r="W288">
        <v>0</v>
      </c>
      <c r="Y288" t="s">
        <v>1587</v>
      </c>
      <c r="Z288">
        <v>0</v>
      </c>
      <c r="AA288">
        <v>1399</v>
      </c>
      <c r="AB288">
        <v>194776</v>
      </c>
      <c r="AC288" t="s">
        <v>1907</v>
      </c>
      <c r="AD288">
        <v>51.45</v>
      </c>
      <c r="AE288" t="s">
        <v>2228</v>
      </c>
      <c r="AF288" t="s">
        <v>2272</v>
      </c>
      <c r="AG288">
        <v>187</v>
      </c>
      <c r="AH288">
        <v>100</v>
      </c>
      <c r="AK288" t="b">
        <v>1</v>
      </c>
    </row>
    <row r="289" spans="1:37">
      <c r="A289" s="1" t="s">
        <v>323</v>
      </c>
      <c r="B289" t="s">
        <v>644</v>
      </c>
      <c r="C289">
        <f>HYPERLINK("https://finance.naver.com/item/coinfo.nhn?code=071200", "A071200")</f>
        <v>0</v>
      </c>
      <c r="D289">
        <f>HYPERLINK("http://comp.fnguide.com/SVO2/ASP/SVD_Consensus.asp?pGB=1&amp;gicode=A071200&amp;cID=&amp;MenuYn=Y&amp;ReportGB=&amp;NewMenuID=108&amp;stkGb=701", "인피니트헬스케어")</f>
        <v>0</v>
      </c>
      <c r="E289">
        <v>1</v>
      </c>
      <c r="F289">
        <v>5710</v>
      </c>
      <c r="G289">
        <v>0</v>
      </c>
      <c r="H289">
        <v>7.72</v>
      </c>
      <c r="I289">
        <v>6381</v>
      </c>
      <c r="J289">
        <v>5472</v>
      </c>
      <c r="K289">
        <v>5149</v>
      </c>
      <c r="L289">
        <v>-11.76</v>
      </c>
      <c r="M289">
        <v>4.16</v>
      </c>
      <c r="N289">
        <v>9.82</v>
      </c>
      <c r="O289">
        <v>15.09</v>
      </c>
      <c r="P289" t="b">
        <v>1</v>
      </c>
      <c r="Q289">
        <v>0</v>
      </c>
      <c r="R289">
        <v>929</v>
      </c>
      <c r="U289" t="s">
        <v>965</v>
      </c>
      <c r="V289" t="s">
        <v>1286</v>
      </c>
      <c r="W289">
        <v>0</v>
      </c>
      <c r="Y289" t="s">
        <v>1588</v>
      </c>
      <c r="Z289">
        <v>0</v>
      </c>
      <c r="AA289">
        <v>1393</v>
      </c>
      <c r="AB289">
        <v>96129</v>
      </c>
      <c r="AC289" t="s">
        <v>1908</v>
      </c>
      <c r="AD289">
        <v>45.47</v>
      </c>
      <c r="AE289" t="s">
        <v>2229</v>
      </c>
      <c r="AF289" t="s">
        <v>2543</v>
      </c>
      <c r="AG289">
        <v>782</v>
      </c>
      <c r="AH289">
        <v>74</v>
      </c>
      <c r="AI289">
        <v>20005</v>
      </c>
      <c r="AK289" t="b">
        <v>1</v>
      </c>
    </row>
    <row r="290" spans="1:37">
      <c r="A290" s="1" t="s">
        <v>324</v>
      </c>
      <c r="B290" t="s">
        <v>645</v>
      </c>
      <c r="C290">
        <f>HYPERLINK("https://finance.naver.com/item/coinfo.nhn?code=086280", "A086280")</f>
        <v>0</v>
      </c>
      <c r="D290">
        <f>HYPERLINK("http://comp.fnguide.com/SVO2/ASP/SVD_Consensus.asp?pGB=1&amp;gicode=A086280&amp;cID=&amp;MenuYn=Y&amp;ReportGB=&amp;NewMenuID=108&amp;stkGb=701", "현대글로비스")</f>
        <v>0</v>
      </c>
      <c r="E290">
        <v>1</v>
      </c>
      <c r="F290">
        <v>176500</v>
      </c>
      <c r="G290">
        <v>0.24</v>
      </c>
      <c r="H290">
        <v>8.050000000000001</v>
      </c>
      <c r="I290">
        <v>185764</v>
      </c>
      <c r="J290">
        <v>169375</v>
      </c>
      <c r="K290">
        <v>163552</v>
      </c>
      <c r="L290">
        <v>-5.25</v>
      </c>
      <c r="M290">
        <v>4.04</v>
      </c>
      <c r="N290">
        <v>7.34</v>
      </c>
      <c r="O290">
        <v>13.23</v>
      </c>
      <c r="P290" t="b">
        <v>0</v>
      </c>
      <c r="Q290">
        <v>3</v>
      </c>
      <c r="R290">
        <v>20877</v>
      </c>
      <c r="S290">
        <v>31911</v>
      </c>
      <c r="T290">
        <v>52.9</v>
      </c>
      <c r="U290" t="s">
        <v>966</v>
      </c>
      <c r="V290" t="s">
        <v>1287</v>
      </c>
      <c r="W290">
        <v>33.56120621540093</v>
      </c>
      <c r="X290">
        <v>57.6</v>
      </c>
      <c r="Y290" t="s">
        <v>1589</v>
      </c>
      <c r="Z290">
        <v>12.67080564055925</v>
      </c>
      <c r="AA290">
        <v>66188</v>
      </c>
      <c r="AB290">
        <v>116685</v>
      </c>
      <c r="AC290" t="s">
        <v>1909</v>
      </c>
      <c r="AD290">
        <v>50.34</v>
      </c>
      <c r="AE290" t="s">
        <v>2230</v>
      </c>
      <c r="AF290" t="s">
        <v>2544</v>
      </c>
      <c r="AG290">
        <v>217796</v>
      </c>
      <c r="AH290">
        <v>11262</v>
      </c>
      <c r="AJ290">
        <v>2.26</v>
      </c>
      <c r="AK290" t="b">
        <v>1</v>
      </c>
    </row>
    <row r="291" spans="1:37">
      <c r="A291" s="1" t="s">
        <v>325</v>
      </c>
      <c r="B291" t="s">
        <v>646</v>
      </c>
      <c r="C291">
        <f>HYPERLINK("https://finance.naver.com/item/coinfo.nhn?code=094280", "A094280")</f>
        <v>0</v>
      </c>
      <c r="D291">
        <f>HYPERLINK("http://comp.fnguide.com/SVO2/ASP/SVD_Consensus.asp?pGB=1&amp;gicode=A094280&amp;cID=&amp;MenuYn=Y&amp;ReportGB=&amp;NewMenuID=108&amp;stkGb=701", "효성ITX")</f>
        <v>0</v>
      </c>
      <c r="E291">
        <v>1</v>
      </c>
      <c r="F291">
        <v>13600</v>
      </c>
      <c r="G291">
        <v>0</v>
      </c>
      <c r="H291">
        <v>17.28</v>
      </c>
      <c r="I291">
        <v>18217</v>
      </c>
      <c r="J291">
        <v>13538</v>
      </c>
      <c r="K291">
        <v>11876</v>
      </c>
      <c r="L291">
        <v>-33.95</v>
      </c>
      <c r="M291">
        <v>0.46</v>
      </c>
      <c r="N291">
        <v>12.68</v>
      </c>
      <c r="O291">
        <v>21.45</v>
      </c>
      <c r="P291" t="b">
        <v>0</v>
      </c>
      <c r="Q291">
        <v>0</v>
      </c>
      <c r="R291">
        <v>1158</v>
      </c>
      <c r="U291" t="s">
        <v>967</v>
      </c>
      <c r="V291" t="s">
        <v>1288</v>
      </c>
      <c r="W291">
        <v>0</v>
      </c>
      <c r="X291">
        <v>20.8</v>
      </c>
      <c r="Y291" t="s">
        <v>1590</v>
      </c>
      <c r="Z291">
        <v>12.78336417354038</v>
      </c>
      <c r="AA291">
        <v>1572</v>
      </c>
      <c r="AB291">
        <v>3788</v>
      </c>
      <c r="AC291" t="s">
        <v>1910</v>
      </c>
      <c r="AD291">
        <v>68.3</v>
      </c>
      <c r="AE291" t="s">
        <v>2231</v>
      </c>
      <c r="AF291" t="s">
        <v>2545</v>
      </c>
      <c r="AG291">
        <v>4759</v>
      </c>
      <c r="AH291">
        <v>203</v>
      </c>
      <c r="AI291">
        <v>519835</v>
      </c>
      <c r="AJ291">
        <v>3.75</v>
      </c>
      <c r="AK291" t="b">
        <v>1</v>
      </c>
    </row>
    <row r="292" spans="1:37">
      <c r="A292" s="1" t="s">
        <v>326</v>
      </c>
      <c r="B292" t="s">
        <v>647</v>
      </c>
      <c r="C292">
        <f>HYPERLINK("https://finance.naver.com/item/coinfo.nhn?code=068930", "A068930")</f>
        <v>0</v>
      </c>
      <c r="D292">
        <f>HYPERLINK("http://comp.fnguide.com/SVO2/ASP/SVD_Consensus.asp?pGB=1&amp;gicode=A068930&amp;cID=&amp;MenuYn=Y&amp;ReportGB=&amp;NewMenuID=108&amp;stkGb=701", "디지털대성")</f>
        <v>0</v>
      </c>
      <c r="E292">
        <v>1</v>
      </c>
      <c r="F292">
        <v>6800</v>
      </c>
      <c r="G292">
        <v>9.68</v>
      </c>
      <c r="H292">
        <v>15.57</v>
      </c>
      <c r="I292">
        <v>6949</v>
      </c>
      <c r="J292">
        <v>6151</v>
      </c>
      <c r="K292">
        <v>5868</v>
      </c>
      <c r="L292">
        <v>-2.19</v>
      </c>
      <c r="M292">
        <v>9.539999999999999</v>
      </c>
      <c r="N292">
        <v>13.71</v>
      </c>
      <c r="O292">
        <v>14.08</v>
      </c>
      <c r="P292" t="b">
        <v>1</v>
      </c>
      <c r="Q292">
        <v>2</v>
      </c>
      <c r="R292">
        <v>589</v>
      </c>
      <c r="S292">
        <v>694</v>
      </c>
      <c r="T292">
        <v>17.8</v>
      </c>
      <c r="U292" t="s">
        <v>968</v>
      </c>
      <c r="V292" t="s">
        <v>1289</v>
      </c>
      <c r="W292">
        <v>1.607725532164572</v>
      </c>
      <c r="X292">
        <v>0.7</v>
      </c>
      <c r="Y292" t="s">
        <v>1591</v>
      </c>
      <c r="Z292">
        <v>12.80153799820014</v>
      </c>
      <c r="AA292">
        <v>1959</v>
      </c>
      <c r="AB292">
        <v>28408</v>
      </c>
      <c r="AC292" t="s">
        <v>1911</v>
      </c>
      <c r="AD292">
        <v>51.58</v>
      </c>
      <c r="AE292" t="s">
        <v>2232</v>
      </c>
      <c r="AF292" t="s">
        <v>2546</v>
      </c>
      <c r="AG292">
        <v>1969</v>
      </c>
      <c r="AH292">
        <v>252</v>
      </c>
      <c r="AI292">
        <v>1984812</v>
      </c>
      <c r="AJ292">
        <v>3.27</v>
      </c>
      <c r="AK292" t="b">
        <v>1</v>
      </c>
    </row>
    <row r="293" spans="1:37">
      <c r="A293" s="1" t="s">
        <v>327</v>
      </c>
      <c r="B293" t="s">
        <v>648</v>
      </c>
      <c r="C293">
        <f>HYPERLINK("https://finance.naver.com/item/coinfo.nhn?code=263690", "A263690")</f>
        <v>0</v>
      </c>
      <c r="D293">
        <f>HYPERLINK("http://comp.fnguide.com/SVO2/ASP/SVD_Consensus.asp?pGB=1&amp;gicode=A263690&amp;cID=&amp;MenuYn=Y&amp;ReportGB=&amp;NewMenuID=108&amp;stkGb=701", "디알젬")</f>
        <v>0</v>
      </c>
      <c r="E293">
        <v>1</v>
      </c>
      <c r="F293">
        <v>10550</v>
      </c>
      <c r="G293">
        <v>0</v>
      </c>
      <c r="H293">
        <v>10.83</v>
      </c>
      <c r="I293">
        <v>14924</v>
      </c>
      <c r="J293">
        <v>9966</v>
      </c>
      <c r="K293">
        <v>8205</v>
      </c>
      <c r="L293">
        <v>-41.46</v>
      </c>
      <c r="M293">
        <v>5.53</v>
      </c>
      <c r="N293">
        <v>22.23</v>
      </c>
      <c r="O293">
        <v>29.7</v>
      </c>
      <c r="P293" t="b">
        <v>1</v>
      </c>
      <c r="Q293">
        <v>0</v>
      </c>
      <c r="R293">
        <v>1108</v>
      </c>
      <c r="U293" t="s">
        <v>969</v>
      </c>
      <c r="V293" t="s">
        <v>1290</v>
      </c>
      <c r="W293">
        <v>0</v>
      </c>
      <c r="X293">
        <v>92.3</v>
      </c>
      <c r="Y293" t="s">
        <v>1592</v>
      </c>
      <c r="Z293">
        <v>38.87661870175776</v>
      </c>
      <c r="AA293">
        <v>1195</v>
      </c>
      <c r="AB293">
        <v>10824</v>
      </c>
      <c r="AC293" t="s">
        <v>1912</v>
      </c>
      <c r="AD293">
        <v>40.86</v>
      </c>
      <c r="AE293" t="s">
        <v>2233</v>
      </c>
      <c r="AF293" t="s">
        <v>2547</v>
      </c>
      <c r="AG293">
        <v>858</v>
      </c>
      <c r="AH293">
        <v>124</v>
      </c>
      <c r="AI293">
        <v>309029</v>
      </c>
      <c r="AJ293">
        <v>1.17</v>
      </c>
      <c r="AK293" t="b">
        <v>1</v>
      </c>
    </row>
    <row r="294" spans="1:37">
      <c r="A294" s="1" t="s">
        <v>328</v>
      </c>
      <c r="B294" t="s">
        <v>649</v>
      </c>
      <c r="C294">
        <f>HYPERLINK("https://finance.naver.com/item/coinfo.nhn?code=081660", "A081660")</f>
        <v>0</v>
      </c>
      <c r="D294">
        <f>HYPERLINK("http://comp.fnguide.com/SVO2/ASP/SVD_Consensus.asp?pGB=1&amp;gicode=A081660&amp;cID=&amp;MenuYn=Y&amp;ReportGB=&amp;NewMenuID=108&amp;stkGb=701", "휠라홀딩스")</f>
        <v>0</v>
      </c>
      <c r="E294">
        <v>1</v>
      </c>
      <c r="F294">
        <v>35150</v>
      </c>
      <c r="G294">
        <v>-1.97</v>
      </c>
      <c r="H294">
        <v>9.26</v>
      </c>
      <c r="I294">
        <v>38226</v>
      </c>
      <c r="J294">
        <v>32194</v>
      </c>
      <c r="K294">
        <v>30051</v>
      </c>
      <c r="L294">
        <v>-8.75</v>
      </c>
      <c r="M294">
        <v>8.41</v>
      </c>
      <c r="N294">
        <v>14.51</v>
      </c>
      <c r="O294">
        <v>15.71</v>
      </c>
      <c r="P294" t="b">
        <v>1</v>
      </c>
      <c r="Q294">
        <v>0</v>
      </c>
      <c r="R294">
        <v>3872</v>
      </c>
      <c r="S294">
        <v>3777</v>
      </c>
      <c r="T294">
        <v>-2.5</v>
      </c>
      <c r="U294" t="s">
        <v>970</v>
      </c>
      <c r="V294" t="s">
        <v>1291</v>
      </c>
      <c r="W294">
        <v>-4.702149957462454</v>
      </c>
      <c r="X294">
        <v>-8.699999999999999</v>
      </c>
      <c r="Y294" t="s">
        <v>1593</v>
      </c>
      <c r="Z294">
        <v>27.99291834578344</v>
      </c>
      <c r="AA294">
        <v>21354</v>
      </c>
      <c r="AB294">
        <v>232196</v>
      </c>
      <c r="AC294" t="s">
        <v>1913</v>
      </c>
      <c r="AD294">
        <v>26.82</v>
      </c>
      <c r="AE294" t="s">
        <v>2234</v>
      </c>
      <c r="AF294" t="s">
        <v>2548</v>
      </c>
      <c r="AG294">
        <v>37940</v>
      </c>
      <c r="AH294">
        <v>4929</v>
      </c>
      <c r="AI294">
        <v>656383</v>
      </c>
      <c r="AJ294">
        <v>2.79</v>
      </c>
      <c r="AK294" t="b">
        <v>1</v>
      </c>
    </row>
    <row r="295" spans="1:37">
      <c r="A295" s="1" t="s">
        <v>329</v>
      </c>
      <c r="B295" t="s">
        <v>650</v>
      </c>
      <c r="C295">
        <f>HYPERLINK("https://finance.naver.com/item/coinfo.nhn?code=298540", "A298540")</f>
        <v>0</v>
      </c>
      <c r="D295">
        <f>HYPERLINK("http://comp.fnguide.com/SVO2/ASP/SVD_Consensus.asp?pGB=1&amp;gicode=A298540&amp;cID=&amp;MenuYn=Y&amp;ReportGB=&amp;NewMenuID=108&amp;stkGb=701", "더네이쳐홀딩스")</f>
        <v>0</v>
      </c>
      <c r="E295">
        <v>1</v>
      </c>
      <c r="F295">
        <v>29200</v>
      </c>
      <c r="G295">
        <v>0.13</v>
      </c>
      <c r="H295">
        <v>7.38</v>
      </c>
      <c r="I295">
        <v>43647</v>
      </c>
      <c r="J295">
        <v>28587</v>
      </c>
      <c r="K295">
        <v>23237</v>
      </c>
      <c r="L295">
        <v>-49.48</v>
      </c>
      <c r="M295">
        <v>2.1</v>
      </c>
      <c r="N295">
        <v>20.42</v>
      </c>
      <c r="O295">
        <v>31.79</v>
      </c>
      <c r="P295" t="b">
        <v>1</v>
      </c>
      <c r="Q295">
        <v>3</v>
      </c>
      <c r="R295">
        <v>4009</v>
      </c>
      <c r="S295">
        <v>5821</v>
      </c>
      <c r="T295">
        <v>45.2</v>
      </c>
      <c r="U295" t="s">
        <v>971</v>
      </c>
      <c r="V295" t="s">
        <v>1292</v>
      </c>
      <c r="W295">
        <v>57.20019423863496</v>
      </c>
      <c r="X295">
        <v>89.09999999999999</v>
      </c>
      <c r="Y295" t="s">
        <v>1594</v>
      </c>
      <c r="Z295">
        <v>0</v>
      </c>
      <c r="AA295">
        <v>4247</v>
      </c>
      <c r="AB295">
        <v>127150</v>
      </c>
      <c r="AC295" t="s">
        <v>1914</v>
      </c>
      <c r="AD295">
        <v>39.05</v>
      </c>
      <c r="AE295" t="s">
        <v>2235</v>
      </c>
      <c r="AF295" t="s">
        <v>2549</v>
      </c>
      <c r="AG295">
        <v>3703</v>
      </c>
      <c r="AH295">
        <v>689</v>
      </c>
      <c r="AJ295">
        <v>0.68</v>
      </c>
      <c r="AK295" t="b">
        <v>1</v>
      </c>
    </row>
    <row r="296" spans="1:37">
      <c r="A296" s="1" t="s">
        <v>330</v>
      </c>
      <c r="B296" t="s">
        <v>651</v>
      </c>
      <c r="C296">
        <f>HYPERLINK("https://finance.naver.com/item/coinfo.nhn?code=389260", "A389260")</f>
        <v>0</v>
      </c>
      <c r="D296">
        <f>HYPERLINK("http://comp.fnguide.com/SVO2/ASP/SVD_Consensus.asp?pGB=1&amp;gicode=A389260&amp;cID=&amp;MenuYn=Y&amp;ReportGB=&amp;NewMenuID=108&amp;stkGb=701", "대명에너지")</f>
        <v>0</v>
      </c>
      <c r="E296">
        <v>1</v>
      </c>
      <c r="F296">
        <v>22700</v>
      </c>
      <c r="G296">
        <v>0</v>
      </c>
      <c r="I296">
        <v>27558</v>
      </c>
      <c r="J296">
        <v>14753</v>
      </c>
      <c r="K296">
        <v>10204</v>
      </c>
      <c r="L296">
        <v>-21.4</v>
      </c>
      <c r="M296">
        <v>35.01</v>
      </c>
      <c r="N296">
        <v>55.05</v>
      </c>
      <c r="O296">
        <v>91.64</v>
      </c>
      <c r="P296" t="b">
        <v>0</v>
      </c>
      <c r="Q296">
        <v>0</v>
      </c>
      <c r="R296">
        <v>1583</v>
      </c>
      <c r="U296" t="s">
        <v>972</v>
      </c>
      <c r="V296" t="s">
        <v>1293</v>
      </c>
      <c r="W296">
        <v>0</v>
      </c>
      <c r="X296">
        <v>-55.3</v>
      </c>
      <c r="Y296" t="s">
        <v>1595</v>
      </c>
      <c r="Z296">
        <v>0</v>
      </c>
      <c r="AA296">
        <v>3870</v>
      </c>
      <c r="AB296">
        <v>437816</v>
      </c>
      <c r="AC296" t="s">
        <v>1915</v>
      </c>
      <c r="AD296">
        <v>75.44</v>
      </c>
      <c r="AE296" t="s">
        <v>2236</v>
      </c>
      <c r="AF296" t="s">
        <v>2272</v>
      </c>
      <c r="AG296">
        <v>1361</v>
      </c>
      <c r="AH296">
        <v>469</v>
      </c>
      <c r="AK296" t="b">
        <v>1</v>
      </c>
    </row>
    <row r="297" spans="1:37">
      <c r="A297" s="1" t="s">
        <v>331</v>
      </c>
      <c r="B297" t="s">
        <v>652</v>
      </c>
      <c r="C297">
        <f>HYPERLINK("https://finance.naver.com/item/coinfo.nhn?code=340360", "A340360")</f>
        <v>0</v>
      </c>
      <c r="D297">
        <f>HYPERLINK("http://comp.fnguide.com/SVO2/ASP/SVD_Consensus.asp?pGB=1&amp;gicode=A340360&amp;cID=&amp;MenuYn=Y&amp;ReportGB=&amp;NewMenuID=108&amp;stkGb=701", "다보링크")</f>
        <v>0</v>
      </c>
      <c r="E297">
        <v>1</v>
      </c>
      <c r="F297">
        <v>949</v>
      </c>
      <c r="G297">
        <v>0</v>
      </c>
      <c r="I297">
        <v>1290</v>
      </c>
      <c r="J297">
        <v>899</v>
      </c>
      <c r="K297">
        <v>760</v>
      </c>
      <c r="L297">
        <v>-35.88</v>
      </c>
      <c r="M297">
        <v>5.3</v>
      </c>
      <c r="N297">
        <v>19.93</v>
      </c>
      <c r="O297">
        <v>25.86</v>
      </c>
      <c r="P297" t="b">
        <v>0</v>
      </c>
      <c r="Q297">
        <v>0</v>
      </c>
      <c r="R297">
        <v>-333</v>
      </c>
      <c r="U297" t="s">
        <v>973</v>
      </c>
      <c r="V297" t="s">
        <v>1294</v>
      </c>
      <c r="W297">
        <v>0</v>
      </c>
      <c r="Y297" t="s">
        <v>1596</v>
      </c>
      <c r="Z297">
        <v>0</v>
      </c>
      <c r="AA297">
        <v>406</v>
      </c>
      <c r="AB297">
        <v>66008</v>
      </c>
      <c r="AC297" t="s">
        <v>1916</v>
      </c>
      <c r="AD297">
        <v>43.36</v>
      </c>
      <c r="AE297" t="s">
        <v>2237</v>
      </c>
      <c r="AF297" t="s">
        <v>2272</v>
      </c>
      <c r="AG297">
        <v>775</v>
      </c>
      <c r="AH297">
        <v>1</v>
      </c>
      <c r="AK297" t="b">
        <v>1</v>
      </c>
    </row>
    <row r="298" spans="1:37">
      <c r="A298" s="1" t="s">
        <v>332</v>
      </c>
      <c r="B298" t="s">
        <v>653</v>
      </c>
      <c r="C298">
        <f>HYPERLINK("https://finance.naver.com/item/coinfo.nhn?code=019550", "A019550")</f>
        <v>0</v>
      </c>
      <c r="D298">
        <f>HYPERLINK("http://comp.fnguide.com/SVO2/ASP/SVD_Consensus.asp?pGB=1&amp;gicode=A019550&amp;cID=&amp;MenuYn=Y&amp;ReportGB=&amp;NewMenuID=108&amp;stkGb=701", "SBI인베스트먼트")</f>
        <v>0</v>
      </c>
      <c r="E298">
        <v>1</v>
      </c>
      <c r="F298">
        <v>1175</v>
      </c>
      <c r="G298">
        <v>0</v>
      </c>
      <c r="H298">
        <v>12.1</v>
      </c>
      <c r="I298">
        <v>1184</v>
      </c>
      <c r="J298">
        <v>991</v>
      </c>
      <c r="K298">
        <v>923</v>
      </c>
      <c r="L298">
        <v>-0.73</v>
      </c>
      <c r="M298">
        <v>15.65</v>
      </c>
      <c r="N298">
        <v>21.47</v>
      </c>
      <c r="O298">
        <v>15.92</v>
      </c>
      <c r="P298" t="b">
        <v>0</v>
      </c>
      <c r="Q298">
        <v>0</v>
      </c>
      <c r="R298">
        <v>137</v>
      </c>
      <c r="U298" t="s">
        <v>974</v>
      </c>
      <c r="V298" t="s">
        <v>1295</v>
      </c>
      <c r="W298">
        <v>0</v>
      </c>
      <c r="Y298" t="s">
        <v>1321</v>
      </c>
      <c r="Z298">
        <v>13.37143089343698</v>
      </c>
      <c r="AA298">
        <v>1904</v>
      </c>
      <c r="AB298">
        <v>1322881</v>
      </c>
      <c r="AC298" t="s">
        <v>1917</v>
      </c>
      <c r="AD298">
        <v>43.61</v>
      </c>
      <c r="AE298" t="s">
        <v>2238</v>
      </c>
      <c r="AF298" t="s">
        <v>2550</v>
      </c>
      <c r="AG298">
        <v>384</v>
      </c>
      <c r="AH298">
        <v>222</v>
      </c>
      <c r="AI298">
        <v>924172</v>
      </c>
      <c r="AK298" t="b">
        <v>1</v>
      </c>
    </row>
    <row r="299" spans="1:37">
      <c r="A299" s="1" t="s">
        <v>333</v>
      </c>
      <c r="B299" t="s">
        <v>654</v>
      </c>
      <c r="C299">
        <f>HYPERLINK("https://finance.naver.com/item/coinfo.nhn?code=361570", "A361570")</f>
        <v>0</v>
      </c>
      <c r="D299">
        <f>HYPERLINK("http://comp.fnguide.com/SVO2/ASP/SVD_Consensus.asp?pGB=1&amp;gicode=A361570&amp;cID=&amp;MenuYn=Y&amp;ReportGB=&amp;NewMenuID=108&amp;stkGb=701", "알비더블유")</f>
        <v>0</v>
      </c>
      <c r="E299">
        <v>1</v>
      </c>
      <c r="F299">
        <v>13200</v>
      </c>
      <c r="G299">
        <v>0</v>
      </c>
      <c r="H299">
        <v>27.13</v>
      </c>
      <c r="I299">
        <v>20491</v>
      </c>
      <c r="J299">
        <v>12595</v>
      </c>
      <c r="K299">
        <v>9790</v>
      </c>
      <c r="L299">
        <v>-55.23</v>
      </c>
      <c r="M299">
        <v>4.58</v>
      </c>
      <c r="N299">
        <v>25.83</v>
      </c>
      <c r="O299">
        <v>40.75</v>
      </c>
      <c r="P299" t="b">
        <v>1</v>
      </c>
      <c r="Q299">
        <v>0</v>
      </c>
      <c r="R299">
        <v>1002</v>
      </c>
      <c r="U299" t="s">
        <v>975</v>
      </c>
      <c r="V299" t="s">
        <v>1296</v>
      </c>
      <c r="W299">
        <v>0</v>
      </c>
      <c r="X299">
        <v>-75.5</v>
      </c>
      <c r="Y299" t="s">
        <v>1597</v>
      </c>
      <c r="Z299">
        <v>0</v>
      </c>
      <c r="AA299">
        <v>1270</v>
      </c>
      <c r="AB299">
        <v>140217</v>
      </c>
      <c r="AC299" t="s">
        <v>1918</v>
      </c>
      <c r="AD299">
        <v>33.54</v>
      </c>
      <c r="AE299" t="s">
        <v>2239</v>
      </c>
      <c r="AF299" t="s">
        <v>2551</v>
      </c>
      <c r="AG299">
        <v>596</v>
      </c>
      <c r="AH299">
        <v>96</v>
      </c>
      <c r="AK299" t="b">
        <v>1</v>
      </c>
    </row>
    <row r="300" spans="1:37">
      <c r="A300" s="1" t="s">
        <v>334</v>
      </c>
      <c r="B300" t="s">
        <v>655</v>
      </c>
      <c r="C300">
        <f>HYPERLINK("https://finance.naver.com/item/coinfo.nhn?code=306040", "A306040")</f>
        <v>0</v>
      </c>
      <c r="D300">
        <f>HYPERLINK("http://comp.fnguide.com/SVO2/ASP/SVD_Consensus.asp?pGB=1&amp;gicode=A306040&amp;cID=&amp;MenuYn=Y&amp;ReportGB=&amp;NewMenuID=108&amp;stkGb=701", "에스제이그룹")</f>
        <v>0</v>
      </c>
      <c r="E300">
        <v>1</v>
      </c>
      <c r="F300">
        <v>17150</v>
      </c>
      <c r="G300">
        <v>0.43</v>
      </c>
      <c r="H300">
        <v>9.18</v>
      </c>
      <c r="I300">
        <v>24154</v>
      </c>
      <c r="J300">
        <v>17079</v>
      </c>
      <c r="K300">
        <v>14565</v>
      </c>
      <c r="L300">
        <v>-40.84</v>
      </c>
      <c r="M300">
        <v>0.42</v>
      </c>
      <c r="N300">
        <v>15.07</v>
      </c>
      <c r="O300">
        <v>24.74</v>
      </c>
      <c r="P300" t="b">
        <v>1</v>
      </c>
      <c r="Q300">
        <v>2</v>
      </c>
      <c r="R300">
        <v>2347</v>
      </c>
      <c r="S300">
        <v>3188</v>
      </c>
      <c r="T300">
        <v>35.8</v>
      </c>
      <c r="U300" t="s">
        <v>976</v>
      </c>
      <c r="V300" t="s">
        <v>1297</v>
      </c>
      <c r="W300">
        <v>21.31743932174299</v>
      </c>
      <c r="X300">
        <v>43.7</v>
      </c>
      <c r="Y300" t="s">
        <v>1598</v>
      </c>
      <c r="Z300">
        <v>116.3514425183538</v>
      </c>
      <c r="AA300">
        <v>1692</v>
      </c>
      <c r="AB300">
        <v>50548</v>
      </c>
      <c r="AC300" t="s">
        <v>1919</v>
      </c>
      <c r="AD300">
        <v>51.58</v>
      </c>
      <c r="AE300" t="s">
        <v>2240</v>
      </c>
      <c r="AF300" t="s">
        <v>2552</v>
      </c>
      <c r="AG300">
        <v>1497</v>
      </c>
      <c r="AH300">
        <v>291</v>
      </c>
      <c r="AI300">
        <v>142920</v>
      </c>
      <c r="AJ300">
        <v>2.09</v>
      </c>
      <c r="AK300" t="b">
        <v>1</v>
      </c>
    </row>
    <row r="301" spans="1:37">
      <c r="A301" s="1" t="s">
        <v>335</v>
      </c>
      <c r="B301" t="s">
        <v>656</v>
      </c>
      <c r="C301">
        <f>HYPERLINK("https://finance.naver.com/item/coinfo.nhn?code=187660", "A187660")</f>
        <v>0</v>
      </c>
      <c r="D301">
        <f>HYPERLINK("http://comp.fnguide.com/SVO2/ASP/SVD_Consensus.asp?pGB=1&amp;gicode=A187660&amp;cID=&amp;MenuYn=Y&amp;ReportGB=&amp;NewMenuID=108&amp;stkGb=701", "에이디엠코리아")</f>
        <v>0</v>
      </c>
      <c r="E301">
        <v>1</v>
      </c>
      <c r="F301">
        <v>2200</v>
      </c>
      <c r="G301">
        <v>0</v>
      </c>
      <c r="H301">
        <v>61.66</v>
      </c>
      <c r="I301">
        <v>2265</v>
      </c>
      <c r="J301">
        <v>1908</v>
      </c>
      <c r="K301">
        <v>1781</v>
      </c>
      <c r="L301">
        <v>-2.97</v>
      </c>
      <c r="M301">
        <v>13.28</v>
      </c>
      <c r="N301">
        <v>19.05</v>
      </c>
      <c r="O301">
        <v>15.72</v>
      </c>
      <c r="P301" t="b">
        <v>1</v>
      </c>
      <c r="Q301">
        <v>0</v>
      </c>
      <c r="R301">
        <v>96</v>
      </c>
      <c r="U301" t="s">
        <v>977</v>
      </c>
      <c r="V301" t="s">
        <v>1298</v>
      </c>
      <c r="W301">
        <v>0</v>
      </c>
      <c r="X301">
        <v>-64</v>
      </c>
      <c r="Y301" t="s">
        <v>1599</v>
      </c>
      <c r="Z301">
        <v>0</v>
      </c>
      <c r="AA301">
        <v>480</v>
      </c>
      <c r="AB301">
        <v>166650</v>
      </c>
      <c r="AC301" t="s">
        <v>1920</v>
      </c>
      <c r="AD301">
        <v>34.91</v>
      </c>
      <c r="AE301" t="s">
        <v>2241</v>
      </c>
      <c r="AF301" t="s">
        <v>2553</v>
      </c>
      <c r="AG301">
        <v>140</v>
      </c>
      <c r="AH301">
        <v>21</v>
      </c>
      <c r="AI301">
        <v>683321</v>
      </c>
      <c r="AK301" t="b">
        <v>1</v>
      </c>
    </row>
    <row r="302" spans="1:37">
      <c r="A302" s="1" t="s">
        <v>336</v>
      </c>
      <c r="B302" t="s">
        <v>657</v>
      </c>
      <c r="C302">
        <f>HYPERLINK("https://finance.naver.com/item/coinfo.nhn?code=097520", "A097520")</f>
        <v>0</v>
      </c>
      <c r="D302">
        <f>HYPERLINK("http://comp.fnguide.com/SVO2/ASP/SVD_Consensus.asp?pGB=1&amp;gicode=A097520&amp;cID=&amp;MenuYn=Y&amp;ReportGB=&amp;NewMenuID=108&amp;stkGb=701", "엠씨넥스")</f>
        <v>0</v>
      </c>
      <c r="E302">
        <v>1</v>
      </c>
      <c r="F302">
        <v>28850</v>
      </c>
      <c r="G302">
        <v>-1.2</v>
      </c>
      <c r="H302">
        <v>26.06</v>
      </c>
      <c r="I302">
        <v>31419</v>
      </c>
      <c r="J302">
        <v>23755</v>
      </c>
      <c r="K302">
        <v>21032</v>
      </c>
      <c r="L302">
        <v>-8.9</v>
      </c>
      <c r="M302">
        <v>17.66</v>
      </c>
      <c r="N302">
        <v>27.1</v>
      </c>
      <c r="O302">
        <v>20.48</v>
      </c>
      <c r="P302" t="b">
        <v>0</v>
      </c>
      <c r="Q302">
        <v>2</v>
      </c>
      <c r="R302">
        <v>2206</v>
      </c>
      <c r="S302">
        <v>2268</v>
      </c>
      <c r="T302">
        <v>2.8</v>
      </c>
      <c r="U302" t="s">
        <v>978</v>
      </c>
      <c r="V302" t="s">
        <v>1299</v>
      </c>
      <c r="W302">
        <v>-21.73346169841579</v>
      </c>
      <c r="X302">
        <v>39.8</v>
      </c>
      <c r="Y302" t="s">
        <v>1600</v>
      </c>
      <c r="Z302">
        <v>0</v>
      </c>
      <c r="AA302">
        <v>5187</v>
      </c>
      <c r="AB302">
        <v>58982</v>
      </c>
      <c r="AC302" t="s">
        <v>1921</v>
      </c>
      <c r="AD302">
        <v>28.3</v>
      </c>
      <c r="AE302" t="s">
        <v>2242</v>
      </c>
      <c r="AF302" t="s">
        <v>2554</v>
      </c>
      <c r="AG302">
        <v>10093</v>
      </c>
      <c r="AH302">
        <v>239</v>
      </c>
      <c r="AI302">
        <v>293277</v>
      </c>
      <c r="AJ302">
        <v>0.87</v>
      </c>
      <c r="AK302" t="b">
        <v>1</v>
      </c>
    </row>
    <row r="303" spans="1:37">
      <c r="A303" s="1" t="s">
        <v>337</v>
      </c>
      <c r="B303" t="s">
        <v>658</v>
      </c>
      <c r="C303">
        <f>HYPERLINK("https://finance.naver.com/item/coinfo.nhn?code=064290", "A064290")</f>
        <v>0</v>
      </c>
      <c r="D303">
        <f>HYPERLINK("http://comp.fnguide.com/SVO2/ASP/SVD_Consensus.asp?pGB=1&amp;gicode=A064290&amp;cID=&amp;MenuYn=Y&amp;ReportGB=&amp;NewMenuID=108&amp;stkGb=701", "인텍플러스")</f>
        <v>0</v>
      </c>
      <c r="E303">
        <v>1</v>
      </c>
      <c r="F303">
        <v>15200</v>
      </c>
      <c r="G303">
        <v>0.31</v>
      </c>
      <c r="H303">
        <v>18.16</v>
      </c>
      <c r="I303">
        <v>16615</v>
      </c>
      <c r="J303">
        <v>10023</v>
      </c>
      <c r="K303">
        <v>7682</v>
      </c>
      <c r="L303">
        <v>-9.31</v>
      </c>
      <c r="M303">
        <v>34.06</v>
      </c>
      <c r="N303">
        <v>49.46</v>
      </c>
      <c r="O303">
        <v>44.28</v>
      </c>
      <c r="P303" t="b">
        <v>1</v>
      </c>
      <c r="Q303">
        <v>0</v>
      </c>
      <c r="R303">
        <v>1787</v>
      </c>
      <c r="S303">
        <v>1748</v>
      </c>
      <c r="T303">
        <v>-2.2</v>
      </c>
      <c r="U303" t="s">
        <v>979</v>
      </c>
      <c r="V303" t="s">
        <v>1300</v>
      </c>
      <c r="W303">
        <v>59.09898239278512</v>
      </c>
      <c r="X303">
        <v>-18.3</v>
      </c>
      <c r="Y303" t="s">
        <v>1601</v>
      </c>
      <c r="Z303">
        <v>0</v>
      </c>
      <c r="AA303">
        <v>1939</v>
      </c>
      <c r="AB303">
        <v>74414</v>
      </c>
      <c r="AC303" t="s">
        <v>1922</v>
      </c>
      <c r="AD303">
        <v>16.07</v>
      </c>
      <c r="AE303" t="s">
        <v>2243</v>
      </c>
      <c r="AF303" t="s">
        <v>2555</v>
      </c>
      <c r="AG303">
        <v>1197</v>
      </c>
      <c r="AH303">
        <v>275</v>
      </c>
      <c r="AI303">
        <v>471738</v>
      </c>
      <c r="AJ303">
        <v>0.62</v>
      </c>
      <c r="AK303" t="b">
        <v>1</v>
      </c>
    </row>
    <row r="304" spans="1:37">
      <c r="A304" s="1" t="s">
        <v>338</v>
      </c>
      <c r="B304" t="s">
        <v>659</v>
      </c>
      <c r="C304">
        <f>HYPERLINK("https://finance.naver.com/item/coinfo.nhn?code=216050", "A216050")</f>
        <v>0</v>
      </c>
      <c r="D304">
        <f>HYPERLINK("http://comp.fnguide.com/SVO2/ASP/SVD_Consensus.asp?pGB=1&amp;gicode=A216050&amp;cID=&amp;MenuYn=Y&amp;ReportGB=&amp;NewMenuID=108&amp;stkGb=701", "인크로스")</f>
        <v>0</v>
      </c>
      <c r="E304">
        <v>1</v>
      </c>
      <c r="F304">
        <v>14200</v>
      </c>
      <c r="G304">
        <v>1.16</v>
      </c>
      <c r="H304">
        <v>20.21</v>
      </c>
      <c r="I304">
        <v>14607</v>
      </c>
      <c r="J304">
        <v>10966</v>
      </c>
      <c r="K304">
        <v>9673</v>
      </c>
      <c r="L304">
        <v>-2.87</v>
      </c>
      <c r="M304">
        <v>22.77</v>
      </c>
      <c r="N304">
        <v>31.88</v>
      </c>
      <c r="O304">
        <v>20.87</v>
      </c>
      <c r="P304" t="b">
        <v>1</v>
      </c>
      <c r="Q304">
        <v>0</v>
      </c>
      <c r="R304">
        <v>1644</v>
      </c>
      <c r="S304">
        <v>1173</v>
      </c>
      <c r="T304">
        <v>-28.6</v>
      </c>
      <c r="U304" t="s">
        <v>980</v>
      </c>
      <c r="V304" t="s">
        <v>1301</v>
      </c>
      <c r="W304">
        <v>17.38064064595004</v>
      </c>
      <c r="X304">
        <v>-24.9</v>
      </c>
      <c r="Y304" t="s">
        <v>1602</v>
      </c>
      <c r="Z304">
        <v>12.95269134185726</v>
      </c>
      <c r="AA304">
        <v>1824</v>
      </c>
      <c r="AB304">
        <v>30619</v>
      </c>
      <c r="AC304" t="s">
        <v>1923</v>
      </c>
      <c r="AD304">
        <v>41.89</v>
      </c>
      <c r="AE304" t="s">
        <v>2244</v>
      </c>
      <c r="AF304" t="s">
        <v>2556</v>
      </c>
      <c r="AG304">
        <v>518</v>
      </c>
      <c r="AH304">
        <v>214</v>
      </c>
      <c r="AI304">
        <v>786820</v>
      </c>
      <c r="AJ304">
        <v>1.37</v>
      </c>
      <c r="AK304" t="b">
        <v>1</v>
      </c>
    </row>
    <row r="305" spans="1:37">
      <c r="A305" s="1" t="s">
        <v>339</v>
      </c>
      <c r="B305" t="s">
        <v>660</v>
      </c>
      <c r="C305">
        <f>HYPERLINK("https://finance.naver.com/item/coinfo.nhn?code=277410", "A277410")</f>
        <v>0</v>
      </c>
      <c r="D305">
        <f>HYPERLINK("http://comp.fnguide.com/SVO2/ASP/SVD_Consensus.asp?pGB=1&amp;gicode=A277410&amp;cID=&amp;MenuYn=Y&amp;ReportGB=&amp;NewMenuID=108&amp;stkGb=701", "인산가")</f>
        <v>0</v>
      </c>
      <c r="E305">
        <v>1</v>
      </c>
      <c r="F305">
        <v>1825</v>
      </c>
      <c r="G305">
        <v>0</v>
      </c>
      <c r="H305">
        <v>10.75</v>
      </c>
      <c r="I305">
        <v>1985</v>
      </c>
      <c r="J305">
        <v>1750</v>
      </c>
      <c r="K305">
        <v>1666</v>
      </c>
      <c r="L305">
        <v>-8.74</v>
      </c>
      <c r="M305">
        <v>4.13</v>
      </c>
      <c r="N305">
        <v>8.699999999999999</v>
      </c>
      <c r="O305">
        <v>14.2</v>
      </c>
      <c r="P305" t="b">
        <v>1</v>
      </c>
      <c r="Q305">
        <v>0</v>
      </c>
      <c r="R305">
        <v>197</v>
      </c>
      <c r="U305" t="s">
        <v>981</v>
      </c>
      <c r="V305" t="s">
        <v>1302</v>
      </c>
      <c r="W305">
        <v>0</v>
      </c>
      <c r="X305">
        <v>-35.8</v>
      </c>
      <c r="Y305" t="s">
        <v>1603</v>
      </c>
      <c r="Z305">
        <v>0</v>
      </c>
      <c r="AA305">
        <v>591</v>
      </c>
      <c r="AB305">
        <v>43714</v>
      </c>
      <c r="AC305" t="s">
        <v>1924</v>
      </c>
      <c r="AD305">
        <v>29.68</v>
      </c>
      <c r="AE305" t="s">
        <v>2245</v>
      </c>
      <c r="AF305" t="s">
        <v>2557</v>
      </c>
      <c r="AG305">
        <v>383</v>
      </c>
      <c r="AH305">
        <v>82</v>
      </c>
      <c r="AI305">
        <v>44106</v>
      </c>
      <c r="AJ305">
        <v>3.77</v>
      </c>
      <c r="AK305" t="b">
        <v>1</v>
      </c>
    </row>
    <row r="306" spans="1:37">
      <c r="A306" s="1" t="s">
        <v>340</v>
      </c>
      <c r="B306" t="s">
        <v>661</v>
      </c>
      <c r="C306">
        <f>HYPERLINK("https://finance.naver.com/item/coinfo.nhn?code=041830", "A041830")</f>
        <v>0</v>
      </c>
      <c r="D306">
        <f>HYPERLINK("http://comp.fnguide.com/SVO2/ASP/SVD_Consensus.asp?pGB=1&amp;gicode=A041830&amp;cID=&amp;MenuYn=Y&amp;ReportGB=&amp;NewMenuID=108&amp;stkGb=701", "인바디")</f>
        <v>0</v>
      </c>
      <c r="E306">
        <v>1</v>
      </c>
      <c r="F306">
        <v>20200</v>
      </c>
      <c r="G306">
        <v>0.45</v>
      </c>
      <c r="H306">
        <v>9.31</v>
      </c>
      <c r="I306">
        <v>21502</v>
      </c>
      <c r="J306">
        <v>17594</v>
      </c>
      <c r="K306">
        <v>16205</v>
      </c>
      <c r="L306">
        <v>-6.45</v>
      </c>
      <c r="M306">
        <v>12.9</v>
      </c>
      <c r="N306">
        <v>19.78</v>
      </c>
      <c r="O306">
        <v>16.8</v>
      </c>
      <c r="P306" t="b">
        <v>1</v>
      </c>
      <c r="Q306">
        <v>2</v>
      </c>
      <c r="R306">
        <v>2487</v>
      </c>
      <c r="S306">
        <v>2631</v>
      </c>
      <c r="T306">
        <v>5.8</v>
      </c>
      <c r="U306" t="s">
        <v>982</v>
      </c>
      <c r="V306" t="s">
        <v>1303</v>
      </c>
      <c r="W306">
        <v>20.77575565490051</v>
      </c>
      <c r="X306">
        <v>9.6</v>
      </c>
      <c r="Y306" t="s">
        <v>1604</v>
      </c>
      <c r="Z306">
        <v>14.05793393771293</v>
      </c>
      <c r="AA306">
        <v>2764</v>
      </c>
      <c r="AB306">
        <v>35187</v>
      </c>
      <c r="AC306" t="s">
        <v>1925</v>
      </c>
      <c r="AD306">
        <v>28.69</v>
      </c>
      <c r="AE306" t="s">
        <v>2246</v>
      </c>
      <c r="AF306" t="s">
        <v>2558</v>
      </c>
      <c r="AG306">
        <v>1378</v>
      </c>
      <c r="AH306">
        <v>359</v>
      </c>
      <c r="AI306">
        <v>656935</v>
      </c>
      <c r="AJ306">
        <v>0.86</v>
      </c>
      <c r="AK306" t="b">
        <v>1</v>
      </c>
    </row>
    <row r="307" spans="1:37">
      <c r="A307" s="1" t="s">
        <v>341</v>
      </c>
      <c r="B307" t="s">
        <v>662</v>
      </c>
      <c r="C307">
        <f>HYPERLINK("https://finance.naver.com/item/coinfo.nhn?code=272290", "A272290")</f>
        <v>0</v>
      </c>
      <c r="D307">
        <f>HYPERLINK("http://comp.fnguide.com/SVO2/ASP/SVD_Consensus.asp?pGB=1&amp;gicode=A272290&amp;cID=&amp;MenuYn=Y&amp;ReportGB=&amp;NewMenuID=108&amp;stkGb=701", "이녹스첨단소재")</f>
        <v>0</v>
      </c>
      <c r="E307">
        <v>1</v>
      </c>
      <c r="F307">
        <v>30600</v>
      </c>
      <c r="G307">
        <v>0.27</v>
      </c>
      <c r="H307">
        <v>11.28</v>
      </c>
      <c r="I307">
        <v>33825</v>
      </c>
      <c r="J307">
        <v>24303</v>
      </c>
      <c r="K307">
        <v>20920</v>
      </c>
      <c r="L307">
        <v>-10.54</v>
      </c>
      <c r="M307">
        <v>20.58</v>
      </c>
      <c r="N307">
        <v>31.63</v>
      </c>
      <c r="O307">
        <v>23.6</v>
      </c>
      <c r="P307" t="b">
        <v>1</v>
      </c>
      <c r="Q307">
        <v>2</v>
      </c>
      <c r="R307">
        <v>4091</v>
      </c>
      <c r="S307">
        <v>4963</v>
      </c>
      <c r="T307">
        <v>21.3</v>
      </c>
      <c r="U307" t="s">
        <v>983</v>
      </c>
      <c r="V307" t="s">
        <v>1304</v>
      </c>
      <c r="W307">
        <v>41.07821876051894</v>
      </c>
      <c r="X307">
        <v>57.5</v>
      </c>
      <c r="Y307" t="s">
        <v>1605</v>
      </c>
      <c r="Z307">
        <v>48.44480388329831</v>
      </c>
      <c r="AA307">
        <v>6158</v>
      </c>
      <c r="AB307">
        <v>177663</v>
      </c>
      <c r="AC307" t="s">
        <v>1926</v>
      </c>
      <c r="AD307">
        <v>30.98</v>
      </c>
      <c r="AE307" t="s">
        <v>2247</v>
      </c>
      <c r="AF307" t="s">
        <v>2559</v>
      </c>
      <c r="AG307">
        <v>4873</v>
      </c>
      <c r="AH307">
        <v>967</v>
      </c>
      <c r="AI307">
        <v>590000</v>
      </c>
      <c r="AJ307">
        <v>0.76</v>
      </c>
      <c r="AK307" t="b">
        <v>1</v>
      </c>
    </row>
    <row r="308" spans="1:37">
      <c r="A308" s="1" t="s">
        <v>342</v>
      </c>
      <c r="B308" t="s">
        <v>663</v>
      </c>
      <c r="C308">
        <f>HYPERLINK("https://finance.naver.com/item/coinfo.nhn?code=138040", "A138040")</f>
        <v>0</v>
      </c>
      <c r="D308">
        <f>HYPERLINK("http://comp.fnguide.com/SVO2/ASP/SVD_Consensus.asp?pGB=1&amp;gicode=A138040&amp;cID=&amp;MenuYn=Y&amp;ReportGB=&amp;NewMenuID=108&amp;stkGb=701", "메리츠금융지주")</f>
        <v>0</v>
      </c>
      <c r="E308">
        <v>1</v>
      </c>
      <c r="F308">
        <v>43900</v>
      </c>
      <c r="G308">
        <v>0.18</v>
      </c>
      <c r="H308">
        <v>7.47</v>
      </c>
      <c r="I308">
        <v>53309</v>
      </c>
      <c r="J308">
        <v>41430</v>
      </c>
      <c r="K308">
        <v>37211</v>
      </c>
      <c r="L308">
        <v>-21.43</v>
      </c>
      <c r="M308">
        <v>5.63</v>
      </c>
      <c r="N308">
        <v>15.24</v>
      </c>
      <c r="O308">
        <v>19.06</v>
      </c>
      <c r="P308" t="b">
        <v>0</v>
      </c>
      <c r="Q308">
        <v>3</v>
      </c>
      <c r="R308">
        <v>5889</v>
      </c>
      <c r="S308">
        <v>8190</v>
      </c>
      <c r="T308">
        <v>39.1</v>
      </c>
      <c r="U308" t="s">
        <v>984</v>
      </c>
      <c r="V308" t="s">
        <v>1305</v>
      </c>
      <c r="W308">
        <v>42.35341094293013</v>
      </c>
      <c r="X308">
        <v>5.6</v>
      </c>
      <c r="Y308" t="s">
        <v>1606</v>
      </c>
      <c r="Z308">
        <v>4.538233108625245</v>
      </c>
      <c r="AA308">
        <v>56004</v>
      </c>
      <c r="AB308">
        <v>955702</v>
      </c>
      <c r="AC308" t="s">
        <v>1927</v>
      </c>
      <c r="AD308">
        <v>75.90000000000001</v>
      </c>
      <c r="AE308" t="s">
        <v>2248</v>
      </c>
      <c r="AF308" t="s">
        <v>2560</v>
      </c>
      <c r="AG308">
        <v>19127</v>
      </c>
      <c r="AH308">
        <v>18006</v>
      </c>
      <c r="AI308">
        <v>6838021</v>
      </c>
      <c r="AJ308">
        <v>0.48</v>
      </c>
      <c r="AK308" t="b">
        <v>1</v>
      </c>
    </row>
    <row r="309" spans="1:37">
      <c r="A309" s="1" t="s">
        <v>343</v>
      </c>
      <c r="B309" t="s">
        <v>664</v>
      </c>
      <c r="C309">
        <f>HYPERLINK("https://finance.naver.com/item/coinfo.nhn?code=069330", "A069330")</f>
        <v>0</v>
      </c>
      <c r="D309">
        <f>HYPERLINK("http://comp.fnguide.com/SVO2/ASP/SVD_Consensus.asp?pGB=1&amp;gicode=A069330&amp;cID=&amp;MenuYn=Y&amp;ReportGB=&amp;NewMenuID=108&amp;stkGb=701", "유아이디")</f>
        <v>0</v>
      </c>
      <c r="E309">
        <v>1</v>
      </c>
      <c r="F309">
        <v>1900</v>
      </c>
      <c r="G309">
        <v>0</v>
      </c>
      <c r="H309">
        <v>7.62</v>
      </c>
      <c r="I309">
        <v>1975</v>
      </c>
      <c r="J309">
        <v>1569</v>
      </c>
      <c r="K309">
        <v>1424</v>
      </c>
      <c r="L309">
        <v>-3.97</v>
      </c>
      <c r="M309">
        <v>17.45</v>
      </c>
      <c r="N309">
        <v>25.05</v>
      </c>
      <c r="O309">
        <v>18.07</v>
      </c>
      <c r="P309" t="b">
        <v>1</v>
      </c>
      <c r="Q309">
        <v>0</v>
      </c>
      <c r="R309">
        <v>349</v>
      </c>
      <c r="U309" t="s">
        <v>985</v>
      </c>
      <c r="V309" t="s">
        <v>1306</v>
      </c>
      <c r="W309">
        <v>0</v>
      </c>
      <c r="X309">
        <v>23.1</v>
      </c>
      <c r="Y309" t="s">
        <v>1607</v>
      </c>
      <c r="Z309">
        <v>0</v>
      </c>
      <c r="AA309">
        <v>270</v>
      </c>
      <c r="AB309">
        <v>48974</v>
      </c>
      <c r="AC309" t="s">
        <v>1928</v>
      </c>
      <c r="AD309">
        <v>34.49</v>
      </c>
      <c r="AE309" t="s">
        <v>2249</v>
      </c>
      <c r="AF309" t="s">
        <v>2561</v>
      </c>
      <c r="AG309">
        <v>737</v>
      </c>
      <c r="AH309">
        <v>60</v>
      </c>
      <c r="AI309">
        <v>83800</v>
      </c>
      <c r="AK309" t="b">
        <v>1</v>
      </c>
    </row>
    <row r="310" spans="1:37">
      <c r="A310" s="1" t="s">
        <v>344</v>
      </c>
      <c r="B310" t="s">
        <v>665</v>
      </c>
      <c r="C310">
        <f>HYPERLINK("https://finance.naver.com/item/coinfo.nhn?code=107590", "A107590")</f>
        <v>0</v>
      </c>
      <c r="D310">
        <f>HYPERLINK("http://comp.fnguide.com/SVO2/ASP/SVD_Consensus.asp?pGB=1&amp;gicode=A107590&amp;cID=&amp;MenuYn=Y&amp;ReportGB=&amp;NewMenuID=108&amp;stkGb=701", "미원홀딩스")</f>
        <v>0</v>
      </c>
      <c r="E310">
        <v>1</v>
      </c>
      <c r="F310">
        <v>101500</v>
      </c>
      <c r="G310">
        <v>0</v>
      </c>
      <c r="H310">
        <v>10.61</v>
      </c>
      <c r="I310">
        <v>116516</v>
      </c>
      <c r="J310">
        <v>101105</v>
      </c>
      <c r="K310">
        <v>95630</v>
      </c>
      <c r="L310">
        <v>-14.79</v>
      </c>
      <c r="M310">
        <v>0.39</v>
      </c>
      <c r="N310">
        <v>5.78</v>
      </c>
      <c r="O310">
        <v>14.7</v>
      </c>
      <c r="P310" t="b">
        <v>0</v>
      </c>
      <c r="Q310">
        <v>0</v>
      </c>
      <c r="R310">
        <v>14283</v>
      </c>
      <c r="U310" t="s">
        <v>986</v>
      </c>
      <c r="V310" t="s">
        <v>1307</v>
      </c>
      <c r="W310">
        <v>0</v>
      </c>
      <c r="X310">
        <v>-3.4</v>
      </c>
      <c r="Y310" t="s">
        <v>1608</v>
      </c>
      <c r="Z310">
        <v>32.88903439592337</v>
      </c>
      <c r="AA310">
        <v>2355</v>
      </c>
      <c r="AB310">
        <v>437</v>
      </c>
      <c r="AC310" t="s">
        <v>1929</v>
      </c>
      <c r="AD310">
        <v>74.68000000000001</v>
      </c>
      <c r="AE310" t="s">
        <v>2250</v>
      </c>
      <c r="AF310" t="s">
        <v>2562</v>
      </c>
      <c r="AG310">
        <v>4214</v>
      </c>
      <c r="AH310">
        <v>297</v>
      </c>
      <c r="AI310">
        <v>4850</v>
      </c>
      <c r="AJ310">
        <v>0.33</v>
      </c>
      <c r="AK310" t="b">
        <v>1</v>
      </c>
    </row>
    <row r="311" spans="1:37">
      <c r="A311" s="1" t="s">
        <v>345</v>
      </c>
      <c r="B311" t="s">
        <v>666</v>
      </c>
      <c r="C311">
        <f>HYPERLINK("https://finance.naver.com/item/coinfo.nhn?code=348350", "A348350")</f>
        <v>0</v>
      </c>
      <c r="D311">
        <f>HYPERLINK("http://comp.fnguide.com/SVO2/ASP/SVD_Consensus.asp?pGB=1&amp;gicode=A348350&amp;cID=&amp;MenuYn=Y&amp;ReportGB=&amp;NewMenuID=108&amp;stkGb=701", "위드텍")</f>
        <v>0</v>
      </c>
      <c r="E311">
        <v>1</v>
      </c>
      <c r="F311">
        <v>11950</v>
      </c>
      <c r="G311">
        <v>0</v>
      </c>
      <c r="H311">
        <v>17.48</v>
      </c>
      <c r="I311">
        <v>12792</v>
      </c>
      <c r="J311">
        <v>11258</v>
      </c>
      <c r="K311">
        <v>10713</v>
      </c>
      <c r="L311">
        <v>-7.05</v>
      </c>
      <c r="M311">
        <v>5.79</v>
      </c>
      <c r="N311">
        <v>10.35</v>
      </c>
      <c r="O311">
        <v>14.26</v>
      </c>
      <c r="P311" t="b">
        <v>1</v>
      </c>
      <c r="Q311">
        <v>0</v>
      </c>
      <c r="R311">
        <v>1070</v>
      </c>
      <c r="U311" t="s">
        <v>987</v>
      </c>
      <c r="V311" t="s">
        <v>1308</v>
      </c>
      <c r="W311">
        <v>0</v>
      </c>
      <c r="X311">
        <v>47.6</v>
      </c>
      <c r="Y311" t="s">
        <v>1609</v>
      </c>
      <c r="Z311">
        <v>0</v>
      </c>
      <c r="AA311">
        <v>1217</v>
      </c>
      <c r="AB311">
        <v>25171</v>
      </c>
      <c r="AC311" t="s">
        <v>1930</v>
      </c>
      <c r="AD311">
        <v>62.29</v>
      </c>
      <c r="AE311" t="s">
        <v>2251</v>
      </c>
      <c r="AF311" t="s">
        <v>2563</v>
      </c>
      <c r="AG311">
        <v>683</v>
      </c>
      <c r="AH311">
        <v>88</v>
      </c>
      <c r="AI311">
        <v>140000</v>
      </c>
      <c r="AK311" t="b">
        <v>1</v>
      </c>
    </row>
    <row r="312" spans="1:37">
      <c r="A312" s="1" t="s">
        <v>346</v>
      </c>
      <c r="B312" t="s">
        <v>667</v>
      </c>
      <c r="C312">
        <f>HYPERLINK("https://finance.naver.com/item/coinfo.nhn?code=068290", "A068290")</f>
        <v>0</v>
      </c>
      <c r="D312">
        <f>HYPERLINK("http://comp.fnguide.com/SVO2/ASP/SVD_Consensus.asp?pGB=1&amp;gicode=A068290&amp;cID=&amp;MenuYn=Y&amp;ReportGB=&amp;NewMenuID=108&amp;stkGb=701", "삼성출판사")</f>
        <v>0</v>
      </c>
      <c r="E312">
        <v>1</v>
      </c>
      <c r="F312">
        <v>24850</v>
      </c>
      <c r="G312">
        <v>0</v>
      </c>
      <c r="H312">
        <v>104.93</v>
      </c>
      <c r="I312">
        <v>29380</v>
      </c>
      <c r="J312">
        <v>23887</v>
      </c>
      <c r="K312">
        <v>21936</v>
      </c>
      <c r="L312">
        <v>-18.23</v>
      </c>
      <c r="M312">
        <v>3.87</v>
      </c>
      <c r="N312">
        <v>11.73</v>
      </c>
      <c r="O312">
        <v>17.06</v>
      </c>
      <c r="P312" t="b">
        <v>0</v>
      </c>
      <c r="Q312">
        <v>0</v>
      </c>
      <c r="R312">
        <v>316</v>
      </c>
      <c r="U312" t="s">
        <v>988</v>
      </c>
      <c r="V312" t="s">
        <v>1309</v>
      </c>
      <c r="W312">
        <v>0</v>
      </c>
      <c r="X312">
        <v>804.7</v>
      </c>
      <c r="Y312" t="s">
        <v>1610</v>
      </c>
      <c r="Z312">
        <v>0</v>
      </c>
      <c r="AA312">
        <v>2485</v>
      </c>
      <c r="AB312">
        <v>35374</v>
      </c>
      <c r="AC312" t="s">
        <v>1931</v>
      </c>
      <c r="AD312">
        <v>61.76</v>
      </c>
      <c r="AE312" t="s">
        <v>2252</v>
      </c>
      <c r="AF312" t="s">
        <v>2564</v>
      </c>
      <c r="AG312">
        <v>1875</v>
      </c>
      <c r="AH312">
        <v>80</v>
      </c>
      <c r="AJ312">
        <v>0.6</v>
      </c>
      <c r="AK312" t="b">
        <v>1</v>
      </c>
    </row>
    <row r="313" spans="1:37">
      <c r="A313" s="1" t="s">
        <v>347</v>
      </c>
      <c r="B313" t="s">
        <v>668</v>
      </c>
      <c r="C313">
        <f>HYPERLINK("https://finance.naver.com/item/coinfo.nhn?code=126720", "A126720")</f>
        <v>0</v>
      </c>
      <c r="D313">
        <f>HYPERLINK("http://comp.fnguide.com/SVO2/ASP/SVD_Consensus.asp?pGB=1&amp;gicode=A126720&amp;cID=&amp;MenuYn=Y&amp;ReportGB=&amp;NewMenuID=108&amp;stkGb=701", "수산인더스트리")</f>
        <v>0</v>
      </c>
      <c r="E313">
        <v>1</v>
      </c>
      <c r="F313">
        <v>26450</v>
      </c>
      <c r="G313">
        <v>0</v>
      </c>
      <c r="I313">
        <v>31011</v>
      </c>
      <c r="J313">
        <v>24647</v>
      </c>
      <c r="K313">
        <v>22387</v>
      </c>
      <c r="L313">
        <v>-17.24</v>
      </c>
      <c r="M313">
        <v>6.82</v>
      </c>
      <c r="N313">
        <v>15.36</v>
      </c>
      <c r="O313">
        <v>18.02</v>
      </c>
      <c r="P313" t="b">
        <v>0</v>
      </c>
      <c r="Q313">
        <v>0</v>
      </c>
      <c r="R313">
        <v>5286</v>
      </c>
      <c r="U313" t="s">
        <v>989</v>
      </c>
      <c r="V313" t="s">
        <v>1310</v>
      </c>
      <c r="W313">
        <v>0</v>
      </c>
      <c r="X313">
        <v>-23.6</v>
      </c>
      <c r="Y313" t="s">
        <v>1611</v>
      </c>
      <c r="Z313">
        <v>10.5176629411091</v>
      </c>
      <c r="AA313">
        <v>3779</v>
      </c>
      <c r="AB313">
        <v>770168</v>
      </c>
      <c r="AC313" t="s">
        <v>1932</v>
      </c>
      <c r="AD313">
        <v>68.52</v>
      </c>
      <c r="AE313" t="s">
        <v>2253</v>
      </c>
      <c r="AF313" t="s">
        <v>2272</v>
      </c>
      <c r="AG313">
        <v>2941</v>
      </c>
      <c r="AH313">
        <v>513</v>
      </c>
      <c r="AK313" t="b">
        <v>1</v>
      </c>
    </row>
    <row r="314" spans="1:37">
      <c r="A314" s="1" t="s">
        <v>348</v>
      </c>
      <c r="B314" t="s">
        <v>669</v>
      </c>
      <c r="C314">
        <f>HYPERLINK("https://finance.naver.com/item/coinfo.nhn?code=138080", "A138080")</f>
        <v>0</v>
      </c>
      <c r="D314">
        <f>HYPERLINK("http://comp.fnguide.com/SVO2/ASP/SVD_Consensus.asp?pGB=1&amp;gicode=A138080&amp;cID=&amp;MenuYn=Y&amp;ReportGB=&amp;NewMenuID=108&amp;stkGb=701", "오이솔루션")</f>
        <v>0</v>
      </c>
      <c r="E314">
        <v>1</v>
      </c>
      <c r="F314">
        <v>18100</v>
      </c>
      <c r="G314">
        <v>0</v>
      </c>
      <c r="H314">
        <v>25.87</v>
      </c>
      <c r="I314">
        <v>20593</v>
      </c>
      <c r="J314">
        <v>17722</v>
      </c>
      <c r="K314">
        <v>16702</v>
      </c>
      <c r="L314">
        <v>-13.77</v>
      </c>
      <c r="M314">
        <v>2.09</v>
      </c>
      <c r="N314">
        <v>7.72</v>
      </c>
      <c r="O314">
        <v>14.97</v>
      </c>
      <c r="P314" t="b">
        <v>1</v>
      </c>
      <c r="Q314">
        <v>0</v>
      </c>
      <c r="R314">
        <v>1353</v>
      </c>
      <c r="S314">
        <v>-179</v>
      </c>
      <c r="T314">
        <v>-113.2</v>
      </c>
      <c r="U314" t="s">
        <v>990</v>
      </c>
      <c r="V314" t="s">
        <v>1311</v>
      </c>
      <c r="W314">
        <v>0</v>
      </c>
      <c r="Y314" t="s">
        <v>1612</v>
      </c>
      <c r="Z314">
        <v>0</v>
      </c>
      <c r="AA314">
        <v>1923</v>
      </c>
      <c r="AB314">
        <v>40169</v>
      </c>
      <c r="AC314" t="s">
        <v>1933</v>
      </c>
      <c r="AD314">
        <v>27.62</v>
      </c>
      <c r="AE314" t="s">
        <v>2254</v>
      </c>
      <c r="AF314" t="s">
        <v>2565</v>
      </c>
      <c r="AG314">
        <v>987</v>
      </c>
      <c r="AH314">
        <v>17</v>
      </c>
      <c r="AI314">
        <v>114487</v>
      </c>
      <c r="AJ314">
        <v>0.86</v>
      </c>
      <c r="AK314" t="b">
        <v>1</v>
      </c>
    </row>
    <row r="315" spans="1:37">
      <c r="A315" s="1" t="s">
        <v>349</v>
      </c>
      <c r="B315" t="s">
        <v>670</v>
      </c>
      <c r="C315">
        <f>HYPERLINK("https://finance.naver.com/item/coinfo.nhn?code=130580", "A130580")</f>
        <v>0</v>
      </c>
      <c r="D315">
        <f>HYPERLINK("http://comp.fnguide.com/SVO2/ASP/SVD_Consensus.asp?pGB=1&amp;gicode=A130580&amp;cID=&amp;MenuYn=Y&amp;ReportGB=&amp;NewMenuID=108&amp;stkGb=701", "나이스디앤비")</f>
        <v>0</v>
      </c>
      <c r="E315">
        <v>1</v>
      </c>
      <c r="F315">
        <v>7820</v>
      </c>
      <c r="G315">
        <v>1.08</v>
      </c>
      <c r="H315">
        <v>11.14</v>
      </c>
      <c r="I315">
        <v>8325</v>
      </c>
      <c r="J315">
        <v>6411</v>
      </c>
      <c r="K315">
        <v>5731</v>
      </c>
      <c r="L315">
        <v>-6.45</v>
      </c>
      <c r="M315">
        <v>18.02</v>
      </c>
      <c r="N315">
        <v>26.71</v>
      </c>
      <c r="O315">
        <v>19.51</v>
      </c>
      <c r="P315" t="b">
        <v>1</v>
      </c>
      <c r="Q315">
        <v>3</v>
      </c>
      <c r="R315">
        <v>863</v>
      </c>
      <c r="S315">
        <v>922</v>
      </c>
      <c r="T315">
        <v>6.8</v>
      </c>
      <c r="U315" t="s">
        <v>991</v>
      </c>
      <c r="V315" t="s">
        <v>1312</v>
      </c>
      <c r="W315">
        <v>10.31559001485389</v>
      </c>
      <c r="X315">
        <v>9.4</v>
      </c>
      <c r="Y315" t="s">
        <v>1613</v>
      </c>
      <c r="Z315">
        <v>17.78523740593294</v>
      </c>
      <c r="AA315">
        <v>1204</v>
      </c>
      <c r="AB315">
        <v>3823</v>
      </c>
      <c r="AC315" t="s">
        <v>1934</v>
      </c>
      <c r="AD315">
        <v>34.97</v>
      </c>
      <c r="AE315" t="s">
        <v>2255</v>
      </c>
      <c r="AF315" t="s">
        <v>2566</v>
      </c>
      <c r="AG315">
        <v>887</v>
      </c>
      <c r="AH315">
        <v>169</v>
      </c>
      <c r="AJ315">
        <v>2.39</v>
      </c>
      <c r="AK315" t="b">
        <v>1</v>
      </c>
    </row>
    <row r="316" spans="1:37">
      <c r="A316" s="1" t="s">
        <v>350</v>
      </c>
      <c r="B316" t="s">
        <v>671</v>
      </c>
      <c r="C316">
        <f>HYPERLINK("https://finance.naver.com/item/coinfo.nhn?code=053980", "A053980")</f>
        <v>0</v>
      </c>
      <c r="D316">
        <f>HYPERLINK("http://comp.fnguide.com/SVO2/ASP/SVD_Consensus.asp?pGB=1&amp;gicode=A053980&amp;cID=&amp;MenuYn=Y&amp;ReportGB=&amp;NewMenuID=108&amp;stkGb=701", "오상자이엘")</f>
        <v>0</v>
      </c>
      <c r="E316">
        <v>1</v>
      </c>
      <c r="F316">
        <v>5090</v>
      </c>
      <c r="G316">
        <v>0</v>
      </c>
      <c r="H316">
        <v>28.53</v>
      </c>
      <c r="I316">
        <v>5721</v>
      </c>
      <c r="J316">
        <v>4630</v>
      </c>
      <c r="K316">
        <v>4243</v>
      </c>
      <c r="L316">
        <v>-12.4</v>
      </c>
      <c r="M316">
        <v>9.029999999999999</v>
      </c>
      <c r="N316">
        <v>16.64</v>
      </c>
      <c r="O316">
        <v>17.24</v>
      </c>
      <c r="P316" t="b">
        <v>1</v>
      </c>
      <c r="Q316">
        <v>0</v>
      </c>
      <c r="R316">
        <v>258</v>
      </c>
      <c r="U316" t="s">
        <v>992</v>
      </c>
      <c r="V316" t="s">
        <v>1313</v>
      </c>
      <c r="W316">
        <v>0</v>
      </c>
      <c r="X316">
        <v>157.1</v>
      </c>
      <c r="Y316" t="s">
        <v>1614</v>
      </c>
      <c r="Z316">
        <v>0</v>
      </c>
      <c r="AA316">
        <v>903</v>
      </c>
      <c r="AB316">
        <v>37797</v>
      </c>
      <c r="AC316" t="s">
        <v>1935</v>
      </c>
      <c r="AD316">
        <v>36.14</v>
      </c>
      <c r="AE316" t="s">
        <v>2256</v>
      </c>
      <c r="AF316" t="s">
        <v>2567</v>
      </c>
      <c r="AG316">
        <v>905</v>
      </c>
      <c r="AH316">
        <v>54</v>
      </c>
      <c r="AI316">
        <v>106437</v>
      </c>
      <c r="AK316" t="b">
        <v>1</v>
      </c>
    </row>
    <row r="317" spans="1:37">
      <c r="A317" s="1" t="s">
        <v>351</v>
      </c>
      <c r="B317" t="s">
        <v>672</v>
      </c>
      <c r="C317">
        <f>HYPERLINK("https://finance.naver.com/item/coinfo.nhn?code=060850", "A060850")</f>
        <v>0</v>
      </c>
      <c r="D317">
        <f>HYPERLINK("http://comp.fnguide.com/SVO2/ASP/SVD_Consensus.asp?pGB=1&amp;gicode=A060850&amp;cID=&amp;MenuYn=Y&amp;ReportGB=&amp;NewMenuID=108&amp;stkGb=701", "영림원소프트랩")</f>
        <v>0</v>
      </c>
      <c r="E317">
        <v>1</v>
      </c>
      <c r="F317">
        <v>9760</v>
      </c>
      <c r="G317">
        <v>0</v>
      </c>
      <c r="H317">
        <v>18.45</v>
      </c>
      <c r="I317">
        <v>10361</v>
      </c>
      <c r="J317">
        <v>7348</v>
      </c>
      <c r="K317">
        <v>6278</v>
      </c>
      <c r="L317">
        <v>-6.15</v>
      </c>
      <c r="M317">
        <v>24.71</v>
      </c>
      <c r="N317">
        <v>35.68</v>
      </c>
      <c r="O317">
        <v>24.52</v>
      </c>
      <c r="P317" t="b">
        <v>1</v>
      </c>
      <c r="Q317">
        <v>0</v>
      </c>
      <c r="R317">
        <v>607</v>
      </c>
      <c r="U317" t="s">
        <v>993</v>
      </c>
      <c r="V317" t="s">
        <v>1314</v>
      </c>
      <c r="W317">
        <v>0</v>
      </c>
      <c r="X317">
        <v>221</v>
      </c>
      <c r="Y317" t="s">
        <v>1615</v>
      </c>
      <c r="Z317">
        <v>0</v>
      </c>
      <c r="AA317">
        <v>794</v>
      </c>
      <c r="AB317">
        <v>44013</v>
      </c>
      <c r="AC317" t="s">
        <v>1936</v>
      </c>
      <c r="AD317">
        <v>20.36</v>
      </c>
      <c r="AE317" t="s">
        <v>2257</v>
      </c>
      <c r="AF317" t="s">
        <v>2568</v>
      </c>
      <c r="AG317">
        <v>477</v>
      </c>
      <c r="AH317">
        <v>43</v>
      </c>
      <c r="AI317">
        <v>100000</v>
      </c>
      <c r="AJ317">
        <v>0.98</v>
      </c>
      <c r="AK317" t="b">
        <v>1</v>
      </c>
    </row>
    <row r="318" spans="1:37">
      <c r="A318" s="1" t="s">
        <v>352</v>
      </c>
      <c r="B318" t="s">
        <v>673</v>
      </c>
      <c r="C318">
        <f>HYPERLINK("https://finance.naver.com/item/coinfo.nhn?code=169330", "A169330")</f>
        <v>0</v>
      </c>
      <c r="D318">
        <f>HYPERLINK("http://comp.fnguide.com/SVO2/ASP/SVD_Consensus.asp?pGB=1&amp;gicode=A169330&amp;cID=&amp;MenuYn=Y&amp;ReportGB=&amp;NewMenuID=108&amp;stkGb=701", "엠브레인")</f>
        <v>0</v>
      </c>
      <c r="E318">
        <v>1</v>
      </c>
      <c r="F318">
        <v>2830</v>
      </c>
      <c r="G318">
        <v>0</v>
      </c>
      <c r="H318">
        <v>10.75</v>
      </c>
      <c r="I318">
        <v>3159</v>
      </c>
      <c r="J318">
        <v>2346</v>
      </c>
      <c r="K318">
        <v>2057</v>
      </c>
      <c r="L318">
        <v>-11.64</v>
      </c>
      <c r="M318">
        <v>17.11</v>
      </c>
      <c r="N318">
        <v>27.32</v>
      </c>
      <c r="O318">
        <v>21.5</v>
      </c>
      <c r="P318" t="b">
        <v>1</v>
      </c>
      <c r="Q318">
        <v>0</v>
      </c>
      <c r="R318">
        <v>333</v>
      </c>
      <c r="U318" t="s">
        <v>994</v>
      </c>
      <c r="V318" t="s">
        <v>1315</v>
      </c>
      <c r="W318">
        <v>0</v>
      </c>
      <c r="X318">
        <v>-32.8</v>
      </c>
      <c r="Y318" t="s">
        <v>1616</v>
      </c>
      <c r="Z318">
        <v>2.280635214158111</v>
      </c>
      <c r="AA318">
        <v>514</v>
      </c>
      <c r="AB318">
        <v>8162</v>
      </c>
      <c r="AC318" t="s">
        <v>1937</v>
      </c>
      <c r="AD318">
        <v>63.25</v>
      </c>
      <c r="AE318" t="s">
        <v>2258</v>
      </c>
      <c r="AF318" t="s">
        <v>2569</v>
      </c>
      <c r="AG318">
        <v>513</v>
      </c>
      <c r="AH318">
        <v>74</v>
      </c>
      <c r="AJ318">
        <v>4.75</v>
      </c>
      <c r="AK318" t="b">
        <v>1</v>
      </c>
    </row>
    <row r="319" spans="1:37">
      <c r="A319" s="1" t="s">
        <v>353</v>
      </c>
      <c r="B319" t="s">
        <v>674</v>
      </c>
      <c r="C319">
        <f>HYPERLINK("https://finance.naver.com/item/coinfo.nhn?code=058630", "A058630")</f>
        <v>0</v>
      </c>
      <c r="D319">
        <f>HYPERLINK("http://comp.fnguide.com/SVO2/ASP/SVD_Consensus.asp?pGB=1&amp;gicode=A058630&amp;cID=&amp;MenuYn=Y&amp;ReportGB=&amp;NewMenuID=108&amp;stkGb=701", "엠게임")</f>
        <v>0</v>
      </c>
      <c r="E319">
        <v>1</v>
      </c>
      <c r="F319">
        <v>7950</v>
      </c>
      <c r="G319">
        <v>0</v>
      </c>
      <c r="H319">
        <v>11.12</v>
      </c>
      <c r="I319">
        <v>9349</v>
      </c>
      <c r="J319">
        <v>6445</v>
      </c>
      <c r="K319">
        <v>5413</v>
      </c>
      <c r="L319">
        <v>-17.6</v>
      </c>
      <c r="M319">
        <v>18.93</v>
      </c>
      <c r="N319">
        <v>31.91</v>
      </c>
      <c r="O319">
        <v>26.75</v>
      </c>
      <c r="P319" t="b">
        <v>1</v>
      </c>
      <c r="Q319">
        <v>0</v>
      </c>
      <c r="R319">
        <v>1097</v>
      </c>
      <c r="U319" t="s">
        <v>995</v>
      </c>
      <c r="V319" t="s">
        <v>1316</v>
      </c>
      <c r="W319">
        <v>0</v>
      </c>
      <c r="X319">
        <v>-8.5</v>
      </c>
      <c r="Y319" t="s">
        <v>1617</v>
      </c>
      <c r="Z319">
        <v>49.00282482609002</v>
      </c>
      <c r="AA319">
        <v>1554</v>
      </c>
      <c r="AB319">
        <v>275133</v>
      </c>
      <c r="AC319" t="s">
        <v>1938</v>
      </c>
      <c r="AD319">
        <v>18.36</v>
      </c>
      <c r="AE319" t="s">
        <v>2259</v>
      </c>
      <c r="AF319" t="s">
        <v>2570</v>
      </c>
      <c r="AG319">
        <v>557</v>
      </c>
      <c r="AH319">
        <v>184</v>
      </c>
      <c r="AI319">
        <v>430748</v>
      </c>
      <c r="AK319" t="b">
        <v>1</v>
      </c>
    </row>
    <row r="320" spans="1:37">
      <c r="A320" s="1" t="s">
        <v>354</v>
      </c>
      <c r="B320" t="s">
        <v>675</v>
      </c>
      <c r="C320">
        <f>HYPERLINK("https://finance.naver.com/item/coinfo.nhn?code=061970", "A061970")</f>
        <v>0</v>
      </c>
      <c r="D320">
        <f>HYPERLINK("http://comp.fnguide.com/SVO2/ASP/SVD_Consensus.asp?pGB=1&amp;gicode=A061970&amp;cID=&amp;MenuYn=Y&amp;ReportGB=&amp;NewMenuID=108&amp;stkGb=701", "엘비세미콘")</f>
        <v>0</v>
      </c>
      <c r="E320">
        <v>1</v>
      </c>
      <c r="F320">
        <v>7150</v>
      </c>
      <c r="G320">
        <v>1.35</v>
      </c>
      <c r="H320">
        <v>17.97</v>
      </c>
      <c r="I320">
        <v>8399</v>
      </c>
      <c r="J320">
        <v>6721</v>
      </c>
      <c r="K320">
        <v>6124</v>
      </c>
      <c r="L320">
        <v>-17.47</v>
      </c>
      <c r="M320">
        <v>6.01</v>
      </c>
      <c r="N320">
        <v>14.35</v>
      </c>
      <c r="O320">
        <v>17.73</v>
      </c>
      <c r="P320" t="b">
        <v>1</v>
      </c>
      <c r="Q320">
        <v>2</v>
      </c>
      <c r="R320">
        <v>743</v>
      </c>
      <c r="S320">
        <v>1081</v>
      </c>
      <c r="T320">
        <v>45.5</v>
      </c>
      <c r="U320" t="s">
        <v>996</v>
      </c>
      <c r="V320" t="s">
        <v>1317</v>
      </c>
      <c r="W320">
        <v>13.27206768479945</v>
      </c>
      <c r="X320">
        <v>16.3</v>
      </c>
      <c r="Y320" t="s">
        <v>1618</v>
      </c>
      <c r="Z320">
        <v>36.57497692704974</v>
      </c>
      <c r="AA320">
        <v>3131</v>
      </c>
      <c r="AB320">
        <v>110106</v>
      </c>
      <c r="AC320" t="s">
        <v>1939</v>
      </c>
      <c r="AD320">
        <v>36.45</v>
      </c>
      <c r="AE320" t="s">
        <v>2260</v>
      </c>
      <c r="AF320" t="s">
        <v>2571</v>
      </c>
      <c r="AG320">
        <v>4962</v>
      </c>
      <c r="AH320">
        <v>442</v>
      </c>
      <c r="AJ320">
        <v>0.37</v>
      </c>
      <c r="AK320" t="b">
        <v>1</v>
      </c>
    </row>
    <row r="321" spans="1:37">
      <c r="A321" s="1" t="s">
        <v>355</v>
      </c>
      <c r="B321" t="s">
        <v>676</v>
      </c>
      <c r="C321">
        <f>HYPERLINK("https://finance.naver.com/item/coinfo.nhn?code=333620", "A333620")</f>
        <v>0</v>
      </c>
      <c r="D321">
        <f>HYPERLINK("http://comp.fnguide.com/SVO2/ASP/SVD_Consensus.asp?pGB=1&amp;gicode=A333620&amp;cID=&amp;MenuYn=Y&amp;ReportGB=&amp;NewMenuID=108&amp;stkGb=701", "엔시스")</f>
        <v>0</v>
      </c>
      <c r="E321">
        <v>1</v>
      </c>
      <c r="F321">
        <v>10600</v>
      </c>
      <c r="G321">
        <v>0</v>
      </c>
      <c r="H321">
        <v>42.85</v>
      </c>
      <c r="I321">
        <v>13320</v>
      </c>
      <c r="J321">
        <v>9081</v>
      </c>
      <c r="K321">
        <v>7575</v>
      </c>
      <c r="L321">
        <v>-25.66</v>
      </c>
      <c r="M321">
        <v>14.33</v>
      </c>
      <c r="N321">
        <v>28.54</v>
      </c>
      <c r="O321">
        <v>27.73</v>
      </c>
      <c r="P321" t="b">
        <v>1</v>
      </c>
      <c r="Q321">
        <v>0</v>
      </c>
      <c r="R321">
        <v>475</v>
      </c>
      <c r="U321" t="s">
        <v>997</v>
      </c>
      <c r="V321" t="s">
        <v>1318</v>
      </c>
      <c r="W321">
        <v>0</v>
      </c>
      <c r="X321">
        <v>93.40000000000001</v>
      </c>
      <c r="Y321" t="s">
        <v>1619</v>
      </c>
      <c r="Z321">
        <v>0</v>
      </c>
      <c r="AA321">
        <v>1119</v>
      </c>
      <c r="AB321">
        <v>15799</v>
      </c>
      <c r="AC321" t="s">
        <v>1940</v>
      </c>
      <c r="AD321">
        <v>54.09</v>
      </c>
      <c r="AE321" t="s">
        <v>2261</v>
      </c>
      <c r="AF321" t="s">
        <v>2572</v>
      </c>
      <c r="AG321">
        <v>427</v>
      </c>
      <c r="AH321">
        <v>77</v>
      </c>
      <c r="AI321">
        <v>223007</v>
      </c>
      <c r="AJ321">
        <v>0.34</v>
      </c>
      <c r="AK321" t="b">
        <v>1</v>
      </c>
    </row>
    <row r="322" spans="1:37">
      <c r="A322" s="1" t="s">
        <v>356</v>
      </c>
      <c r="B322" t="s">
        <v>677</v>
      </c>
      <c r="C322">
        <f>HYPERLINK("https://finance.naver.com/item/coinfo.nhn?code=241790", "A241790")</f>
        <v>0</v>
      </c>
      <c r="D322">
        <f>HYPERLINK("http://comp.fnguide.com/SVO2/ASP/SVD_Consensus.asp?pGB=1&amp;gicode=A241790&amp;cID=&amp;MenuYn=Y&amp;ReportGB=&amp;NewMenuID=108&amp;stkGb=701", "오션브릿지")</f>
        <v>0</v>
      </c>
      <c r="E322">
        <v>1</v>
      </c>
      <c r="F322">
        <v>13200</v>
      </c>
      <c r="G322">
        <v>0</v>
      </c>
      <c r="H322">
        <v>12.46</v>
      </c>
      <c r="I322">
        <v>14107</v>
      </c>
      <c r="J322">
        <v>11208</v>
      </c>
      <c r="K322">
        <v>10179</v>
      </c>
      <c r="L322">
        <v>-6.87</v>
      </c>
      <c r="M322">
        <v>15.09</v>
      </c>
      <c r="N322">
        <v>22.89</v>
      </c>
      <c r="O322">
        <v>18.04</v>
      </c>
      <c r="P322" t="b">
        <v>1</v>
      </c>
      <c r="Q322">
        <v>0</v>
      </c>
      <c r="R322">
        <v>1332</v>
      </c>
      <c r="U322" t="s">
        <v>998</v>
      </c>
      <c r="V322" t="s">
        <v>1319</v>
      </c>
      <c r="W322">
        <v>0</v>
      </c>
      <c r="X322">
        <v>100.4</v>
      </c>
      <c r="Y322" t="s">
        <v>1620</v>
      </c>
      <c r="Z322">
        <v>22.36602220668749</v>
      </c>
      <c r="AA322">
        <v>1320</v>
      </c>
      <c r="AB322">
        <v>46368</v>
      </c>
      <c r="AC322" t="s">
        <v>1941</v>
      </c>
      <c r="AD322">
        <v>33.4</v>
      </c>
      <c r="AE322" t="s">
        <v>2262</v>
      </c>
      <c r="AF322" t="s">
        <v>2573</v>
      </c>
      <c r="AG322">
        <v>939</v>
      </c>
      <c r="AH322">
        <v>160</v>
      </c>
      <c r="AI322">
        <v>303197</v>
      </c>
      <c r="AJ322">
        <v>1.81</v>
      </c>
      <c r="AK3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182</v>
      </c>
      <c r="B2" t="s">
        <v>503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9320</v>
      </c>
      <c r="G2">
        <v>-0.27</v>
      </c>
      <c r="H2">
        <v>4.08</v>
      </c>
      <c r="I2">
        <v>23077</v>
      </c>
      <c r="J2">
        <v>21769</v>
      </c>
      <c r="K2">
        <v>21304</v>
      </c>
      <c r="L2">
        <v>-147.6</v>
      </c>
      <c r="M2">
        <v>-133.57</v>
      </c>
      <c r="N2">
        <v>-128.58</v>
      </c>
      <c r="O2">
        <v>12.34</v>
      </c>
      <c r="P2" t="b">
        <v>0</v>
      </c>
      <c r="Q2">
        <v>0</v>
      </c>
      <c r="R2">
        <v>3067</v>
      </c>
      <c r="S2">
        <v>973</v>
      </c>
      <c r="T2">
        <v>-68.3</v>
      </c>
      <c r="U2" t="s">
        <v>824</v>
      </c>
      <c r="V2" t="s">
        <v>1145</v>
      </c>
      <c r="W2">
        <v>-15.00207446815975</v>
      </c>
      <c r="X2">
        <v>4.4</v>
      </c>
      <c r="Y2" t="s">
        <v>1456</v>
      </c>
      <c r="Z2">
        <v>9.126059767570393</v>
      </c>
      <c r="AA2">
        <v>30911</v>
      </c>
      <c r="AB2">
        <v>658496</v>
      </c>
      <c r="AC2" t="s">
        <v>1767</v>
      </c>
      <c r="AD2">
        <v>56.83</v>
      </c>
      <c r="AE2" t="s">
        <v>2088</v>
      </c>
      <c r="AF2" t="s">
        <v>2407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153</v>
      </c>
      <c r="B3" t="s">
        <v>474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5040</v>
      </c>
      <c r="G3">
        <v>0</v>
      </c>
      <c r="H3">
        <v>3.67</v>
      </c>
      <c r="I3">
        <v>30425</v>
      </c>
      <c r="J3">
        <v>24083</v>
      </c>
      <c r="K3">
        <v>21831</v>
      </c>
      <c r="L3">
        <v>-503.66</v>
      </c>
      <c r="M3">
        <v>-377.85</v>
      </c>
      <c r="N3">
        <v>-333.15</v>
      </c>
      <c r="O3">
        <v>18.2</v>
      </c>
      <c r="P3" t="b">
        <v>1</v>
      </c>
      <c r="Q3">
        <v>0</v>
      </c>
      <c r="R3">
        <v>2233</v>
      </c>
      <c r="U3" t="s">
        <v>795</v>
      </c>
      <c r="V3" t="s">
        <v>1116</v>
      </c>
      <c r="W3">
        <v>0</v>
      </c>
      <c r="X3">
        <v>6.4</v>
      </c>
      <c r="Y3" t="s">
        <v>1428</v>
      </c>
      <c r="Z3">
        <v>12.98269720211012</v>
      </c>
      <c r="AA3">
        <v>2796</v>
      </c>
      <c r="AB3">
        <v>30639</v>
      </c>
      <c r="AC3" t="s">
        <v>1738</v>
      </c>
      <c r="AD3">
        <v>62.41</v>
      </c>
      <c r="AE3" t="s">
        <v>2059</v>
      </c>
      <c r="AF3" t="s">
        <v>2379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251</v>
      </c>
      <c r="B4" t="s">
        <v>572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7380</v>
      </c>
      <c r="G4">
        <v>0</v>
      </c>
      <c r="H4">
        <v>2.86</v>
      </c>
      <c r="I4">
        <v>38607</v>
      </c>
      <c r="J4">
        <v>31131</v>
      </c>
      <c r="K4">
        <v>28474</v>
      </c>
      <c r="L4">
        <v>-423.13</v>
      </c>
      <c r="M4">
        <v>-321.82</v>
      </c>
      <c r="N4">
        <v>-285.83</v>
      </c>
      <c r="O4">
        <v>17.4</v>
      </c>
      <c r="P4" t="b">
        <v>1</v>
      </c>
      <c r="Q4">
        <v>0</v>
      </c>
      <c r="R4">
        <v>5102</v>
      </c>
      <c r="U4" t="s">
        <v>893</v>
      </c>
      <c r="V4" t="s">
        <v>1214</v>
      </c>
      <c r="W4">
        <v>0</v>
      </c>
      <c r="X4">
        <v>-75.90000000000001</v>
      </c>
      <c r="Y4" t="s">
        <v>1522</v>
      </c>
      <c r="Z4">
        <v>-23.10847427913573</v>
      </c>
      <c r="AA4">
        <v>1688</v>
      </c>
      <c r="AB4">
        <v>135094</v>
      </c>
      <c r="AC4" t="s">
        <v>1836</v>
      </c>
      <c r="AD4">
        <v>56.47</v>
      </c>
      <c r="AE4" t="s">
        <v>2157</v>
      </c>
      <c r="AF4" t="s">
        <v>2476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427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7770</v>
      </c>
      <c r="G5">
        <v>0</v>
      </c>
      <c r="H5">
        <v>4.77</v>
      </c>
      <c r="I5">
        <v>22263</v>
      </c>
      <c r="J5">
        <v>18409</v>
      </c>
      <c r="K5">
        <v>17039</v>
      </c>
      <c r="L5">
        <v>-186.52</v>
      </c>
      <c r="M5">
        <v>-136.92</v>
      </c>
      <c r="N5">
        <v>-119.3</v>
      </c>
      <c r="O5">
        <v>16.39</v>
      </c>
      <c r="P5" t="b">
        <v>0</v>
      </c>
      <c r="Q5">
        <v>0</v>
      </c>
      <c r="R5">
        <v>2612</v>
      </c>
      <c r="U5" t="s">
        <v>748</v>
      </c>
      <c r="V5" t="s">
        <v>1069</v>
      </c>
      <c r="W5">
        <v>0</v>
      </c>
      <c r="X5">
        <v>-2.7</v>
      </c>
      <c r="Y5" t="s">
        <v>1383</v>
      </c>
      <c r="Z5">
        <v>10.5852093882677</v>
      </c>
      <c r="AA5">
        <v>496</v>
      </c>
      <c r="AB5">
        <v>5739</v>
      </c>
      <c r="AC5" t="s">
        <v>1691</v>
      </c>
      <c r="AD5">
        <v>50.75</v>
      </c>
      <c r="AE5" t="s">
        <v>2012</v>
      </c>
      <c r="AF5" t="s">
        <v>2333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259</v>
      </c>
      <c r="B6" t="s">
        <v>580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3110</v>
      </c>
      <c r="G6">
        <v>0.47</v>
      </c>
      <c r="H6">
        <v>4.71</v>
      </c>
      <c r="I6">
        <v>9484</v>
      </c>
      <c r="J6">
        <v>8141</v>
      </c>
      <c r="K6">
        <v>7663</v>
      </c>
      <c r="L6">
        <v>-204.95</v>
      </c>
      <c r="M6">
        <v>-161.76</v>
      </c>
      <c r="N6">
        <v>-146.41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901</v>
      </c>
      <c r="V6" t="s">
        <v>1222</v>
      </c>
      <c r="W6">
        <v>9.980365366015121</v>
      </c>
      <c r="Y6" t="s">
        <v>1321</v>
      </c>
      <c r="Z6">
        <v>2.825023183983988</v>
      </c>
      <c r="AA6">
        <v>3856</v>
      </c>
      <c r="AB6">
        <v>52577</v>
      </c>
      <c r="AC6" t="s">
        <v>1844</v>
      </c>
      <c r="AD6">
        <v>53.62</v>
      </c>
      <c r="AE6" t="s">
        <v>2165</v>
      </c>
      <c r="AF6" t="s">
        <v>2484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213</v>
      </c>
      <c r="B7" t="s">
        <v>534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8630</v>
      </c>
      <c r="G7">
        <v>0</v>
      </c>
      <c r="H7">
        <v>4.88</v>
      </c>
      <c r="I7">
        <v>16261</v>
      </c>
      <c r="J7">
        <v>15270</v>
      </c>
      <c r="K7">
        <v>14917</v>
      </c>
      <c r="L7">
        <v>-88.43000000000001</v>
      </c>
      <c r="M7">
        <v>-76.94</v>
      </c>
      <c r="N7">
        <v>-72.84999999999999</v>
      </c>
      <c r="O7">
        <v>12.46</v>
      </c>
      <c r="P7" t="b">
        <v>1</v>
      </c>
      <c r="Q7">
        <v>0</v>
      </c>
      <c r="R7">
        <v>2225</v>
      </c>
      <c r="U7" t="s">
        <v>855</v>
      </c>
      <c r="V7" t="s">
        <v>1176</v>
      </c>
      <c r="W7">
        <v>0</v>
      </c>
      <c r="X7">
        <v>-34.1</v>
      </c>
      <c r="Y7" t="s">
        <v>1487</v>
      </c>
      <c r="Z7">
        <v>-6.303459328672711</v>
      </c>
      <c r="AA7">
        <v>4198</v>
      </c>
      <c r="AB7">
        <v>202679</v>
      </c>
      <c r="AC7" t="s">
        <v>1798</v>
      </c>
      <c r="AD7">
        <v>66.31</v>
      </c>
      <c r="AE7" t="s">
        <v>2119</v>
      </c>
      <c r="AF7" t="s">
        <v>2438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357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6100</v>
      </c>
      <c r="G8">
        <v>-0.87</v>
      </c>
      <c r="H8">
        <v>3.3</v>
      </c>
      <c r="I8">
        <v>10555</v>
      </c>
      <c r="J8">
        <v>9245</v>
      </c>
      <c r="K8">
        <v>8780</v>
      </c>
      <c r="L8">
        <v>-73.04000000000001</v>
      </c>
      <c r="M8">
        <v>-51.56</v>
      </c>
      <c r="N8">
        <v>-43.93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678</v>
      </c>
      <c r="V8" t="s">
        <v>999</v>
      </c>
      <c r="W8">
        <v>-3.813444363364338</v>
      </c>
      <c r="X8">
        <v>-59.5</v>
      </c>
      <c r="Y8" t="s">
        <v>1320</v>
      </c>
      <c r="Z8">
        <v>0</v>
      </c>
      <c r="AA8">
        <v>2856</v>
      </c>
      <c r="AB8">
        <v>103047</v>
      </c>
      <c r="AC8" t="s">
        <v>1621</v>
      </c>
      <c r="AD8">
        <v>64.78</v>
      </c>
      <c r="AE8" t="s">
        <v>1942</v>
      </c>
      <c r="AF8" t="s">
        <v>2263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38</v>
      </c>
      <c r="B9" t="s">
        <v>359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17500</v>
      </c>
      <c r="G9">
        <v>0</v>
      </c>
      <c r="H9">
        <v>6.19</v>
      </c>
      <c r="I9">
        <v>27643</v>
      </c>
      <c r="J9">
        <v>22104</v>
      </c>
      <c r="K9">
        <v>20136</v>
      </c>
      <c r="L9">
        <v>-57.96</v>
      </c>
      <c r="M9">
        <v>-26.31</v>
      </c>
      <c r="N9">
        <v>-15.06</v>
      </c>
      <c r="O9">
        <v>17.76</v>
      </c>
      <c r="P9" t="b">
        <v>1</v>
      </c>
      <c r="Q9">
        <v>0</v>
      </c>
      <c r="R9">
        <v>3374</v>
      </c>
      <c r="U9" t="s">
        <v>680</v>
      </c>
      <c r="V9" t="s">
        <v>1001</v>
      </c>
      <c r="W9">
        <v>0</v>
      </c>
      <c r="X9">
        <v>10.1</v>
      </c>
      <c r="Y9" t="s">
        <v>1322</v>
      </c>
      <c r="Z9">
        <v>25.52351851976444</v>
      </c>
      <c r="AA9">
        <v>901</v>
      </c>
      <c r="AB9">
        <v>4992</v>
      </c>
      <c r="AC9" t="s">
        <v>1623</v>
      </c>
      <c r="AD9">
        <v>59.31</v>
      </c>
      <c r="AE9" t="s">
        <v>1944</v>
      </c>
      <c r="AF9" t="s">
        <v>2265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7">
      <c r="A10" s="1" t="s">
        <v>352</v>
      </c>
      <c r="B10" t="s">
        <v>673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2830</v>
      </c>
      <c r="G10">
        <v>0</v>
      </c>
      <c r="H10">
        <v>10.75</v>
      </c>
      <c r="I10">
        <v>3159</v>
      </c>
      <c r="J10">
        <v>2346</v>
      </c>
      <c r="K10">
        <v>2057</v>
      </c>
      <c r="L10">
        <v>-11.64</v>
      </c>
      <c r="M10">
        <v>17.11</v>
      </c>
      <c r="N10">
        <v>27.32</v>
      </c>
      <c r="O10">
        <v>21.5</v>
      </c>
      <c r="P10" t="b">
        <v>1</v>
      </c>
      <c r="Q10">
        <v>0</v>
      </c>
      <c r="R10">
        <v>333</v>
      </c>
      <c r="U10" t="s">
        <v>994</v>
      </c>
      <c r="V10" t="s">
        <v>1315</v>
      </c>
      <c r="W10">
        <v>0</v>
      </c>
      <c r="X10">
        <v>-32.8</v>
      </c>
      <c r="Y10" t="s">
        <v>1616</v>
      </c>
      <c r="Z10">
        <v>2.280635214158111</v>
      </c>
      <c r="AA10">
        <v>514</v>
      </c>
      <c r="AB10">
        <v>8162</v>
      </c>
      <c r="AC10" t="s">
        <v>1937</v>
      </c>
      <c r="AD10">
        <v>63.25</v>
      </c>
      <c r="AE10" t="s">
        <v>2258</v>
      </c>
      <c r="AF10" t="s">
        <v>2569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123</v>
      </c>
      <c r="B11" t="s">
        <v>444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735</v>
      </c>
      <c r="G11">
        <v>0</v>
      </c>
      <c r="H11">
        <v>5.01</v>
      </c>
      <c r="I11">
        <v>1455</v>
      </c>
      <c r="J11">
        <v>1370</v>
      </c>
      <c r="K11">
        <v>1339</v>
      </c>
      <c r="L11">
        <v>-97.98</v>
      </c>
      <c r="M11">
        <v>-86.34</v>
      </c>
      <c r="N11">
        <v>-82.20999999999999</v>
      </c>
      <c r="O11">
        <v>12.4</v>
      </c>
      <c r="P11" t="b">
        <v>0</v>
      </c>
      <c r="Q11">
        <v>0</v>
      </c>
      <c r="R11">
        <v>168</v>
      </c>
      <c r="U11" t="s">
        <v>765</v>
      </c>
      <c r="V11" t="s">
        <v>1086</v>
      </c>
      <c r="W11">
        <v>0</v>
      </c>
      <c r="Y11" t="s">
        <v>1321</v>
      </c>
      <c r="Z11">
        <v>11.17546032100911</v>
      </c>
      <c r="AA11">
        <v>2320</v>
      </c>
      <c r="AB11">
        <v>493599</v>
      </c>
      <c r="AC11" t="s">
        <v>1708</v>
      </c>
      <c r="AD11">
        <v>80.41</v>
      </c>
      <c r="AE11" t="s">
        <v>2029</v>
      </c>
      <c r="AF11" t="s">
        <v>2350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218</v>
      </c>
      <c r="B12" t="s">
        <v>539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115500</v>
      </c>
      <c r="G12">
        <v>0.84</v>
      </c>
      <c r="H12">
        <v>4.72</v>
      </c>
      <c r="I12">
        <v>274385</v>
      </c>
      <c r="J12">
        <v>254069</v>
      </c>
      <c r="K12">
        <v>246852</v>
      </c>
      <c r="L12">
        <v>-137.56</v>
      </c>
      <c r="M12">
        <v>-119.97</v>
      </c>
      <c r="N12">
        <v>-113.72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860</v>
      </c>
      <c r="V12" t="s">
        <v>1181</v>
      </c>
      <c r="W12">
        <v>5.602451482632054</v>
      </c>
      <c r="X12">
        <v>-51.5</v>
      </c>
      <c r="Y12" t="s">
        <v>1492</v>
      </c>
      <c r="Z12">
        <v>3.41104550327902</v>
      </c>
      <c r="AA12">
        <v>10661</v>
      </c>
      <c r="AB12">
        <v>2044</v>
      </c>
      <c r="AC12" t="s">
        <v>1803</v>
      </c>
      <c r="AD12">
        <v>72.33</v>
      </c>
      <c r="AE12" t="s">
        <v>2124</v>
      </c>
      <c r="AF12" t="s">
        <v>2443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228</v>
      </c>
      <c r="B13" t="s">
        <v>549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27600</v>
      </c>
      <c r="G13">
        <v>-0.25</v>
      </c>
      <c r="H13">
        <v>3.39</v>
      </c>
      <c r="I13">
        <v>58986</v>
      </c>
      <c r="J13">
        <v>48864</v>
      </c>
      <c r="K13">
        <v>45268</v>
      </c>
      <c r="L13">
        <v>-113.72</v>
      </c>
      <c r="M13">
        <v>-77.04000000000001</v>
      </c>
      <c r="N13">
        <v>-64.02</v>
      </c>
      <c r="O13">
        <v>16.32</v>
      </c>
      <c r="P13" t="b">
        <v>1</v>
      </c>
      <c r="Q13">
        <v>0</v>
      </c>
      <c r="R13">
        <v>8961</v>
      </c>
      <c r="S13">
        <v>1111</v>
      </c>
      <c r="T13">
        <v>-87.59999999999999</v>
      </c>
      <c r="U13" t="s">
        <v>870</v>
      </c>
      <c r="V13" t="s">
        <v>1191</v>
      </c>
      <c r="W13">
        <v>-13.70359083770673</v>
      </c>
      <c r="X13">
        <v>-90</v>
      </c>
      <c r="Y13" t="s">
        <v>1501</v>
      </c>
      <c r="Z13">
        <v>-10.19298512138098</v>
      </c>
      <c r="AA13">
        <v>28902</v>
      </c>
      <c r="AB13">
        <v>113828</v>
      </c>
      <c r="AC13" t="s">
        <v>1813</v>
      </c>
      <c r="AD13">
        <v>57.9</v>
      </c>
      <c r="AE13" t="s">
        <v>2134</v>
      </c>
      <c r="AF13" t="s">
        <v>2453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325</v>
      </c>
      <c r="B14" t="s">
        <v>646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13600</v>
      </c>
      <c r="G14">
        <v>0</v>
      </c>
      <c r="H14">
        <v>17.28</v>
      </c>
      <c r="I14">
        <v>18217</v>
      </c>
      <c r="J14">
        <v>13538</v>
      </c>
      <c r="K14">
        <v>11876</v>
      </c>
      <c r="L14">
        <v>-33.95</v>
      </c>
      <c r="M14">
        <v>0.46</v>
      </c>
      <c r="N14">
        <v>12.68</v>
      </c>
      <c r="O14">
        <v>21.45</v>
      </c>
      <c r="P14" t="b">
        <v>0</v>
      </c>
      <c r="Q14">
        <v>0</v>
      </c>
      <c r="R14">
        <v>1158</v>
      </c>
      <c r="U14" t="s">
        <v>967</v>
      </c>
      <c r="V14" t="s">
        <v>1288</v>
      </c>
      <c r="W14">
        <v>0</v>
      </c>
      <c r="X14">
        <v>20.8</v>
      </c>
      <c r="Y14" t="s">
        <v>1590</v>
      </c>
      <c r="Z14">
        <v>12.78336417354038</v>
      </c>
      <c r="AA14">
        <v>1572</v>
      </c>
      <c r="AB14">
        <v>3788</v>
      </c>
      <c r="AC14" t="s">
        <v>1910</v>
      </c>
      <c r="AD14">
        <v>68.3</v>
      </c>
      <c r="AE14" t="s">
        <v>2231</v>
      </c>
      <c r="AF14" t="s">
        <v>2545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49</v>
      </c>
      <c r="B15" t="s">
        <v>370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4305</v>
      </c>
      <c r="G15">
        <v>0</v>
      </c>
      <c r="H15">
        <v>6.89</v>
      </c>
      <c r="I15">
        <v>7938</v>
      </c>
      <c r="J15">
        <v>6782</v>
      </c>
      <c r="K15">
        <v>6371</v>
      </c>
      <c r="L15">
        <v>-84.40000000000001</v>
      </c>
      <c r="M15">
        <v>-57.53</v>
      </c>
      <c r="N15">
        <v>-47.98</v>
      </c>
      <c r="O15">
        <v>15.22</v>
      </c>
      <c r="P15" t="b">
        <v>1</v>
      </c>
      <c r="Q15">
        <v>0</v>
      </c>
      <c r="R15">
        <v>1026</v>
      </c>
      <c r="U15" t="s">
        <v>691</v>
      </c>
      <c r="V15" t="s">
        <v>1012</v>
      </c>
      <c r="W15">
        <v>0</v>
      </c>
      <c r="X15">
        <v>-50.8</v>
      </c>
      <c r="Y15" t="s">
        <v>1332</v>
      </c>
      <c r="Z15">
        <v>0</v>
      </c>
      <c r="AA15">
        <v>760</v>
      </c>
      <c r="AB15">
        <v>36220</v>
      </c>
      <c r="AC15" t="s">
        <v>1634</v>
      </c>
      <c r="AD15">
        <v>69.38</v>
      </c>
      <c r="AE15" t="s">
        <v>1955</v>
      </c>
      <c r="AF15" t="s">
        <v>2276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180</v>
      </c>
      <c r="B16" t="s">
        <v>501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16300</v>
      </c>
      <c r="G16">
        <v>0</v>
      </c>
      <c r="H16">
        <v>4.7</v>
      </c>
      <c r="I16">
        <v>40941</v>
      </c>
      <c r="J16">
        <v>34387</v>
      </c>
      <c r="K16">
        <v>32058</v>
      </c>
      <c r="L16">
        <v>-151.17</v>
      </c>
      <c r="M16">
        <v>-110.96</v>
      </c>
      <c r="N16">
        <v>-96.68000000000001</v>
      </c>
      <c r="O16">
        <v>15.81</v>
      </c>
      <c r="P16" t="b">
        <v>1</v>
      </c>
      <c r="Q16">
        <v>0</v>
      </c>
      <c r="R16">
        <v>4073</v>
      </c>
      <c r="U16" t="s">
        <v>822</v>
      </c>
      <c r="V16" t="s">
        <v>1143</v>
      </c>
      <c r="W16">
        <v>0</v>
      </c>
      <c r="X16">
        <v>-14.6</v>
      </c>
      <c r="Y16" t="s">
        <v>1454</v>
      </c>
      <c r="Z16">
        <v>-18.21145512949183</v>
      </c>
      <c r="AA16">
        <v>5797</v>
      </c>
      <c r="AB16">
        <v>11119</v>
      </c>
      <c r="AC16" t="s">
        <v>1765</v>
      </c>
      <c r="AD16">
        <v>64.86</v>
      </c>
      <c r="AE16" t="s">
        <v>2086</v>
      </c>
      <c r="AF16" t="s">
        <v>2405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247</v>
      </c>
      <c r="B17" t="s">
        <v>568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18050</v>
      </c>
      <c r="G17">
        <v>0</v>
      </c>
      <c r="H17">
        <v>14.41</v>
      </c>
      <c r="I17">
        <v>29933</v>
      </c>
      <c r="J17">
        <v>22983</v>
      </c>
      <c r="K17">
        <v>20514</v>
      </c>
      <c r="L17">
        <v>-65.83</v>
      </c>
      <c r="M17">
        <v>-27.33</v>
      </c>
      <c r="N17">
        <v>-13.65</v>
      </c>
      <c r="O17">
        <v>19.67</v>
      </c>
      <c r="P17" t="b">
        <v>1</v>
      </c>
      <c r="Q17">
        <v>0</v>
      </c>
      <c r="R17">
        <v>2310</v>
      </c>
      <c r="U17" t="s">
        <v>889</v>
      </c>
      <c r="V17" t="s">
        <v>1210</v>
      </c>
      <c r="W17">
        <v>0</v>
      </c>
      <c r="X17">
        <v>-9.199999999999999</v>
      </c>
      <c r="Y17" t="s">
        <v>1518</v>
      </c>
      <c r="Z17">
        <v>0</v>
      </c>
      <c r="AA17">
        <v>3489</v>
      </c>
      <c r="AB17">
        <v>5387</v>
      </c>
      <c r="AC17" t="s">
        <v>1832</v>
      </c>
      <c r="AD17">
        <v>73.31999999999999</v>
      </c>
      <c r="AE17" t="s">
        <v>2153</v>
      </c>
      <c r="AF17" t="s">
        <v>2472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266</v>
      </c>
      <c r="B18" t="s">
        <v>587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4695</v>
      </c>
      <c r="G18">
        <v>0</v>
      </c>
      <c r="H18">
        <v>7.37</v>
      </c>
      <c r="I18">
        <v>12822</v>
      </c>
      <c r="J18">
        <v>12422</v>
      </c>
      <c r="K18">
        <v>12280</v>
      </c>
      <c r="L18">
        <v>-173.11</v>
      </c>
      <c r="M18">
        <v>-164.59</v>
      </c>
      <c r="N18">
        <v>-161.56</v>
      </c>
      <c r="O18">
        <v>11.71</v>
      </c>
      <c r="P18" t="b">
        <v>1</v>
      </c>
      <c r="Q18">
        <v>0</v>
      </c>
      <c r="R18">
        <v>1007</v>
      </c>
      <c r="U18" t="s">
        <v>908</v>
      </c>
      <c r="V18" t="s">
        <v>1229</v>
      </c>
      <c r="W18">
        <v>0</v>
      </c>
      <c r="X18">
        <v>3.8</v>
      </c>
      <c r="Y18" t="s">
        <v>1535</v>
      </c>
      <c r="Z18">
        <v>0</v>
      </c>
      <c r="AA18">
        <v>1878</v>
      </c>
      <c r="AB18">
        <v>88786</v>
      </c>
      <c r="AC18" t="s">
        <v>1851</v>
      </c>
      <c r="AD18">
        <v>79.72</v>
      </c>
      <c r="AE18" t="s">
        <v>2172</v>
      </c>
      <c r="AF18" t="s">
        <v>2491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78</v>
      </c>
      <c r="B19" t="s">
        <v>399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5690</v>
      </c>
      <c r="G19">
        <v>0</v>
      </c>
      <c r="H19">
        <v>8.1</v>
      </c>
      <c r="I19">
        <v>7196</v>
      </c>
      <c r="J19">
        <v>6347</v>
      </c>
      <c r="K19">
        <v>6045</v>
      </c>
      <c r="L19">
        <v>-26.47</v>
      </c>
      <c r="M19">
        <v>-11.54</v>
      </c>
      <c r="N19">
        <v>-6.23</v>
      </c>
      <c r="O19">
        <v>14.19</v>
      </c>
      <c r="P19" t="b">
        <v>1</v>
      </c>
      <c r="Q19">
        <v>0</v>
      </c>
      <c r="R19">
        <v>736</v>
      </c>
      <c r="U19" t="s">
        <v>720</v>
      </c>
      <c r="V19" t="s">
        <v>1041</v>
      </c>
      <c r="W19">
        <v>0</v>
      </c>
      <c r="X19">
        <v>628.9</v>
      </c>
      <c r="Y19" t="s">
        <v>1358</v>
      </c>
      <c r="Z19">
        <v>45.79603568560342</v>
      </c>
      <c r="AA19">
        <v>666</v>
      </c>
      <c r="AB19">
        <v>6164</v>
      </c>
      <c r="AC19" t="s">
        <v>1663</v>
      </c>
      <c r="AD19">
        <v>68.34999999999999</v>
      </c>
      <c r="AE19" t="s">
        <v>1984</v>
      </c>
      <c r="AF19" t="s">
        <v>2305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326</v>
      </c>
      <c r="B20" t="s">
        <v>647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6800</v>
      </c>
      <c r="G20">
        <v>9.68</v>
      </c>
      <c r="H20">
        <v>15.57</v>
      </c>
      <c r="I20">
        <v>6949</v>
      </c>
      <c r="J20">
        <v>6151</v>
      </c>
      <c r="K20">
        <v>5868</v>
      </c>
      <c r="L20">
        <v>-2.19</v>
      </c>
      <c r="M20">
        <v>9.539999999999999</v>
      </c>
      <c r="N20">
        <v>13.71</v>
      </c>
      <c r="O20">
        <v>14.08</v>
      </c>
      <c r="P20" t="b">
        <v>1</v>
      </c>
      <c r="Q20">
        <v>2</v>
      </c>
      <c r="R20">
        <v>589</v>
      </c>
      <c r="S20">
        <v>694</v>
      </c>
      <c r="T20">
        <v>17.8</v>
      </c>
      <c r="U20" t="s">
        <v>968</v>
      </c>
      <c r="V20" t="s">
        <v>1289</v>
      </c>
      <c r="W20">
        <v>1.607725532164572</v>
      </c>
      <c r="X20">
        <v>0.7</v>
      </c>
      <c r="Y20" t="s">
        <v>1591</v>
      </c>
      <c r="Z20">
        <v>12.80153799820014</v>
      </c>
      <c r="AA20">
        <v>1959</v>
      </c>
      <c r="AB20">
        <v>28408</v>
      </c>
      <c r="AC20" t="s">
        <v>1911</v>
      </c>
      <c r="AD20">
        <v>51.58</v>
      </c>
      <c r="AE20" t="s">
        <v>2232</v>
      </c>
      <c r="AF20" t="s">
        <v>2546</v>
      </c>
      <c r="AG20">
        <v>1969</v>
      </c>
      <c r="AH20">
        <v>252</v>
      </c>
      <c r="AI20">
        <v>1984812</v>
      </c>
      <c r="AJ20">
        <v>3.27</v>
      </c>
      <c r="AK20" t="b">
        <v>1</v>
      </c>
    </row>
    <row r="21" spans="1:37">
      <c r="A21" s="1" t="s">
        <v>104</v>
      </c>
      <c r="B21" t="s">
        <v>425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6130</v>
      </c>
      <c r="G21">
        <v>0</v>
      </c>
      <c r="H21">
        <v>6.58</v>
      </c>
      <c r="I21">
        <v>10389</v>
      </c>
      <c r="J21">
        <v>7419</v>
      </c>
      <c r="K21">
        <v>6364</v>
      </c>
      <c r="L21">
        <v>-69.48</v>
      </c>
      <c r="M21">
        <v>-21.03</v>
      </c>
      <c r="N21">
        <v>-3.82</v>
      </c>
      <c r="O21">
        <v>24.02</v>
      </c>
      <c r="P21" t="b">
        <v>0</v>
      </c>
      <c r="Q21">
        <v>0</v>
      </c>
      <c r="R21">
        <v>1210</v>
      </c>
      <c r="U21" t="s">
        <v>746</v>
      </c>
      <c r="V21" t="s">
        <v>1067</v>
      </c>
      <c r="W21">
        <v>0</v>
      </c>
      <c r="Y21" t="s">
        <v>1321</v>
      </c>
      <c r="Z21">
        <v>-17.59767214729504</v>
      </c>
      <c r="AA21">
        <v>957</v>
      </c>
      <c r="AB21">
        <v>6051001</v>
      </c>
      <c r="AC21" t="s">
        <v>1689</v>
      </c>
      <c r="AD21">
        <v>71.36</v>
      </c>
      <c r="AE21" t="s">
        <v>2010</v>
      </c>
      <c r="AF21" t="s">
        <v>2331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194</v>
      </c>
      <c r="B22" t="s">
        <v>515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5140</v>
      </c>
      <c r="G22">
        <v>0</v>
      </c>
      <c r="H22">
        <v>4.62</v>
      </c>
      <c r="I22">
        <v>10846</v>
      </c>
      <c r="J22">
        <v>10438</v>
      </c>
      <c r="K22">
        <v>10293</v>
      </c>
      <c r="L22">
        <v>-111.02</v>
      </c>
      <c r="M22">
        <v>-103.08</v>
      </c>
      <c r="N22">
        <v>-100.26</v>
      </c>
      <c r="O22">
        <v>11.87</v>
      </c>
      <c r="P22" t="b">
        <v>0</v>
      </c>
      <c r="Q22">
        <v>0</v>
      </c>
      <c r="R22">
        <v>1388</v>
      </c>
      <c r="U22" t="s">
        <v>836</v>
      </c>
      <c r="V22" t="s">
        <v>1157</v>
      </c>
      <c r="W22">
        <v>0</v>
      </c>
      <c r="X22">
        <v>42.9</v>
      </c>
      <c r="Y22" t="s">
        <v>1468</v>
      </c>
      <c r="Z22">
        <v>34.90596551086942</v>
      </c>
      <c r="AA22">
        <v>3363</v>
      </c>
      <c r="AB22">
        <v>198031</v>
      </c>
      <c r="AC22" t="s">
        <v>1779</v>
      </c>
      <c r="AD22">
        <v>60.01</v>
      </c>
      <c r="AE22" t="s">
        <v>2100</v>
      </c>
      <c r="AF22" t="s">
        <v>2419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39</v>
      </c>
      <c r="B23" t="s">
        <v>360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1185</v>
      </c>
      <c r="G23">
        <v>0</v>
      </c>
      <c r="H23">
        <v>2.63</v>
      </c>
      <c r="I23">
        <v>6656</v>
      </c>
      <c r="J23">
        <v>4707</v>
      </c>
      <c r="K23">
        <v>4014</v>
      </c>
      <c r="L23">
        <v>-461.72</v>
      </c>
      <c r="M23">
        <v>-297.18</v>
      </c>
      <c r="N23">
        <v>-238.72</v>
      </c>
      <c r="O23">
        <v>24.74</v>
      </c>
      <c r="P23" t="b">
        <v>1</v>
      </c>
      <c r="Q23">
        <v>0</v>
      </c>
      <c r="R23">
        <v>631</v>
      </c>
      <c r="U23" t="s">
        <v>681</v>
      </c>
      <c r="V23" t="s">
        <v>1002</v>
      </c>
      <c r="W23">
        <v>0</v>
      </c>
      <c r="X23">
        <v>-33.3</v>
      </c>
      <c r="Y23" t="s">
        <v>1323</v>
      </c>
      <c r="Z23">
        <v>18.25653705768364</v>
      </c>
      <c r="AA23">
        <v>2723</v>
      </c>
      <c r="AB23">
        <v>382275</v>
      </c>
      <c r="AC23" t="s">
        <v>1624</v>
      </c>
      <c r="AD23">
        <v>57.38</v>
      </c>
      <c r="AE23" t="s">
        <v>1945</v>
      </c>
      <c r="AF23" t="s">
        <v>2266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77</v>
      </c>
      <c r="B24" t="s">
        <v>398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3555</v>
      </c>
      <c r="G24">
        <v>0</v>
      </c>
      <c r="H24">
        <v>6.43</v>
      </c>
      <c r="I24">
        <v>7318</v>
      </c>
      <c r="J24">
        <v>5152</v>
      </c>
      <c r="K24">
        <v>4383</v>
      </c>
      <c r="L24">
        <v>-105.84</v>
      </c>
      <c r="M24">
        <v>-44.93</v>
      </c>
      <c r="N24">
        <v>-23.3</v>
      </c>
      <c r="O24">
        <v>25.06</v>
      </c>
      <c r="P24" t="b">
        <v>0</v>
      </c>
      <c r="Q24">
        <v>0</v>
      </c>
      <c r="R24">
        <v>797</v>
      </c>
      <c r="U24" t="s">
        <v>719</v>
      </c>
      <c r="V24" t="s">
        <v>1040</v>
      </c>
      <c r="W24">
        <v>0</v>
      </c>
      <c r="Y24" t="s">
        <v>1321</v>
      </c>
      <c r="Z24">
        <v>0</v>
      </c>
      <c r="AA24">
        <v>3555</v>
      </c>
      <c r="AB24">
        <v>5204919</v>
      </c>
      <c r="AC24" t="s">
        <v>1662</v>
      </c>
      <c r="AD24">
        <v>52</v>
      </c>
      <c r="AE24" t="s">
        <v>1983</v>
      </c>
      <c r="AF24" t="s">
        <v>2304</v>
      </c>
      <c r="AG24">
        <v>1140</v>
      </c>
      <c r="AH24">
        <v>840</v>
      </c>
      <c r="AI24">
        <v>3544803</v>
      </c>
      <c r="AJ24">
        <v>2.92</v>
      </c>
      <c r="AK24" t="b">
        <v>1</v>
      </c>
    </row>
    <row r="25" spans="1:37">
      <c r="A25" s="1" t="s">
        <v>294</v>
      </c>
      <c r="B25" t="s">
        <v>615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2</v>
      </c>
      <c r="F25">
        <v>3295</v>
      </c>
      <c r="G25">
        <v>0</v>
      </c>
      <c r="H25">
        <v>7.19</v>
      </c>
      <c r="I25">
        <v>4886</v>
      </c>
      <c r="J25">
        <v>3553</v>
      </c>
      <c r="K25">
        <v>3080</v>
      </c>
      <c r="L25">
        <v>-48.29</v>
      </c>
      <c r="M25">
        <v>-7.84</v>
      </c>
      <c r="N25">
        <v>6.53</v>
      </c>
      <c r="O25">
        <v>22.79</v>
      </c>
      <c r="P25" t="b">
        <v>1</v>
      </c>
      <c r="Q25">
        <v>0</v>
      </c>
      <c r="R25">
        <v>740</v>
      </c>
      <c r="U25" t="s">
        <v>936</v>
      </c>
      <c r="V25" t="s">
        <v>1257</v>
      </c>
      <c r="W25">
        <v>0</v>
      </c>
      <c r="X25">
        <v>-90.5</v>
      </c>
      <c r="Y25" t="s">
        <v>1561</v>
      </c>
      <c r="Z25">
        <v>-20.10834087295344</v>
      </c>
      <c r="AA25">
        <v>817</v>
      </c>
      <c r="AB25">
        <v>63121</v>
      </c>
      <c r="AC25" t="s">
        <v>1879</v>
      </c>
      <c r="AD25">
        <v>64.22</v>
      </c>
      <c r="AE25" t="s">
        <v>2200</v>
      </c>
      <c r="AF25" t="s">
        <v>2519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82</v>
      </c>
      <c r="B26" t="s">
        <v>403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3440</v>
      </c>
      <c r="G26">
        <v>0</v>
      </c>
      <c r="H26">
        <v>6.68</v>
      </c>
      <c r="I26">
        <v>11073</v>
      </c>
      <c r="J26">
        <v>10788</v>
      </c>
      <c r="K26">
        <v>10687</v>
      </c>
      <c r="L26">
        <v>-221.9</v>
      </c>
      <c r="M26">
        <v>-213.61</v>
      </c>
      <c r="N26">
        <v>-210.66</v>
      </c>
      <c r="O26">
        <v>11.59</v>
      </c>
      <c r="P26" t="b">
        <v>1</v>
      </c>
      <c r="Q26">
        <v>0</v>
      </c>
      <c r="R26">
        <v>799</v>
      </c>
      <c r="U26" t="s">
        <v>724</v>
      </c>
      <c r="V26" t="s">
        <v>1045</v>
      </c>
      <c r="W26">
        <v>0</v>
      </c>
      <c r="X26">
        <v>-2.5</v>
      </c>
      <c r="Y26" t="s">
        <v>1362</v>
      </c>
      <c r="Z26">
        <v>-6.769742936640899</v>
      </c>
      <c r="AA26">
        <v>3124</v>
      </c>
      <c r="AB26">
        <v>39118</v>
      </c>
      <c r="AC26" t="s">
        <v>1667</v>
      </c>
      <c r="AD26">
        <v>61.98</v>
      </c>
      <c r="AE26" t="s">
        <v>1988</v>
      </c>
      <c r="AF26" t="s">
        <v>2309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187</v>
      </c>
      <c r="B27" t="s">
        <v>508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14750</v>
      </c>
      <c r="G27">
        <v>0</v>
      </c>
      <c r="H27">
        <v>5.91</v>
      </c>
      <c r="I27">
        <v>21864</v>
      </c>
      <c r="J27">
        <v>18749</v>
      </c>
      <c r="K27">
        <v>17643</v>
      </c>
      <c r="L27">
        <v>-48.23</v>
      </c>
      <c r="M27">
        <v>-27.11</v>
      </c>
      <c r="N27">
        <v>-19.61</v>
      </c>
      <c r="O27">
        <v>15.09</v>
      </c>
      <c r="P27" t="b">
        <v>1</v>
      </c>
      <c r="Q27">
        <v>0</v>
      </c>
      <c r="R27">
        <v>3619</v>
      </c>
      <c r="U27" t="s">
        <v>829</v>
      </c>
      <c r="V27" t="s">
        <v>1150</v>
      </c>
      <c r="W27">
        <v>0</v>
      </c>
      <c r="X27">
        <v>105.2</v>
      </c>
      <c r="Y27" t="s">
        <v>1461</v>
      </c>
      <c r="Z27">
        <v>76.53492218615914</v>
      </c>
      <c r="AA27">
        <v>1967</v>
      </c>
      <c r="AB27">
        <v>134586</v>
      </c>
      <c r="AC27" t="s">
        <v>1772</v>
      </c>
      <c r="AD27">
        <v>60.69</v>
      </c>
      <c r="AE27" t="s">
        <v>2093</v>
      </c>
      <c r="AF27" t="s">
        <v>2412</v>
      </c>
      <c r="AG27">
        <v>9870</v>
      </c>
      <c r="AH27">
        <v>610</v>
      </c>
      <c r="AI27">
        <v>696909</v>
      </c>
      <c r="AJ27">
        <v>2.8</v>
      </c>
      <c r="AK27" t="b">
        <v>1</v>
      </c>
    </row>
    <row r="28" spans="1:37">
      <c r="A28" s="1" t="s">
        <v>233</v>
      </c>
      <c r="B28" t="s">
        <v>554</v>
      </c>
      <c r="C28">
        <f>HYPERLINK("https://finance.naver.com/item/coinfo.nhn?code=001880", "A001880")</f>
        <v>0</v>
      </c>
      <c r="D28">
        <f>HYPERLINK("http://comp.fnguide.com/SVO2/ASP/SVD_Consensus.asp?pGB=1&amp;gicode=A001880&amp;cID=&amp;MenuYn=Y&amp;ReportGB=&amp;NewMenuID=108&amp;stkGb=701", "DL건설")</f>
        <v>0</v>
      </c>
      <c r="E28">
        <v>3</v>
      </c>
      <c r="F28">
        <v>14450</v>
      </c>
      <c r="G28">
        <v>0</v>
      </c>
      <c r="H28">
        <v>3.6</v>
      </c>
      <c r="I28">
        <v>85620</v>
      </c>
      <c r="J28">
        <v>63344</v>
      </c>
      <c r="K28">
        <v>55431</v>
      </c>
      <c r="L28">
        <v>-492.53</v>
      </c>
      <c r="M28">
        <v>-338.37</v>
      </c>
      <c r="N28">
        <v>-283.6</v>
      </c>
      <c r="O28">
        <v>21.72</v>
      </c>
      <c r="P28" t="b">
        <v>1</v>
      </c>
      <c r="Q28">
        <v>0</v>
      </c>
      <c r="R28">
        <v>7532</v>
      </c>
      <c r="U28" t="s">
        <v>875</v>
      </c>
      <c r="V28" t="s">
        <v>1196</v>
      </c>
      <c r="W28">
        <v>0</v>
      </c>
      <c r="X28">
        <v>-70.59999999999999</v>
      </c>
      <c r="Y28" t="s">
        <v>1505</v>
      </c>
      <c r="Z28">
        <v>-12.2414875056267</v>
      </c>
      <c r="AA28">
        <v>3187</v>
      </c>
      <c r="AB28">
        <v>15940</v>
      </c>
      <c r="AC28" t="s">
        <v>1818</v>
      </c>
      <c r="AD28">
        <v>65.17</v>
      </c>
      <c r="AE28" t="s">
        <v>2139</v>
      </c>
      <c r="AF28" t="s">
        <v>2458</v>
      </c>
      <c r="AG28">
        <v>20103</v>
      </c>
      <c r="AH28">
        <v>2296</v>
      </c>
      <c r="AI28">
        <v>4263</v>
      </c>
      <c r="AJ28">
        <v>2.76</v>
      </c>
      <c r="AK28" t="b">
        <v>1</v>
      </c>
    </row>
    <row r="29" spans="1:37">
      <c r="A29" s="1" t="s">
        <v>120</v>
      </c>
      <c r="B29" t="s">
        <v>441</v>
      </c>
      <c r="C29">
        <f>HYPERLINK("https://finance.naver.com/item/coinfo.nhn?code=004590", "A004590")</f>
        <v>0</v>
      </c>
      <c r="D29">
        <f>HYPERLINK("http://comp.fnguide.com/SVO2/ASP/SVD_Consensus.asp?pGB=1&amp;gicode=A004590&amp;cID=&amp;MenuYn=Y&amp;ReportGB=&amp;NewMenuID=108&amp;stkGb=701", "한국가구")</f>
        <v>0</v>
      </c>
      <c r="E29">
        <v>3</v>
      </c>
      <c r="F29">
        <v>4285</v>
      </c>
      <c r="G29">
        <v>0</v>
      </c>
      <c r="H29">
        <v>4.42</v>
      </c>
      <c r="I29">
        <v>9916</v>
      </c>
      <c r="J29">
        <v>9228</v>
      </c>
      <c r="K29">
        <v>8984</v>
      </c>
      <c r="L29">
        <v>-131.41</v>
      </c>
      <c r="M29">
        <v>-115.36</v>
      </c>
      <c r="N29">
        <v>-109.65</v>
      </c>
      <c r="O29">
        <v>12.69</v>
      </c>
      <c r="P29" t="b">
        <v>1</v>
      </c>
      <c r="Q29">
        <v>0</v>
      </c>
      <c r="R29">
        <v>1459</v>
      </c>
      <c r="U29" t="s">
        <v>762</v>
      </c>
      <c r="V29" t="s">
        <v>1083</v>
      </c>
      <c r="W29">
        <v>0</v>
      </c>
      <c r="X29">
        <v>-8.699999999999999</v>
      </c>
      <c r="Y29" t="s">
        <v>1397</v>
      </c>
      <c r="Z29">
        <v>29.51114496944196</v>
      </c>
      <c r="AA29">
        <v>643</v>
      </c>
      <c r="AB29">
        <v>160805</v>
      </c>
      <c r="AC29" t="s">
        <v>1705</v>
      </c>
      <c r="AD29">
        <v>55.79</v>
      </c>
      <c r="AE29" t="s">
        <v>2026</v>
      </c>
      <c r="AF29" t="s">
        <v>2347</v>
      </c>
      <c r="AG29">
        <v>930</v>
      </c>
      <c r="AH29">
        <v>149</v>
      </c>
      <c r="AJ29">
        <v>2.71</v>
      </c>
      <c r="AK29" t="b">
        <v>1</v>
      </c>
    </row>
    <row r="30" spans="1:37">
      <c r="A30" s="1" t="s">
        <v>165</v>
      </c>
      <c r="B30" t="s">
        <v>486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3</v>
      </c>
      <c r="F30">
        <v>6160</v>
      </c>
      <c r="G30">
        <v>0</v>
      </c>
      <c r="H30">
        <v>8.050000000000001</v>
      </c>
      <c r="I30">
        <v>9960</v>
      </c>
      <c r="J30">
        <v>8628</v>
      </c>
      <c r="K30">
        <v>8154</v>
      </c>
      <c r="L30">
        <v>-61.69</v>
      </c>
      <c r="M30">
        <v>-40.06</v>
      </c>
      <c r="N30">
        <v>-32.38</v>
      </c>
      <c r="O30">
        <v>14.76</v>
      </c>
      <c r="P30" t="b">
        <v>1</v>
      </c>
      <c r="Q30">
        <v>0</v>
      </c>
      <c r="R30">
        <v>963</v>
      </c>
      <c r="U30" t="s">
        <v>807</v>
      </c>
      <c r="V30" t="s">
        <v>1128</v>
      </c>
      <c r="W30">
        <v>0</v>
      </c>
      <c r="X30">
        <v>-10.4</v>
      </c>
      <c r="Y30" t="s">
        <v>1440</v>
      </c>
      <c r="Z30">
        <v>8.857568294158579</v>
      </c>
      <c r="AA30">
        <v>759</v>
      </c>
      <c r="AB30">
        <v>47223</v>
      </c>
      <c r="AC30" t="s">
        <v>1750</v>
      </c>
      <c r="AD30">
        <v>50.73</v>
      </c>
      <c r="AE30" t="s">
        <v>2071</v>
      </c>
      <c r="AF30" t="s">
        <v>2391</v>
      </c>
      <c r="AG30">
        <v>1418</v>
      </c>
      <c r="AH30">
        <v>138</v>
      </c>
      <c r="AI30">
        <v>772811</v>
      </c>
      <c r="AJ30">
        <v>2.58</v>
      </c>
      <c r="AK30" t="b">
        <v>1</v>
      </c>
    </row>
    <row r="31" spans="1:37">
      <c r="A31" s="1" t="s">
        <v>214</v>
      </c>
      <c r="B31" t="s">
        <v>535</v>
      </c>
      <c r="C31">
        <f>HYPERLINK("https://finance.naver.com/item/coinfo.nhn?code=210980", "A210980")</f>
        <v>0</v>
      </c>
      <c r="D31">
        <f>HYPERLINK("http://comp.fnguide.com/SVO2/ASP/SVD_Consensus.asp?pGB=1&amp;gicode=A210980&amp;cID=&amp;MenuYn=Y&amp;ReportGB=&amp;NewMenuID=108&amp;stkGb=701", "SK디앤디")</f>
        <v>0</v>
      </c>
      <c r="E31">
        <v>3</v>
      </c>
      <c r="F31">
        <v>20700</v>
      </c>
      <c r="G31">
        <v>0.24</v>
      </c>
      <c r="H31">
        <v>5.76</v>
      </c>
      <c r="I31">
        <v>48432</v>
      </c>
      <c r="J31">
        <v>38069</v>
      </c>
      <c r="K31">
        <v>34387</v>
      </c>
      <c r="L31">
        <v>-133.97</v>
      </c>
      <c r="M31">
        <v>-83.91</v>
      </c>
      <c r="N31">
        <v>-66.12</v>
      </c>
      <c r="O31">
        <v>18.53</v>
      </c>
      <c r="P31" t="b">
        <v>1</v>
      </c>
      <c r="Q31">
        <v>0</v>
      </c>
      <c r="R31">
        <v>5510</v>
      </c>
      <c r="S31">
        <v>4542</v>
      </c>
      <c r="T31">
        <v>-17.6</v>
      </c>
      <c r="U31" t="s">
        <v>856</v>
      </c>
      <c r="V31" t="s">
        <v>1177</v>
      </c>
      <c r="W31">
        <v>24.30666758620163</v>
      </c>
      <c r="X31">
        <v>13.1</v>
      </c>
      <c r="Y31" t="s">
        <v>1488</v>
      </c>
      <c r="Z31">
        <v>13.16508810648049</v>
      </c>
      <c r="AA31">
        <v>4593</v>
      </c>
      <c r="AB31">
        <v>19566</v>
      </c>
      <c r="AC31" t="s">
        <v>1799</v>
      </c>
      <c r="AD31">
        <v>59.19</v>
      </c>
      <c r="AE31" t="s">
        <v>2120</v>
      </c>
      <c r="AF31" t="s">
        <v>2439</v>
      </c>
      <c r="AG31">
        <v>7910</v>
      </c>
      <c r="AH31">
        <v>1294</v>
      </c>
      <c r="AI31">
        <v>640</v>
      </c>
      <c r="AJ31">
        <v>2.52</v>
      </c>
      <c r="AK31" t="b">
        <v>1</v>
      </c>
    </row>
    <row r="32" spans="1:37">
      <c r="A32" s="1" t="s">
        <v>52</v>
      </c>
      <c r="B32" t="s">
        <v>373</v>
      </c>
      <c r="C32">
        <f>HYPERLINK("https://finance.naver.com/item/coinfo.nhn?code=027360", "A027360")</f>
        <v>0</v>
      </c>
      <c r="D32">
        <f>HYPERLINK("http://comp.fnguide.com/SVO2/ASP/SVD_Consensus.asp?pGB=1&amp;gicode=A027360&amp;cID=&amp;MenuYn=Y&amp;ReportGB=&amp;NewMenuID=108&amp;stkGb=701", "아주IB투자")</f>
        <v>0</v>
      </c>
      <c r="E32">
        <v>3</v>
      </c>
      <c r="F32">
        <v>2560</v>
      </c>
      <c r="G32">
        <v>0</v>
      </c>
      <c r="H32">
        <v>12.24</v>
      </c>
      <c r="I32">
        <v>3680</v>
      </c>
      <c r="J32">
        <v>2869</v>
      </c>
      <c r="K32">
        <v>2581</v>
      </c>
      <c r="L32">
        <v>-43.75</v>
      </c>
      <c r="M32">
        <v>-12.06</v>
      </c>
      <c r="N32">
        <v>-0.8100000000000001</v>
      </c>
      <c r="O32">
        <v>18.91</v>
      </c>
      <c r="P32" t="b">
        <v>0</v>
      </c>
      <c r="Q32">
        <v>0</v>
      </c>
      <c r="R32">
        <v>327</v>
      </c>
      <c r="U32" t="s">
        <v>694</v>
      </c>
      <c r="V32" t="s">
        <v>1015</v>
      </c>
      <c r="W32">
        <v>0</v>
      </c>
      <c r="Y32" t="s">
        <v>1321</v>
      </c>
      <c r="Z32">
        <v>0</v>
      </c>
      <c r="AA32">
        <v>3093</v>
      </c>
      <c r="AB32">
        <v>1272776</v>
      </c>
      <c r="AC32" t="s">
        <v>1637</v>
      </c>
      <c r="AD32">
        <v>60.6</v>
      </c>
      <c r="AE32" t="s">
        <v>1958</v>
      </c>
      <c r="AF32" t="s">
        <v>2279</v>
      </c>
      <c r="AG32">
        <v>660</v>
      </c>
      <c r="AH32">
        <v>520</v>
      </c>
      <c r="AI32">
        <v>2882446</v>
      </c>
      <c r="AJ32">
        <v>2.5</v>
      </c>
      <c r="AK32" t="b">
        <v>1</v>
      </c>
    </row>
    <row r="33" spans="1:37">
      <c r="A33" s="1" t="s">
        <v>169</v>
      </c>
      <c r="B33" t="s">
        <v>490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43750</v>
      </c>
      <c r="G33">
        <v>0.12</v>
      </c>
      <c r="H33">
        <v>6.49</v>
      </c>
      <c r="I33">
        <v>53559</v>
      </c>
      <c r="J33">
        <v>51988</v>
      </c>
      <c r="K33">
        <v>51429</v>
      </c>
      <c r="L33">
        <v>-22.42</v>
      </c>
      <c r="M33">
        <v>-18.83</v>
      </c>
      <c r="N33">
        <v>-17.55</v>
      </c>
      <c r="O33">
        <v>11.67</v>
      </c>
      <c r="P33" t="b">
        <v>1</v>
      </c>
      <c r="Q33">
        <v>2</v>
      </c>
      <c r="R33">
        <v>6727</v>
      </c>
      <c r="S33">
        <v>13281</v>
      </c>
      <c r="T33">
        <v>97.40000000000001</v>
      </c>
      <c r="U33" t="s">
        <v>811</v>
      </c>
      <c r="V33" t="s">
        <v>1132</v>
      </c>
      <c r="W33">
        <v>52.39316107943213</v>
      </c>
      <c r="X33">
        <v>119</v>
      </c>
      <c r="Y33" t="s">
        <v>1444</v>
      </c>
      <c r="Z33">
        <v>43.12908084789924</v>
      </c>
      <c r="AA33">
        <v>19386</v>
      </c>
      <c r="AB33">
        <v>50498</v>
      </c>
      <c r="AC33" t="s">
        <v>1754</v>
      </c>
      <c r="AD33">
        <v>50.74</v>
      </c>
      <c r="AE33" t="s">
        <v>2075</v>
      </c>
      <c r="AF33" t="s">
        <v>2395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7">
      <c r="A34" s="1" t="s">
        <v>195</v>
      </c>
      <c r="B34" t="s">
        <v>516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30200</v>
      </c>
      <c r="G34">
        <v>0.01</v>
      </c>
      <c r="H34">
        <v>5.14</v>
      </c>
      <c r="I34">
        <v>160955</v>
      </c>
      <c r="J34">
        <v>87259</v>
      </c>
      <c r="K34">
        <v>61078</v>
      </c>
      <c r="L34">
        <v>-432.96</v>
      </c>
      <c r="M34">
        <v>-188.94</v>
      </c>
      <c r="N34">
        <v>-102.25</v>
      </c>
      <c r="O34">
        <v>82.8</v>
      </c>
      <c r="P34" t="b">
        <v>1</v>
      </c>
      <c r="Q34">
        <v>3</v>
      </c>
      <c r="R34">
        <v>10867</v>
      </c>
      <c r="S34">
        <v>12645</v>
      </c>
      <c r="T34">
        <v>16.4</v>
      </c>
      <c r="U34" t="s">
        <v>837</v>
      </c>
      <c r="V34" t="s">
        <v>1158</v>
      </c>
      <c r="W34">
        <v>593.0048428289221</v>
      </c>
      <c r="X34">
        <v>17.5</v>
      </c>
      <c r="Y34" t="s">
        <v>1469</v>
      </c>
      <c r="Z34">
        <v>0</v>
      </c>
      <c r="AA34">
        <v>31524</v>
      </c>
      <c r="AB34">
        <v>193634</v>
      </c>
      <c r="AC34" t="s">
        <v>1780</v>
      </c>
      <c r="AD34">
        <v>63.37</v>
      </c>
      <c r="AE34" t="s">
        <v>2101</v>
      </c>
      <c r="AF34" t="s">
        <v>2420</v>
      </c>
      <c r="AG34">
        <v>29300</v>
      </c>
      <c r="AH34">
        <v>13640</v>
      </c>
      <c r="AI34">
        <v>2129887</v>
      </c>
      <c r="AJ34">
        <v>2.26</v>
      </c>
      <c r="AK34" t="b">
        <v>1</v>
      </c>
    </row>
    <row r="35" spans="1:37">
      <c r="A35" s="1" t="s">
        <v>324</v>
      </c>
      <c r="B35" t="s">
        <v>645</v>
      </c>
      <c r="C35">
        <f>HYPERLINK("https://finance.naver.com/item/coinfo.nhn?code=086280", "A086280")</f>
        <v>0</v>
      </c>
      <c r="D35">
        <f>HYPERLINK("http://comp.fnguide.com/SVO2/ASP/SVD_Consensus.asp?pGB=1&amp;gicode=A086280&amp;cID=&amp;MenuYn=Y&amp;ReportGB=&amp;NewMenuID=108&amp;stkGb=701", "현대글로비스")</f>
        <v>0</v>
      </c>
      <c r="E35">
        <v>1</v>
      </c>
      <c r="F35">
        <v>176500</v>
      </c>
      <c r="G35">
        <v>0.24</v>
      </c>
      <c r="H35">
        <v>8.050000000000001</v>
      </c>
      <c r="I35">
        <v>185764</v>
      </c>
      <c r="J35">
        <v>169375</v>
      </c>
      <c r="K35">
        <v>163552</v>
      </c>
      <c r="L35">
        <v>-5.25</v>
      </c>
      <c r="M35">
        <v>4.04</v>
      </c>
      <c r="N35">
        <v>7.34</v>
      </c>
      <c r="O35">
        <v>13.23</v>
      </c>
      <c r="P35" t="b">
        <v>0</v>
      </c>
      <c r="Q35">
        <v>3</v>
      </c>
      <c r="R35">
        <v>20877</v>
      </c>
      <c r="S35">
        <v>31911</v>
      </c>
      <c r="T35">
        <v>52.9</v>
      </c>
      <c r="U35" t="s">
        <v>966</v>
      </c>
      <c r="V35" t="s">
        <v>1287</v>
      </c>
      <c r="W35">
        <v>33.56120621540093</v>
      </c>
      <c r="X35">
        <v>57.6</v>
      </c>
      <c r="Y35" t="s">
        <v>1589</v>
      </c>
      <c r="Z35">
        <v>12.67080564055925</v>
      </c>
      <c r="AA35">
        <v>66188</v>
      </c>
      <c r="AB35">
        <v>116685</v>
      </c>
      <c r="AC35" t="s">
        <v>1909</v>
      </c>
      <c r="AD35">
        <v>50.34</v>
      </c>
      <c r="AE35" t="s">
        <v>2230</v>
      </c>
      <c r="AF35" t="s">
        <v>2544</v>
      </c>
      <c r="AG35">
        <v>217796</v>
      </c>
      <c r="AH35">
        <v>11262</v>
      </c>
      <c r="AJ35">
        <v>2.26</v>
      </c>
      <c r="AK35" t="b">
        <v>1</v>
      </c>
    </row>
    <row r="36" spans="1:37">
      <c r="A36" s="1" t="s">
        <v>119</v>
      </c>
      <c r="B36" t="s">
        <v>440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7550</v>
      </c>
      <c r="G36">
        <v>0</v>
      </c>
      <c r="H36">
        <v>8.279999999999999</v>
      </c>
      <c r="I36">
        <v>27040</v>
      </c>
      <c r="J36">
        <v>19278</v>
      </c>
      <c r="K36">
        <v>16520</v>
      </c>
      <c r="L36">
        <v>-258.14</v>
      </c>
      <c r="M36">
        <v>-155.33</v>
      </c>
      <c r="N36">
        <v>-118.81</v>
      </c>
      <c r="O36">
        <v>24.14</v>
      </c>
      <c r="P36" t="b">
        <v>1</v>
      </c>
      <c r="Q36">
        <v>0</v>
      </c>
      <c r="R36">
        <v>2162</v>
      </c>
      <c r="U36" t="s">
        <v>761</v>
      </c>
      <c r="V36" t="s">
        <v>1082</v>
      </c>
      <c r="W36">
        <v>0</v>
      </c>
      <c r="X36">
        <v>-33.3</v>
      </c>
      <c r="Y36" t="s">
        <v>1396</v>
      </c>
      <c r="Z36">
        <v>-5.738888250522411</v>
      </c>
      <c r="AA36">
        <v>1628</v>
      </c>
      <c r="AB36">
        <v>22066</v>
      </c>
      <c r="AC36" t="s">
        <v>1704</v>
      </c>
      <c r="AD36">
        <v>74.23</v>
      </c>
      <c r="AE36" t="s">
        <v>2025</v>
      </c>
      <c r="AF36" t="s">
        <v>2346</v>
      </c>
      <c r="AG36">
        <v>816</v>
      </c>
      <c r="AH36">
        <v>226</v>
      </c>
      <c r="AI36">
        <v>1187599</v>
      </c>
      <c r="AJ36">
        <v>2.23</v>
      </c>
      <c r="AK36" t="b">
        <v>1</v>
      </c>
    </row>
    <row r="37" spans="1:37">
      <c r="A37" s="1" t="s">
        <v>295</v>
      </c>
      <c r="B37" t="s">
        <v>616</v>
      </c>
      <c r="C37">
        <f>HYPERLINK("https://finance.naver.com/item/coinfo.nhn?code=010050", "A010050")</f>
        <v>0</v>
      </c>
      <c r="D37">
        <f>HYPERLINK("http://comp.fnguide.com/SVO2/ASP/SVD_Consensus.asp?pGB=1&amp;gicode=A010050&amp;cID=&amp;MenuYn=Y&amp;ReportGB=&amp;NewMenuID=108&amp;stkGb=701", "우리종금")</f>
        <v>0</v>
      </c>
      <c r="E37">
        <v>2</v>
      </c>
      <c r="F37">
        <v>775</v>
      </c>
      <c r="G37">
        <v>0</v>
      </c>
      <c r="H37">
        <v>9.869999999999999</v>
      </c>
      <c r="I37">
        <v>895</v>
      </c>
      <c r="J37">
        <v>785</v>
      </c>
      <c r="K37">
        <v>746</v>
      </c>
      <c r="L37">
        <v>-15.46</v>
      </c>
      <c r="M37">
        <v>-1.25</v>
      </c>
      <c r="N37">
        <v>3.8</v>
      </c>
      <c r="O37">
        <v>14.37</v>
      </c>
      <c r="P37" t="b">
        <v>0</v>
      </c>
      <c r="Q37">
        <v>0</v>
      </c>
      <c r="R37">
        <v>91</v>
      </c>
      <c r="U37" t="s">
        <v>937</v>
      </c>
      <c r="V37" t="s">
        <v>1258</v>
      </c>
      <c r="W37">
        <v>0</v>
      </c>
      <c r="Y37" t="s">
        <v>1321</v>
      </c>
      <c r="Z37">
        <v>33.61539187934501</v>
      </c>
      <c r="AA37">
        <v>6775</v>
      </c>
      <c r="AB37">
        <v>575205</v>
      </c>
      <c r="AC37" t="s">
        <v>1880</v>
      </c>
      <c r="AD37">
        <v>58.76</v>
      </c>
      <c r="AE37" t="s">
        <v>2201</v>
      </c>
      <c r="AF37" t="s">
        <v>2520</v>
      </c>
      <c r="AG37">
        <v>3033</v>
      </c>
      <c r="AH37">
        <v>1040</v>
      </c>
      <c r="AI37">
        <v>69076</v>
      </c>
      <c r="AJ37">
        <v>2.22</v>
      </c>
      <c r="AK37" t="b">
        <v>1</v>
      </c>
    </row>
    <row r="38" spans="1:37">
      <c r="A38" s="1" t="s">
        <v>179</v>
      </c>
      <c r="B38" t="s">
        <v>500</v>
      </c>
      <c r="C38">
        <f>HYPERLINK("https://finance.naver.com/item/coinfo.nhn?code=008260", "A008260")</f>
        <v>0</v>
      </c>
      <c r="D38">
        <f>HYPERLINK("http://comp.fnguide.com/SVO2/ASP/SVD_Consensus.asp?pGB=1&amp;gicode=A008260&amp;cID=&amp;MenuYn=Y&amp;ReportGB=&amp;NewMenuID=108&amp;stkGb=701", "NI스틸")</f>
        <v>0</v>
      </c>
      <c r="E38">
        <v>3</v>
      </c>
      <c r="F38">
        <v>4720</v>
      </c>
      <c r="G38">
        <v>0</v>
      </c>
      <c r="H38">
        <v>4.38</v>
      </c>
      <c r="I38">
        <v>5782</v>
      </c>
      <c r="J38">
        <v>5349</v>
      </c>
      <c r="K38">
        <v>5195</v>
      </c>
      <c r="L38">
        <v>-22.51</v>
      </c>
      <c r="M38">
        <v>-13.32</v>
      </c>
      <c r="N38">
        <v>-10.06</v>
      </c>
      <c r="O38">
        <v>12.84</v>
      </c>
      <c r="P38" t="b">
        <v>1</v>
      </c>
      <c r="Q38">
        <v>0</v>
      </c>
      <c r="R38">
        <v>771</v>
      </c>
      <c r="U38" t="s">
        <v>821</v>
      </c>
      <c r="V38" t="s">
        <v>1142</v>
      </c>
      <c r="W38">
        <v>0</v>
      </c>
      <c r="X38">
        <v>128</v>
      </c>
      <c r="Y38" t="s">
        <v>1453</v>
      </c>
      <c r="Z38">
        <v>35.42803412267732</v>
      </c>
      <c r="AA38">
        <v>1350</v>
      </c>
      <c r="AB38">
        <v>82545</v>
      </c>
      <c r="AC38" t="s">
        <v>1764</v>
      </c>
      <c r="AD38">
        <v>58.95</v>
      </c>
      <c r="AE38" t="s">
        <v>2085</v>
      </c>
      <c r="AF38" t="s">
        <v>2404</v>
      </c>
      <c r="AG38">
        <v>2482</v>
      </c>
      <c r="AH38">
        <v>312</v>
      </c>
      <c r="AJ38">
        <v>2.22</v>
      </c>
      <c r="AK38" t="b">
        <v>1</v>
      </c>
    </row>
    <row r="39" spans="1:37">
      <c r="A39" s="1" t="s">
        <v>219</v>
      </c>
      <c r="B39" t="s">
        <v>540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18750</v>
      </c>
      <c r="G39">
        <v>0.05</v>
      </c>
      <c r="H39">
        <v>4.18</v>
      </c>
      <c r="I39">
        <v>58247</v>
      </c>
      <c r="J39">
        <v>44243</v>
      </c>
      <c r="K39">
        <v>39267</v>
      </c>
      <c r="L39">
        <v>-210.65</v>
      </c>
      <c r="M39">
        <v>-135.96</v>
      </c>
      <c r="N39">
        <v>-109.43</v>
      </c>
      <c r="O39">
        <v>20.23</v>
      </c>
      <c r="P39" t="b">
        <v>1</v>
      </c>
      <c r="Q39">
        <v>3</v>
      </c>
      <c r="R39">
        <v>5402</v>
      </c>
      <c r="S39">
        <v>8057</v>
      </c>
      <c r="T39">
        <v>49.1</v>
      </c>
      <c r="U39" t="s">
        <v>861</v>
      </c>
      <c r="V39" t="s">
        <v>1182</v>
      </c>
      <c r="W39">
        <v>79.10333655391982</v>
      </c>
      <c r="X39">
        <v>6.7</v>
      </c>
      <c r="Y39" t="s">
        <v>1493</v>
      </c>
      <c r="Z39">
        <v>56.11700350400497</v>
      </c>
      <c r="AA39">
        <v>4727</v>
      </c>
      <c r="AB39">
        <v>0</v>
      </c>
      <c r="AC39" t="s">
        <v>1804</v>
      </c>
      <c r="AD39">
        <v>76.23</v>
      </c>
      <c r="AE39" t="s">
        <v>2125</v>
      </c>
      <c r="AF39" t="s">
        <v>2444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7">
      <c r="A40" s="1" t="s">
        <v>60</v>
      </c>
      <c r="B40" t="s">
        <v>381</v>
      </c>
      <c r="C40">
        <f>HYPERLINK("https://finance.naver.com/item/coinfo.nhn?code=357230", "A357230")</f>
        <v>0</v>
      </c>
      <c r="D40">
        <f>HYPERLINK("http://comp.fnguide.com/SVO2/ASP/SVD_Consensus.asp?pGB=1&amp;gicode=A357230&amp;cID=&amp;MenuYn=Y&amp;ReportGB=&amp;NewMenuID=108&amp;stkGb=701", "에이치피오")</f>
        <v>0</v>
      </c>
      <c r="E40">
        <v>3</v>
      </c>
      <c r="F40">
        <v>7330</v>
      </c>
      <c r="G40">
        <v>4.21</v>
      </c>
      <c r="H40">
        <v>15.61</v>
      </c>
      <c r="I40">
        <v>12911</v>
      </c>
      <c r="J40">
        <v>9905</v>
      </c>
      <c r="K40">
        <v>8837</v>
      </c>
      <c r="L40">
        <v>-76.15000000000001</v>
      </c>
      <c r="M40">
        <v>-35.13</v>
      </c>
      <c r="N40">
        <v>-20.56</v>
      </c>
      <c r="O40">
        <v>19.71</v>
      </c>
      <c r="P40" t="b">
        <v>1</v>
      </c>
      <c r="Q40">
        <v>0</v>
      </c>
      <c r="R40">
        <v>871</v>
      </c>
      <c r="S40">
        <v>627</v>
      </c>
      <c r="T40">
        <v>-28</v>
      </c>
      <c r="U40" t="s">
        <v>702</v>
      </c>
      <c r="V40" t="s">
        <v>1023</v>
      </c>
      <c r="W40">
        <v>3.70742969240534</v>
      </c>
      <c r="X40">
        <v>-30.7</v>
      </c>
      <c r="Y40" t="s">
        <v>1342</v>
      </c>
      <c r="Z40">
        <v>0</v>
      </c>
      <c r="AA40">
        <v>1518</v>
      </c>
      <c r="AB40">
        <v>31626</v>
      </c>
      <c r="AC40" t="s">
        <v>1645</v>
      </c>
      <c r="AD40">
        <v>70.28</v>
      </c>
      <c r="AE40" t="s">
        <v>1966</v>
      </c>
      <c r="AF40" t="s">
        <v>2287</v>
      </c>
      <c r="AG40">
        <v>1594</v>
      </c>
      <c r="AH40">
        <v>228</v>
      </c>
      <c r="AI40">
        <v>600000</v>
      </c>
      <c r="AJ40">
        <v>2.21</v>
      </c>
      <c r="AK40" t="b">
        <v>1</v>
      </c>
    </row>
    <row r="41" spans="1:37">
      <c r="A41" s="1" t="s">
        <v>285</v>
      </c>
      <c r="B41" t="s">
        <v>606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2</v>
      </c>
      <c r="F41">
        <v>8700</v>
      </c>
      <c r="G41">
        <v>0</v>
      </c>
      <c r="H41">
        <v>10.19</v>
      </c>
      <c r="I41">
        <v>10182</v>
      </c>
      <c r="J41">
        <v>8859</v>
      </c>
      <c r="K41">
        <v>8388</v>
      </c>
      <c r="L41">
        <v>-17.03</v>
      </c>
      <c r="M41">
        <v>-1.82</v>
      </c>
      <c r="N41">
        <v>3.58</v>
      </c>
      <c r="O41">
        <v>14.62</v>
      </c>
      <c r="P41" t="b">
        <v>1</v>
      </c>
      <c r="Q41">
        <v>0</v>
      </c>
      <c r="R41">
        <v>901</v>
      </c>
      <c r="U41" t="s">
        <v>927</v>
      </c>
      <c r="V41" t="s">
        <v>1248</v>
      </c>
      <c r="W41">
        <v>0</v>
      </c>
      <c r="X41">
        <v>90.7</v>
      </c>
      <c r="Y41" t="s">
        <v>1553</v>
      </c>
      <c r="Z41">
        <v>37.27008453186429</v>
      </c>
      <c r="AA41">
        <v>980</v>
      </c>
      <c r="AB41">
        <v>7590</v>
      </c>
      <c r="AC41" t="s">
        <v>1870</v>
      </c>
      <c r="AD41">
        <v>50.02</v>
      </c>
      <c r="AE41" t="s">
        <v>2191</v>
      </c>
      <c r="AF41" t="s">
        <v>2510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197</v>
      </c>
      <c r="B42" t="s">
        <v>518</v>
      </c>
      <c r="C42">
        <f>HYPERLINK("https://finance.naver.com/item/coinfo.nhn?code=002170", "A002170")</f>
        <v>0</v>
      </c>
      <c r="D42">
        <f>HYPERLINK("http://comp.fnguide.com/SVO2/ASP/SVD_Consensus.asp?pGB=1&amp;gicode=A002170&amp;cID=&amp;MenuYn=Y&amp;ReportGB=&amp;NewMenuID=108&amp;stkGb=701", "삼양통상")</f>
        <v>0</v>
      </c>
      <c r="E42">
        <v>3</v>
      </c>
      <c r="F42">
        <v>51100</v>
      </c>
      <c r="G42">
        <v>0</v>
      </c>
      <c r="H42">
        <v>5.25</v>
      </c>
      <c r="I42">
        <v>147760</v>
      </c>
      <c r="J42">
        <v>145602</v>
      </c>
      <c r="K42">
        <v>144835</v>
      </c>
      <c r="L42">
        <v>-189.16</v>
      </c>
      <c r="M42">
        <v>-184.94</v>
      </c>
      <c r="N42">
        <v>-183.44</v>
      </c>
      <c r="O42">
        <v>11.33</v>
      </c>
      <c r="P42" t="b">
        <v>1</v>
      </c>
      <c r="Q42">
        <v>0</v>
      </c>
      <c r="R42">
        <v>11047</v>
      </c>
      <c r="U42" t="s">
        <v>839</v>
      </c>
      <c r="V42" t="s">
        <v>1160</v>
      </c>
      <c r="W42">
        <v>0</v>
      </c>
      <c r="X42">
        <v>-68.90000000000001</v>
      </c>
      <c r="Y42" t="s">
        <v>1471</v>
      </c>
      <c r="Z42">
        <v>-16.19377636182219</v>
      </c>
      <c r="AA42">
        <v>1533</v>
      </c>
      <c r="AB42">
        <v>805</v>
      </c>
      <c r="AC42" t="s">
        <v>1782</v>
      </c>
      <c r="AD42">
        <v>57.32</v>
      </c>
      <c r="AE42" t="s">
        <v>2103</v>
      </c>
      <c r="AF42" t="s">
        <v>2422</v>
      </c>
      <c r="AG42">
        <v>1940</v>
      </c>
      <c r="AH42">
        <v>364</v>
      </c>
      <c r="AI42">
        <v>171382</v>
      </c>
      <c r="AJ42">
        <v>2.16</v>
      </c>
      <c r="AK42" t="b">
        <v>1</v>
      </c>
    </row>
    <row r="43" spans="1:37">
      <c r="A43" s="1" t="s">
        <v>334</v>
      </c>
      <c r="B43" t="s">
        <v>655</v>
      </c>
      <c r="C43">
        <f>HYPERLINK("https://finance.naver.com/item/coinfo.nhn?code=306040", "A306040")</f>
        <v>0</v>
      </c>
      <c r="D43">
        <f>HYPERLINK("http://comp.fnguide.com/SVO2/ASP/SVD_Consensus.asp?pGB=1&amp;gicode=A306040&amp;cID=&amp;MenuYn=Y&amp;ReportGB=&amp;NewMenuID=108&amp;stkGb=701", "에스제이그룹")</f>
        <v>0</v>
      </c>
      <c r="E43">
        <v>1</v>
      </c>
      <c r="F43">
        <v>17150</v>
      </c>
      <c r="G43">
        <v>0.43</v>
      </c>
      <c r="H43">
        <v>9.18</v>
      </c>
      <c r="I43">
        <v>24154</v>
      </c>
      <c r="J43">
        <v>17079</v>
      </c>
      <c r="K43">
        <v>14565</v>
      </c>
      <c r="L43">
        <v>-40.84</v>
      </c>
      <c r="M43">
        <v>0.42</v>
      </c>
      <c r="N43">
        <v>15.07</v>
      </c>
      <c r="O43">
        <v>24.74</v>
      </c>
      <c r="P43" t="b">
        <v>1</v>
      </c>
      <c r="Q43">
        <v>2</v>
      </c>
      <c r="R43">
        <v>2347</v>
      </c>
      <c r="S43">
        <v>3188</v>
      </c>
      <c r="T43">
        <v>35.8</v>
      </c>
      <c r="U43" t="s">
        <v>976</v>
      </c>
      <c r="V43" t="s">
        <v>1297</v>
      </c>
      <c r="W43">
        <v>21.31743932174299</v>
      </c>
      <c r="X43">
        <v>43.7</v>
      </c>
      <c r="Y43" t="s">
        <v>1598</v>
      </c>
      <c r="Z43">
        <v>116.3514425183538</v>
      </c>
      <c r="AA43">
        <v>1692</v>
      </c>
      <c r="AB43">
        <v>50548</v>
      </c>
      <c r="AC43" t="s">
        <v>1919</v>
      </c>
      <c r="AD43">
        <v>51.58</v>
      </c>
      <c r="AE43" t="s">
        <v>2240</v>
      </c>
      <c r="AF43" t="s">
        <v>2552</v>
      </c>
      <c r="AG43">
        <v>1497</v>
      </c>
      <c r="AH43">
        <v>291</v>
      </c>
      <c r="AI43">
        <v>142920</v>
      </c>
      <c r="AJ43">
        <v>2.09</v>
      </c>
      <c r="AK43" t="b">
        <v>1</v>
      </c>
    </row>
    <row r="44" spans="1:37">
      <c r="A44" s="1" t="s">
        <v>115</v>
      </c>
      <c r="B44" t="s">
        <v>436</v>
      </c>
      <c r="C44">
        <f>HYPERLINK("https://finance.naver.com/item/coinfo.nhn?code=251970", "A251970")</f>
        <v>0</v>
      </c>
      <c r="D44">
        <f>HYPERLINK("http://comp.fnguide.com/SVO2/ASP/SVD_Consensus.asp?pGB=1&amp;gicode=A251970&amp;cID=&amp;MenuYn=Y&amp;ReportGB=&amp;NewMenuID=108&amp;stkGb=701", "펌텍코리아")</f>
        <v>0</v>
      </c>
      <c r="E44">
        <v>3</v>
      </c>
      <c r="F44">
        <v>15550</v>
      </c>
      <c r="G44">
        <v>0</v>
      </c>
      <c r="H44">
        <v>11.82</v>
      </c>
      <c r="I44">
        <v>17166</v>
      </c>
      <c r="J44">
        <v>16537</v>
      </c>
      <c r="K44">
        <v>16314</v>
      </c>
      <c r="L44">
        <v>-10.39</v>
      </c>
      <c r="M44">
        <v>-6.35</v>
      </c>
      <c r="N44">
        <v>-4.91</v>
      </c>
      <c r="O44">
        <v>11.84</v>
      </c>
      <c r="P44" t="b">
        <v>1</v>
      </c>
      <c r="Q44">
        <v>0</v>
      </c>
      <c r="R44">
        <v>1430</v>
      </c>
      <c r="U44" t="s">
        <v>757</v>
      </c>
      <c r="V44" t="s">
        <v>1078</v>
      </c>
      <c r="W44">
        <v>0</v>
      </c>
      <c r="X44">
        <v>14</v>
      </c>
      <c r="Y44" t="s">
        <v>1392</v>
      </c>
      <c r="Z44">
        <v>4.217239555051377</v>
      </c>
      <c r="AA44">
        <v>1928</v>
      </c>
      <c r="AB44">
        <v>16548</v>
      </c>
      <c r="AC44" t="s">
        <v>1700</v>
      </c>
      <c r="AD44">
        <v>61.38</v>
      </c>
      <c r="AE44" t="s">
        <v>2021</v>
      </c>
      <c r="AF44" t="s">
        <v>2342</v>
      </c>
      <c r="AG44">
        <v>2220</v>
      </c>
      <c r="AH44">
        <v>261</v>
      </c>
      <c r="AI44">
        <v>287382</v>
      </c>
      <c r="AJ44">
        <v>2.07</v>
      </c>
      <c r="AK44" t="b">
        <v>1</v>
      </c>
    </row>
    <row r="45" spans="1:37">
      <c r="A45" s="1" t="s">
        <v>216</v>
      </c>
      <c r="B45" t="s">
        <v>537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6520</v>
      </c>
      <c r="G45">
        <v>0.33</v>
      </c>
      <c r="H45">
        <v>4.87</v>
      </c>
      <c r="I45">
        <v>13123</v>
      </c>
      <c r="J45">
        <v>11368</v>
      </c>
      <c r="K45">
        <v>10745</v>
      </c>
      <c r="L45">
        <v>-101.27</v>
      </c>
      <c r="M45">
        <v>-74.36</v>
      </c>
      <c r="N45">
        <v>-64.8</v>
      </c>
      <c r="O45">
        <v>14.76</v>
      </c>
      <c r="P45" t="b">
        <v>0</v>
      </c>
      <c r="Q45">
        <v>2</v>
      </c>
      <c r="R45">
        <v>1058</v>
      </c>
      <c r="S45">
        <v>1189</v>
      </c>
      <c r="T45">
        <v>12.4</v>
      </c>
      <c r="U45" t="s">
        <v>858</v>
      </c>
      <c r="V45" t="s">
        <v>1179</v>
      </c>
      <c r="W45">
        <v>14.67408363477531</v>
      </c>
      <c r="X45">
        <v>16</v>
      </c>
      <c r="Y45" t="s">
        <v>1490</v>
      </c>
      <c r="Z45">
        <v>14.59260286385027</v>
      </c>
      <c r="AA45">
        <v>40101</v>
      </c>
      <c r="AB45">
        <v>2403851</v>
      </c>
      <c r="AC45" t="s">
        <v>1801</v>
      </c>
      <c r="AD45">
        <v>54.49</v>
      </c>
      <c r="AE45" t="s">
        <v>2122</v>
      </c>
      <c r="AF45" t="s">
        <v>2441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255</v>
      </c>
      <c r="B46" t="s">
        <v>576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34850</v>
      </c>
      <c r="G46">
        <v>0</v>
      </c>
      <c r="H46">
        <v>3.22</v>
      </c>
      <c r="I46">
        <v>97089</v>
      </c>
      <c r="J46">
        <v>74128</v>
      </c>
      <c r="K46">
        <v>65972</v>
      </c>
      <c r="L46">
        <v>-178.59</v>
      </c>
      <c r="M46">
        <v>-112.71</v>
      </c>
      <c r="N46">
        <v>-89.3</v>
      </c>
      <c r="O46">
        <v>19.95</v>
      </c>
      <c r="P46" t="b">
        <v>1</v>
      </c>
      <c r="Q46">
        <v>0</v>
      </c>
      <c r="R46">
        <v>17070</v>
      </c>
      <c r="U46" t="s">
        <v>897</v>
      </c>
      <c r="V46" t="s">
        <v>1218</v>
      </c>
      <c r="W46">
        <v>0</v>
      </c>
      <c r="X46">
        <v>-57.7</v>
      </c>
      <c r="Y46" t="s">
        <v>1526</v>
      </c>
      <c r="Z46">
        <v>19.21957389172842</v>
      </c>
      <c r="AA46">
        <v>2091</v>
      </c>
      <c r="AB46">
        <v>28683</v>
      </c>
      <c r="AC46" t="s">
        <v>1840</v>
      </c>
      <c r="AD46">
        <v>56.87</v>
      </c>
      <c r="AE46" t="s">
        <v>2161</v>
      </c>
      <c r="AF46" t="s">
        <v>2480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276</v>
      </c>
      <c r="B47" t="s">
        <v>597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9440</v>
      </c>
      <c r="G47">
        <v>-0.59</v>
      </c>
      <c r="H47">
        <v>13.89</v>
      </c>
      <c r="I47">
        <v>15046</v>
      </c>
      <c r="J47">
        <v>10900</v>
      </c>
      <c r="K47">
        <v>9428</v>
      </c>
      <c r="L47">
        <v>-59.39</v>
      </c>
      <c r="M47">
        <v>-15.47</v>
      </c>
      <c r="N47">
        <v>0.13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918</v>
      </c>
      <c r="V47" t="s">
        <v>1239</v>
      </c>
      <c r="W47">
        <v>-23.62364142124878</v>
      </c>
      <c r="X47">
        <v>-61</v>
      </c>
      <c r="Y47" t="s">
        <v>1545</v>
      </c>
      <c r="Z47">
        <v>-51.06959415460419</v>
      </c>
      <c r="AA47">
        <v>2358</v>
      </c>
      <c r="AB47">
        <v>22795</v>
      </c>
      <c r="AC47" t="s">
        <v>1861</v>
      </c>
      <c r="AD47">
        <v>69.33</v>
      </c>
      <c r="AE47" t="s">
        <v>2182</v>
      </c>
      <c r="AF47" t="s">
        <v>2501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89</v>
      </c>
      <c r="B48" t="s">
        <v>410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50700</v>
      </c>
      <c r="G48">
        <v>-0.3</v>
      </c>
      <c r="H48">
        <v>7.26</v>
      </c>
      <c r="I48">
        <v>96303</v>
      </c>
      <c r="J48">
        <v>81995</v>
      </c>
      <c r="K48">
        <v>76912</v>
      </c>
      <c r="L48">
        <v>-89.95</v>
      </c>
      <c r="M48">
        <v>-61.73</v>
      </c>
      <c r="N48">
        <v>-51.7</v>
      </c>
      <c r="O48">
        <v>15.33</v>
      </c>
      <c r="P48" t="b">
        <v>1</v>
      </c>
      <c r="Q48">
        <v>0</v>
      </c>
      <c r="R48">
        <v>9466</v>
      </c>
      <c r="S48">
        <v>3557</v>
      </c>
      <c r="T48">
        <v>-62.4</v>
      </c>
      <c r="U48" t="s">
        <v>731</v>
      </c>
      <c r="V48" t="s">
        <v>1052</v>
      </c>
      <c r="W48">
        <v>-24.29279042481955</v>
      </c>
      <c r="X48">
        <v>-83.7</v>
      </c>
      <c r="Y48" t="s">
        <v>1369</v>
      </c>
      <c r="Z48">
        <v>-20.00597229108997</v>
      </c>
      <c r="AA48">
        <v>3977</v>
      </c>
      <c r="AB48">
        <v>6522</v>
      </c>
      <c r="AC48" t="s">
        <v>1674</v>
      </c>
      <c r="AD48">
        <v>56.51</v>
      </c>
      <c r="AE48" t="s">
        <v>1995</v>
      </c>
      <c r="AF48" t="s">
        <v>2316</v>
      </c>
      <c r="AG48">
        <v>15519</v>
      </c>
      <c r="AH48">
        <v>878</v>
      </c>
      <c r="AI48">
        <v>658519</v>
      </c>
      <c r="AJ48">
        <v>1.75</v>
      </c>
      <c r="AK48" t="b">
        <v>1</v>
      </c>
    </row>
    <row r="49" spans="1:37">
      <c r="A49" s="1" t="s">
        <v>249</v>
      </c>
      <c r="B49" t="s">
        <v>570</v>
      </c>
      <c r="C49">
        <f>HYPERLINK("https://finance.naver.com/item/coinfo.nhn?code=284740", "A284740")</f>
        <v>0</v>
      </c>
      <c r="D49">
        <f>HYPERLINK("http://comp.fnguide.com/SVO2/ASP/SVD_Consensus.asp?pGB=1&amp;gicode=A284740&amp;cID=&amp;MenuYn=Y&amp;ReportGB=&amp;NewMenuID=108&amp;stkGb=701", "쿠쿠홈시스")</f>
        <v>0</v>
      </c>
      <c r="E49">
        <v>3</v>
      </c>
      <c r="F49">
        <v>29950</v>
      </c>
      <c r="G49">
        <v>0</v>
      </c>
      <c r="H49">
        <v>5.78</v>
      </c>
      <c r="I49">
        <v>55543</v>
      </c>
      <c r="J49">
        <v>41412</v>
      </c>
      <c r="K49">
        <v>36392</v>
      </c>
      <c r="L49">
        <v>-85.45</v>
      </c>
      <c r="M49">
        <v>-38.27</v>
      </c>
      <c r="N49">
        <v>-21.51</v>
      </c>
      <c r="O49">
        <v>21.26</v>
      </c>
      <c r="P49" t="b">
        <v>1</v>
      </c>
      <c r="Q49">
        <v>0</v>
      </c>
      <c r="R49">
        <v>6780</v>
      </c>
      <c r="U49" t="s">
        <v>891</v>
      </c>
      <c r="V49" t="s">
        <v>1212</v>
      </c>
      <c r="W49">
        <v>0</v>
      </c>
      <c r="X49">
        <v>-19.4</v>
      </c>
      <c r="Y49" t="s">
        <v>1520</v>
      </c>
      <c r="Z49">
        <v>122.3343751508</v>
      </c>
      <c r="AA49">
        <v>6720</v>
      </c>
      <c r="AB49">
        <v>15500</v>
      </c>
      <c r="AC49" t="s">
        <v>1834</v>
      </c>
      <c r="AD49">
        <v>70.09</v>
      </c>
      <c r="AE49" t="s">
        <v>2155</v>
      </c>
      <c r="AF49" t="s">
        <v>2474</v>
      </c>
      <c r="AG49">
        <v>8932</v>
      </c>
      <c r="AH49">
        <v>1786</v>
      </c>
      <c r="AI49">
        <v>14950</v>
      </c>
      <c r="AJ49">
        <v>1.66</v>
      </c>
      <c r="AK49" t="b">
        <v>1</v>
      </c>
    </row>
    <row r="50" spans="1:37">
      <c r="A50" s="1" t="s">
        <v>190</v>
      </c>
      <c r="B50" t="s">
        <v>511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22400</v>
      </c>
      <c r="G50">
        <v>0</v>
      </c>
      <c r="H50">
        <v>3.53</v>
      </c>
      <c r="I50">
        <v>94626</v>
      </c>
      <c r="J50">
        <v>78999</v>
      </c>
      <c r="K50">
        <v>73447</v>
      </c>
      <c r="L50">
        <v>-322.44</v>
      </c>
      <c r="M50">
        <v>-252.67</v>
      </c>
      <c r="N50">
        <v>-227.89</v>
      </c>
      <c r="O50">
        <v>16.03</v>
      </c>
      <c r="P50" t="b">
        <v>1</v>
      </c>
      <c r="Q50">
        <v>0</v>
      </c>
      <c r="R50">
        <v>9369</v>
      </c>
      <c r="U50" t="s">
        <v>832</v>
      </c>
      <c r="V50" t="s">
        <v>1153</v>
      </c>
      <c r="W50">
        <v>0</v>
      </c>
      <c r="X50">
        <v>16.1</v>
      </c>
      <c r="Y50" t="s">
        <v>1464</v>
      </c>
      <c r="Z50">
        <v>0</v>
      </c>
      <c r="AA50">
        <v>2828</v>
      </c>
      <c r="AB50">
        <v>22707</v>
      </c>
      <c r="AC50" t="s">
        <v>1775</v>
      </c>
      <c r="AD50">
        <v>52.14</v>
      </c>
      <c r="AE50" t="s">
        <v>2096</v>
      </c>
      <c r="AF50" t="s">
        <v>2415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134</v>
      </c>
      <c r="B51" t="s">
        <v>455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9620</v>
      </c>
      <c r="G51">
        <v>0</v>
      </c>
      <c r="H51">
        <v>15.71</v>
      </c>
      <c r="I51">
        <v>14958</v>
      </c>
      <c r="J51">
        <v>12577</v>
      </c>
      <c r="K51">
        <v>11731</v>
      </c>
      <c r="L51">
        <v>-55.48</v>
      </c>
      <c r="M51">
        <v>-30.74</v>
      </c>
      <c r="N51">
        <v>-21.94</v>
      </c>
      <c r="O51">
        <v>15.77</v>
      </c>
      <c r="P51" t="b">
        <v>1</v>
      </c>
      <c r="Q51">
        <v>0</v>
      </c>
      <c r="R51">
        <v>1162</v>
      </c>
      <c r="U51" t="s">
        <v>776</v>
      </c>
      <c r="V51" t="s">
        <v>1097</v>
      </c>
      <c r="W51">
        <v>0</v>
      </c>
      <c r="X51">
        <v>-30.1</v>
      </c>
      <c r="Y51" t="s">
        <v>1410</v>
      </c>
      <c r="Z51">
        <v>-12.54554813746089</v>
      </c>
      <c r="AA51">
        <v>1069</v>
      </c>
      <c r="AB51">
        <v>4045</v>
      </c>
      <c r="AC51" t="s">
        <v>1719</v>
      </c>
      <c r="AD51">
        <v>60.52</v>
      </c>
      <c r="AE51" t="s">
        <v>2040</v>
      </c>
      <c r="AF51" t="s">
        <v>2360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263</v>
      </c>
      <c r="B52" t="s">
        <v>584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22450</v>
      </c>
      <c r="G52">
        <v>0</v>
      </c>
      <c r="H52">
        <v>5.71</v>
      </c>
      <c r="I52">
        <v>56465</v>
      </c>
      <c r="J52">
        <v>44781</v>
      </c>
      <c r="K52">
        <v>40630</v>
      </c>
      <c r="L52">
        <v>-151.51</v>
      </c>
      <c r="M52">
        <v>-99.47</v>
      </c>
      <c r="N52">
        <v>-80.98</v>
      </c>
      <c r="O52">
        <v>18.12</v>
      </c>
      <c r="P52" t="b">
        <v>1</v>
      </c>
      <c r="Q52">
        <v>0</v>
      </c>
      <c r="R52">
        <v>5389</v>
      </c>
      <c r="U52" t="s">
        <v>905</v>
      </c>
      <c r="V52" t="s">
        <v>1226</v>
      </c>
      <c r="W52">
        <v>0</v>
      </c>
      <c r="X52">
        <v>159.7</v>
      </c>
      <c r="Y52" t="s">
        <v>1532</v>
      </c>
      <c r="Z52">
        <v>107.6137931114626</v>
      </c>
      <c r="AA52">
        <v>3113</v>
      </c>
      <c r="AB52">
        <v>32496</v>
      </c>
      <c r="AC52" t="s">
        <v>1848</v>
      </c>
      <c r="AD52">
        <v>50.3</v>
      </c>
      <c r="AE52" t="s">
        <v>2169</v>
      </c>
      <c r="AF52" t="s">
        <v>2488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101</v>
      </c>
      <c r="B53" t="s">
        <v>422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16500</v>
      </c>
      <c r="G53">
        <v>0</v>
      </c>
      <c r="H53">
        <v>8.06</v>
      </c>
      <c r="I53">
        <v>35690</v>
      </c>
      <c r="J53">
        <v>34315</v>
      </c>
      <c r="K53">
        <v>33827</v>
      </c>
      <c r="L53">
        <v>-116.3</v>
      </c>
      <c r="M53">
        <v>-107.97</v>
      </c>
      <c r="N53">
        <v>-105.01</v>
      </c>
      <c r="O53">
        <v>11.89</v>
      </c>
      <c r="P53" t="b">
        <v>1</v>
      </c>
      <c r="Q53">
        <v>0</v>
      </c>
      <c r="R53">
        <v>2606</v>
      </c>
      <c r="U53" t="s">
        <v>743</v>
      </c>
      <c r="V53" t="s">
        <v>1064</v>
      </c>
      <c r="W53">
        <v>0</v>
      </c>
      <c r="X53">
        <v>15.3</v>
      </c>
      <c r="Y53" t="s">
        <v>1379</v>
      </c>
      <c r="Z53">
        <v>11.04852779783594</v>
      </c>
      <c r="AA53">
        <v>1238</v>
      </c>
      <c r="AB53">
        <v>3611</v>
      </c>
      <c r="AC53" t="s">
        <v>1686</v>
      </c>
      <c r="AD53">
        <v>53.09</v>
      </c>
      <c r="AE53" t="s">
        <v>2007</v>
      </c>
      <c r="AF53" t="s">
        <v>2328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244</v>
      </c>
      <c r="B54" t="s">
        <v>565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4760</v>
      </c>
      <c r="G54">
        <v>0</v>
      </c>
      <c r="H54">
        <v>2.84</v>
      </c>
      <c r="I54">
        <v>18657</v>
      </c>
      <c r="J54">
        <v>16204</v>
      </c>
      <c r="K54">
        <v>15333</v>
      </c>
      <c r="L54">
        <v>-291.95</v>
      </c>
      <c r="M54">
        <v>-240.43</v>
      </c>
      <c r="N54">
        <v>-222.12</v>
      </c>
      <c r="O54">
        <v>14.67</v>
      </c>
      <c r="P54" t="b">
        <v>1</v>
      </c>
      <c r="Q54">
        <v>0</v>
      </c>
      <c r="R54">
        <v>3146</v>
      </c>
      <c r="U54" t="s">
        <v>886</v>
      </c>
      <c r="V54" t="s">
        <v>1207</v>
      </c>
      <c r="W54">
        <v>0</v>
      </c>
      <c r="X54">
        <v>44.4</v>
      </c>
      <c r="Y54" t="s">
        <v>1515</v>
      </c>
      <c r="Z54">
        <v>0</v>
      </c>
      <c r="AA54">
        <v>2039</v>
      </c>
      <c r="AB54">
        <v>105985</v>
      </c>
      <c r="AC54" t="s">
        <v>1829</v>
      </c>
      <c r="AD54">
        <v>55.54</v>
      </c>
      <c r="AE54" t="s">
        <v>2150</v>
      </c>
      <c r="AF54" t="s">
        <v>2469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428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4715</v>
      </c>
      <c r="G55">
        <v>0</v>
      </c>
      <c r="H55">
        <v>11.76</v>
      </c>
      <c r="I55">
        <v>9490</v>
      </c>
      <c r="J55">
        <v>7204</v>
      </c>
      <c r="K55">
        <v>6392</v>
      </c>
      <c r="L55">
        <v>-101.28</v>
      </c>
      <c r="M55">
        <v>-52.8</v>
      </c>
      <c r="N55">
        <v>-35.57</v>
      </c>
      <c r="O55">
        <v>20.26</v>
      </c>
      <c r="P55" t="b">
        <v>1</v>
      </c>
      <c r="Q55">
        <v>0</v>
      </c>
      <c r="R55">
        <v>719</v>
      </c>
      <c r="U55" t="s">
        <v>749</v>
      </c>
      <c r="V55" t="s">
        <v>1070</v>
      </c>
      <c r="W55">
        <v>0</v>
      </c>
      <c r="X55">
        <v>-10.4</v>
      </c>
      <c r="Y55" t="s">
        <v>1384</v>
      </c>
      <c r="Z55">
        <v>5.902267919935422</v>
      </c>
      <c r="AA55">
        <v>4173</v>
      </c>
      <c r="AB55">
        <v>140555</v>
      </c>
      <c r="AC55" t="s">
        <v>1692</v>
      </c>
      <c r="AD55">
        <v>70.98</v>
      </c>
      <c r="AE55" t="s">
        <v>2013</v>
      </c>
      <c r="AF55" t="s">
        <v>2334</v>
      </c>
      <c r="AG55">
        <v>6740</v>
      </c>
      <c r="AH55">
        <v>924</v>
      </c>
      <c r="AI55">
        <v>3612538</v>
      </c>
      <c r="AJ55">
        <v>1.54</v>
      </c>
      <c r="AK55" t="b">
        <v>1</v>
      </c>
    </row>
    <row r="56" spans="1:37">
      <c r="A56" s="1" t="s">
        <v>205</v>
      </c>
      <c r="B56" t="s">
        <v>526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85600</v>
      </c>
      <c r="G56">
        <v>0</v>
      </c>
      <c r="H56">
        <v>6.38</v>
      </c>
      <c r="I56">
        <v>142355</v>
      </c>
      <c r="J56">
        <v>140676</v>
      </c>
      <c r="K56">
        <v>140080</v>
      </c>
      <c r="L56">
        <v>-66.3</v>
      </c>
      <c r="M56">
        <v>-64.34</v>
      </c>
      <c r="N56">
        <v>-63.64</v>
      </c>
      <c r="O56">
        <v>11.27</v>
      </c>
      <c r="P56" t="b">
        <v>1</v>
      </c>
      <c r="Q56">
        <v>0</v>
      </c>
      <c r="R56">
        <v>13429</v>
      </c>
      <c r="U56" t="s">
        <v>847</v>
      </c>
      <c r="V56" t="s">
        <v>1168</v>
      </c>
      <c r="W56">
        <v>0</v>
      </c>
      <c r="X56">
        <v>-5</v>
      </c>
      <c r="Y56" t="s">
        <v>1479</v>
      </c>
      <c r="Z56">
        <v>12.64023563934331</v>
      </c>
      <c r="AA56">
        <v>3449</v>
      </c>
      <c r="AB56">
        <v>819</v>
      </c>
      <c r="AC56" t="s">
        <v>1790</v>
      </c>
      <c r="AD56">
        <v>54.34</v>
      </c>
      <c r="AE56" t="s">
        <v>2111</v>
      </c>
      <c r="AF56" t="s">
        <v>2430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81</v>
      </c>
      <c r="B57" t="s">
        <v>402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2105</v>
      </c>
      <c r="G57">
        <v>0</v>
      </c>
      <c r="H57">
        <v>3.8</v>
      </c>
      <c r="I57">
        <v>6146</v>
      </c>
      <c r="J57">
        <v>4884</v>
      </c>
      <c r="K57">
        <v>4436</v>
      </c>
      <c r="L57">
        <v>-191.97</v>
      </c>
      <c r="M57">
        <v>-132.02</v>
      </c>
      <c r="N57">
        <v>-110.72</v>
      </c>
      <c r="O57">
        <v>18.03</v>
      </c>
      <c r="P57" t="b">
        <v>1</v>
      </c>
      <c r="Q57">
        <v>0</v>
      </c>
      <c r="R57">
        <v>918</v>
      </c>
      <c r="U57" t="s">
        <v>723</v>
      </c>
      <c r="V57" t="s">
        <v>1044</v>
      </c>
      <c r="W57">
        <v>0</v>
      </c>
      <c r="X57">
        <v>-83</v>
      </c>
      <c r="Y57" t="s">
        <v>1361</v>
      </c>
      <c r="Z57">
        <v>0</v>
      </c>
      <c r="AA57">
        <v>415</v>
      </c>
      <c r="AB57">
        <v>43662</v>
      </c>
      <c r="AC57" t="s">
        <v>1666</v>
      </c>
      <c r="AD57">
        <v>55.03</v>
      </c>
      <c r="AE57" t="s">
        <v>1987</v>
      </c>
      <c r="AF57" t="s">
        <v>2308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128</v>
      </c>
      <c r="B58" t="s">
        <v>449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11000</v>
      </c>
      <c r="G58">
        <v>0</v>
      </c>
      <c r="H58">
        <v>6.95</v>
      </c>
      <c r="I58">
        <v>90741</v>
      </c>
      <c r="J58">
        <v>57922</v>
      </c>
      <c r="K58">
        <v>46263</v>
      </c>
      <c r="L58">
        <v>-724.92</v>
      </c>
      <c r="M58">
        <v>-426.56</v>
      </c>
      <c r="N58">
        <v>-320.57</v>
      </c>
      <c r="O58">
        <v>34.96</v>
      </c>
      <c r="P58" t="b">
        <v>0</v>
      </c>
      <c r="Q58">
        <v>0</v>
      </c>
      <c r="R58">
        <v>1987</v>
      </c>
      <c r="U58" t="s">
        <v>770</v>
      </c>
      <c r="V58" t="s">
        <v>1091</v>
      </c>
      <c r="W58">
        <v>0</v>
      </c>
      <c r="X58">
        <v>-44.7</v>
      </c>
      <c r="Y58" t="s">
        <v>1404</v>
      </c>
      <c r="Z58">
        <v>25.79782641890633</v>
      </c>
      <c r="AA58">
        <v>2899</v>
      </c>
      <c r="AB58">
        <v>168077</v>
      </c>
      <c r="AC58" t="s">
        <v>1713</v>
      </c>
      <c r="AD58">
        <v>63.76</v>
      </c>
      <c r="AE58" t="s">
        <v>2034</v>
      </c>
      <c r="AF58" t="s">
        <v>2355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67</v>
      </c>
      <c r="B59" t="s">
        <v>388</v>
      </c>
      <c r="C59">
        <f>HYPERLINK("https://finance.naver.com/item/coinfo.nhn?code=140070", "A140070")</f>
        <v>0</v>
      </c>
      <c r="D59">
        <f>HYPERLINK("http://comp.fnguide.com/SVO2/ASP/SVD_Consensus.asp?pGB=1&amp;gicode=A140070&amp;cID=&amp;MenuYn=Y&amp;ReportGB=&amp;NewMenuID=108&amp;stkGb=701", "서플러스글로벌")</f>
        <v>0</v>
      </c>
      <c r="E59">
        <v>3</v>
      </c>
      <c r="F59">
        <v>3850</v>
      </c>
      <c r="G59">
        <v>0.04</v>
      </c>
      <c r="H59">
        <v>5.85</v>
      </c>
      <c r="I59">
        <v>5280</v>
      </c>
      <c r="J59">
        <v>4920</v>
      </c>
      <c r="K59">
        <v>4792</v>
      </c>
      <c r="L59">
        <v>-37.14</v>
      </c>
      <c r="M59">
        <v>-27.8</v>
      </c>
      <c r="N59">
        <v>-24.48</v>
      </c>
      <c r="O59">
        <v>12.65</v>
      </c>
      <c r="P59" t="b">
        <v>1</v>
      </c>
      <c r="Q59">
        <v>0</v>
      </c>
      <c r="R59">
        <v>749</v>
      </c>
      <c r="S59">
        <v>681</v>
      </c>
      <c r="T59">
        <v>-9.1</v>
      </c>
      <c r="U59" t="s">
        <v>709</v>
      </c>
      <c r="V59" t="s">
        <v>1030</v>
      </c>
      <c r="W59">
        <v>151.0997480616797</v>
      </c>
      <c r="X59">
        <v>20</v>
      </c>
      <c r="Y59" t="s">
        <v>1348</v>
      </c>
      <c r="Z59">
        <v>10.6120093038323</v>
      </c>
      <c r="AA59">
        <v>1424</v>
      </c>
      <c r="AB59">
        <v>85463</v>
      </c>
      <c r="AC59" t="s">
        <v>1652</v>
      </c>
      <c r="AD59">
        <v>56.71</v>
      </c>
      <c r="AE59" t="s">
        <v>1973</v>
      </c>
      <c r="AF59" t="s">
        <v>2294</v>
      </c>
      <c r="AG59">
        <v>2066</v>
      </c>
      <c r="AH59">
        <v>308</v>
      </c>
      <c r="AI59">
        <v>2131402</v>
      </c>
      <c r="AJ59">
        <v>1.14</v>
      </c>
      <c r="AK59" t="b">
        <v>1</v>
      </c>
    </row>
    <row r="60" spans="1:37">
      <c r="A60" s="1" t="s">
        <v>74</v>
      </c>
      <c r="B60" t="s">
        <v>395</v>
      </c>
      <c r="C60">
        <f>HYPERLINK("https://finance.naver.com/item/coinfo.nhn?code=270870", "A270870")</f>
        <v>0</v>
      </c>
      <c r="D60">
        <f>HYPERLINK("http://comp.fnguide.com/SVO2/ASP/SVD_Consensus.asp?pGB=1&amp;gicode=A270870&amp;cID=&amp;MenuYn=Y&amp;ReportGB=&amp;NewMenuID=108&amp;stkGb=701", "뉴트리")</f>
        <v>0</v>
      </c>
      <c r="E60">
        <v>3</v>
      </c>
      <c r="F60">
        <v>10550</v>
      </c>
      <c r="G60">
        <v>0</v>
      </c>
      <c r="H60">
        <v>10.16</v>
      </c>
      <c r="I60">
        <v>23545</v>
      </c>
      <c r="J60">
        <v>16588</v>
      </c>
      <c r="K60">
        <v>14116</v>
      </c>
      <c r="L60">
        <v>-123.18</v>
      </c>
      <c r="M60">
        <v>-57.23</v>
      </c>
      <c r="N60">
        <v>-33.8</v>
      </c>
      <c r="O60">
        <v>25.02</v>
      </c>
      <c r="P60" t="b">
        <v>1</v>
      </c>
      <c r="Q60">
        <v>0</v>
      </c>
      <c r="R60">
        <v>2161</v>
      </c>
      <c r="U60" t="s">
        <v>716</v>
      </c>
      <c r="V60" t="s">
        <v>1037</v>
      </c>
      <c r="W60">
        <v>0</v>
      </c>
      <c r="X60">
        <v>-49.5</v>
      </c>
      <c r="Y60" t="s">
        <v>1355</v>
      </c>
      <c r="Z60">
        <v>26.56499495686555</v>
      </c>
      <c r="AA60">
        <v>971</v>
      </c>
      <c r="AB60">
        <v>38051</v>
      </c>
      <c r="AC60" t="s">
        <v>1659</v>
      </c>
      <c r="AD60">
        <v>50.04</v>
      </c>
      <c r="AE60" t="s">
        <v>1980</v>
      </c>
      <c r="AF60" t="s">
        <v>2301</v>
      </c>
      <c r="AG60">
        <v>2475</v>
      </c>
      <c r="AH60">
        <v>208</v>
      </c>
      <c r="AI60">
        <v>205378</v>
      </c>
      <c r="AJ60">
        <v>1.14</v>
      </c>
      <c r="AK60" t="b">
        <v>1</v>
      </c>
    </row>
    <row r="61" spans="1:37">
      <c r="A61" s="1" t="s">
        <v>199</v>
      </c>
      <c r="B61" t="s">
        <v>520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32650</v>
      </c>
      <c r="G61">
        <v>0.6</v>
      </c>
      <c r="H61">
        <v>9.52</v>
      </c>
      <c r="I61">
        <v>46930</v>
      </c>
      <c r="J61">
        <v>40564</v>
      </c>
      <c r="K61">
        <v>38302</v>
      </c>
      <c r="L61">
        <v>-43.74</v>
      </c>
      <c r="M61">
        <v>-24.24</v>
      </c>
      <c r="N61">
        <v>-17.31</v>
      </c>
      <c r="O61">
        <v>14.83</v>
      </c>
      <c r="P61" t="b">
        <v>1</v>
      </c>
      <c r="Q61">
        <v>0</v>
      </c>
      <c r="R61">
        <v>4641</v>
      </c>
      <c r="S61">
        <v>4261</v>
      </c>
      <c r="T61">
        <v>-8.199999999999999</v>
      </c>
      <c r="U61" t="s">
        <v>841</v>
      </c>
      <c r="V61" t="s">
        <v>1162</v>
      </c>
      <c r="W61">
        <v>15.82692466358009</v>
      </c>
      <c r="X61">
        <v>-14.5</v>
      </c>
      <c r="Y61" t="s">
        <v>1473</v>
      </c>
      <c r="Z61">
        <v>14.75139948039128</v>
      </c>
      <c r="AA61">
        <v>3777</v>
      </c>
      <c r="AB61">
        <v>9155</v>
      </c>
      <c r="AC61" t="s">
        <v>1784</v>
      </c>
      <c r="AD61">
        <v>52.77</v>
      </c>
      <c r="AE61" t="s">
        <v>2105</v>
      </c>
      <c r="AF61" t="s">
        <v>2424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59</v>
      </c>
      <c r="B62" t="s">
        <v>380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18200</v>
      </c>
      <c r="G62">
        <v>0</v>
      </c>
      <c r="H62">
        <v>14.22</v>
      </c>
      <c r="I62">
        <v>35445</v>
      </c>
      <c r="J62">
        <v>27801</v>
      </c>
      <c r="K62">
        <v>25085</v>
      </c>
      <c r="L62">
        <v>-94.75</v>
      </c>
      <c r="M62">
        <v>-52.75</v>
      </c>
      <c r="N62">
        <v>-37.83</v>
      </c>
      <c r="O62">
        <v>18.62</v>
      </c>
      <c r="P62" t="b">
        <v>1</v>
      </c>
      <c r="Q62">
        <v>0</v>
      </c>
      <c r="R62">
        <v>2511</v>
      </c>
      <c r="U62" t="s">
        <v>701</v>
      </c>
      <c r="V62" t="s">
        <v>1022</v>
      </c>
      <c r="W62">
        <v>0</v>
      </c>
      <c r="X62">
        <v>-79.90000000000001</v>
      </c>
      <c r="Y62" t="s">
        <v>1341</v>
      </c>
      <c r="Z62">
        <v>-11.25095195518382</v>
      </c>
      <c r="AA62">
        <v>981</v>
      </c>
      <c r="AB62">
        <v>1665</v>
      </c>
      <c r="AC62" t="s">
        <v>1644</v>
      </c>
      <c r="AD62">
        <v>63.25</v>
      </c>
      <c r="AE62" t="s">
        <v>1965</v>
      </c>
      <c r="AF62" t="s">
        <v>2286</v>
      </c>
      <c r="AG62">
        <v>1044</v>
      </c>
      <c r="AH62">
        <v>148</v>
      </c>
      <c r="AI62">
        <v>275798</v>
      </c>
      <c r="AJ62">
        <v>1.12</v>
      </c>
      <c r="AK62" t="b">
        <v>1</v>
      </c>
    </row>
    <row r="63" spans="1:37">
      <c r="A63" s="1" t="s">
        <v>46</v>
      </c>
      <c r="B63" t="s">
        <v>367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3235</v>
      </c>
      <c r="G63">
        <v>0</v>
      </c>
      <c r="H63">
        <v>7.69</v>
      </c>
      <c r="I63">
        <v>5608</v>
      </c>
      <c r="J63">
        <v>4930</v>
      </c>
      <c r="K63">
        <v>4689</v>
      </c>
      <c r="L63">
        <v>-73.34</v>
      </c>
      <c r="M63">
        <v>-52.4</v>
      </c>
      <c r="N63">
        <v>-44.96</v>
      </c>
      <c r="O63">
        <v>14.29</v>
      </c>
      <c r="P63" t="b">
        <v>1</v>
      </c>
      <c r="Q63">
        <v>0</v>
      </c>
      <c r="R63">
        <v>619</v>
      </c>
      <c r="U63" t="s">
        <v>688</v>
      </c>
      <c r="V63" t="s">
        <v>1009</v>
      </c>
      <c r="W63">
        <v>0</v>
      </c>
      <c r="X63">
        <v>88.5</v>
      </c>
      <c r="Y63" t="s">
        <v>1329</v>
      </c>
      <c r="Z63">
        <v>0</v>
      </c>
      <c r="AA63">
        <v>1564</v>
      </c>
      <c r="AB63">
        <v>87801</v>
      </c>
      <c r="AC63" t="s">
        <v>1631</v>
      </c>
      <c r="AD63">
        <v>56.21</v>
      </c>
      <c r="AE63" t="s">
        <v>1952</v>
      </c>
      <c r="AF63" t="s">
        <v>2273</v>
      </c>
      <c r="AG63">
        <v>13661</v>
      </c>
      <c r="AH63">
        <v>1708</v>
      </c>
      <c r="AI63">
        <v>2013455</v>
      </c>
      <c r="AJ63">
        <v>1.05</v>
      </c>
      <c r="AK63" t="b">
        <v>1</v>
      </c>
    </row>
    <row r="64" spans="1:37">
      <c r="A64" s="1" t="s">
        <v>297</v>
      </c>
      <c r="B64" t="s">
        <v>618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2</v>
      </c>
      <c r="F64">
        <v>6940</v>
      </c>
      <c r="G64">
        <v>0.3</v>
      </c>
      <c r="H64">
        <v>6.78</v>
      </c>
      <c r="I64">
        <v>7435</v>
      </c>
      <c r="J64">
        <v>6980</v>
      </c>
      <c r="K64">
        <v>6819</v>
      </c>
      <c r="L64">
        <v>-7.13</v>
      </c>
      <c r="M64">
        <v>-0.58</v>
      </c>
      <c r="N64">
        <v>1.75</v>
      </c>
      <c r="O64">
        <v>12.46</v>
      </c>
      <c r="P64" t="b">
        <v>1</v>
      </c>
      <c r="Q64">
        <v>2</v>
      </c>
      <c r="R64">
        <v>874</v>
      </c>
      <c r="S64">
        <v>1222</v>
      </c>
      <c r="T64">
        <v>39.8</v>
      </c>
      <c r="U64" t="s">
        <v>939</v>
      </c>
      <c r="V64" t="s">
        <v>1260</v>
      </c>
      <c r="W64">
        <v>22.84665403256867</v>
      </c>
      <c r="X64">
        <v>12.1</v>
      </c>
      <c r="Y64" t="s">
        <v>1563</v>
      </c>
      <c r="Z64">
        <v>8.94035318730948</v>
      </c>
      <c r="AA64">
        <v>1221</v>
      </c>
      <c r="AB64">
        <v>67227</v>
      </c>
      <c r="AC64" t="s">
        <v>1882</v>
      </c>
      <c r="AD64">
        <v>73.22</v>
      </c>
      <c r="AE64" t="s">
        <v>2203</v>
      </c>
      <c r="AF64" t="s">
        <v>2522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94</v>
      </c>
      <c r="B65" t="s">
        <v>415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4390</v>
      </c>
      <c r="G65">
        <v>0</v>
      </c>
      <c r="H65">
        <v>4.86</v>
      </c>
      <c r="I65">
        <v>12363</v>
      </c>
      <c r="J65">
        <v>8542</v>
      </c>
      <c r="K65">
        <v>7184</v>
      </c>
      <c r="L65">
        <v>-181.62</v>
      </c>
      <c r="M65">
        <v>-94.56999999999999</v>
      </c>
      <c r="N65">
        <v>-63.64</v>
      </c>
      <c r="O65">
        <v>26.57</v>
      </c>
      <c r="P65" t="b">
        <v>0</v>
      </c>
      <c r="Q65">
        <v>0</v>
      </c>
      <c r="R65">
        <v>1657</v>
      </c>
      <c r="U65" t="s">
        <v>736</v>
      </c>
      <c r="V65" t="s">
        <v>1057</v>
      </c>
      <c r="W65">
        <v>0</v>
      </c>
      <c r="Y65" t="s">
        <v>1321</v>
      </c>
      <c r="Z65">
        <v>0</v>
      </c>
      <c r="AA65">
        <v>2128</v>
      </c>
      <c r="AB65">
        <v>179619</v>
      </c>
      <c r="AC65" t="s">
        <v>1679</v>
      </c>
      <c r="AD65">
        <v>63.51</v>
      </c>
      <c r="AE65" t="s">
        <v>2000</v>
      </c>
      <c r="AF65" t="s">
        <v>2321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268</v>
      </c>
      <c r="B66" t="s">
        <v>589</v>
      </c>
      <c r="C66">
        <f>HYPERLINK("https://finance.naver.com/item/coinfo.nhn?code=016380", "A016380")</f>
        <v>0</v>
      </c>
      <c r="D66">
        <f>HYPERLINK("http://comp.fnguide.com/SVO2/ASP/SVD_Consensus.asp?pGB=1&amp;gicode=A016380&amp;cID=&amp;MenuYn=Y&amp;ReportGB=&amp;NewMenuID=108&amp;stkGb=701", "KG스틸")</f>
        <v>0</v>
      </c>
      <c r="E66">
        <v>3</v>
      </c>
      <c r="F66">
        <v>8020</v>
      </c>
      <c r="G66">
        <v>0</v>
      </c>
      <c r="H66">
        <v>5.55</v>
      </c>
      <c r="I66">
        <v>11888</v>
      </c>
      <c r="J66">
        <v>11685</v>
      </c>
      <c r="K66">
        <v>11613</v>
      </c>
      <c r="L66">
        <v>-48.23</v>
      </c>
      <c r="M66">
        <v>-45.7</v>
      </c>
      <c r="N66">
        <v>-44.8</v>
      </c>
      <c r="O66">
        <v>11.39</v>
      </c>
      <c r="P66" t="b">
        <v>0</v>
      </c>
      <c r="Q66">
        <v>0</v>
      </c>
      <c r="R66">
        <v>1908</v>
      </c>
      <c r="U66" t="s">
        <v>910</v>
      </c>
      <c r="V66" t="s">
        <v>1231</v>
      </c>
      <c r="W66">
        <v>0</v>
      </c>
      <c r="X66">
        <v>12.2</v>
      </c>
      <c r="Y66" t="s">
        <v>1537</v>
      </c>
      <c r="Z66">
        <v>0</v>
      </c>
      <c r="AA66">
        <v>8021</v>
      </c>
      <c r="AB66">
        <v>385077</v>
      </c>
      <c r="AC66" t="s">
        <v>1853</v>
      </c>
      <c r="AD66">
        <v>65.98999999999999</v>
      </c>
      <c r="AE66" t="s">
        <v>2174</v>
      </c>
      <c r="AF66" t="s">
        <v>2493</v>
      </c>
      <c r="AG66">
        <v>33548</v>
      </c>
      <c r="AH66">
        <v>2969</v>
      </c>
      <c r="AI66">
        <v>6585</v>
      </c>
      <c r="AJ66">
        <v>0.9399999999999999</v>
      </c>
      <c r="AK66" t="b">
        <v>1</v>
      </c>
    </row>
    <row r="67" spans="1:37">
      <c r="A67" s="1" t="s">
        <v>189</v>
      </c>
      <c r="B67" t="s">
        <v>510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16100</v>
      </c>
      <c r="G67">
        <v>0</v>
      </c>
      <c r="H67">
        <v>11.96</v>
      </c>
      <c r="I67">
        <v>21434</v>
      </c>
      <c r="J67">
        <v>20140</v>
      </c>
      <c r="K67">
        <v>19681</v>
      </c>
      <c r="L67">
        <v>-33.13</v>
      </c>
      <c r="M67">
        <v>-25.09</v>
      </c>
      <c r="N67">
        <v>-22.24</v>
      </c>
      <c r="O67">
        <v>12.44</v>
      </c>
      <c r="P67" t="b">
        <v>0</v>
      </c>
      <c r="Q67">
        <v>0</v>
      </c>
      <c r="R67">
        <v>2011</v>
      </c>
      <c r="U67" t="s">
        <v>831</v>
      </c>
      <c r="V67" t="s">
        <v>1152</v>
      </c>
      <c r="W67">
        <v>0</v>
      </c>
      <c r="X67">
        <v>78.2</v>
      </c>
      <c r="Y67" t="s">
        <v>1463</v>
      </c>
      <c r="Z67">
        <v>44.80658405692313</v>
      </c>
      <c r="AA67">
        <v>3359</v>
      </c>
      <c r="AB67">
        <v>51613</v>
      </c>
      <c r="AC67" t="s">
        <v>1774</v>
      </c>
      <c r="AD67">
        <v>51.51</v>
      </c>
      <c r="AE67" t="s">
        <v>2095</v>
      </c>
      <c r="AF67" t="s">
        <v>2414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201</v>
      </c>
      <c r="B68" t="s">
        <v>522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9830</v>
      </c>
      <c r="G68">
        <v>0</v>
      </c>
      <c r="H68">
        <v>6.38</v>
      </c>
      <c r="I68">
        <v>23147</v>
      </c>
      <c r="J68">
        <v>20097</v>
      </c>
      <c r="K68">
        <v>19014</v>
      </c>
      <c r="L68">
        <v>-135.48</v>
      </c>
      <c r="M68">
        <v>-104.45</v>
      </c>
      <c r="N68">
        <v>-93.42</v>
      </c>
      <c r="O68">
        <v>14.68</v>
      </c>
      <c r="P68" t="b">
        <v>1</v>
      </c>
      <c r="Q68">
        <v>0</v>
      </c>
      <c r="R68">
        <v>1804</v>
      </c>
      <c r="U68" t="s">
        <v>843</v>
      </c>
      <c r="V68" t="s">
        <v>1164</v>
      </c>
      <c r="W68">
        <v>0</v>
      </c>
      <c r="Y68" t="s">
        <v>1475</v>
      </c>
      <c r="Z68">
        <v>0</v>
      </c>
      <c r="AA68">
        <v>2338</v>
      </c>
      <c r="AB68">
        <v>33018</v>
      </c>
      <c r="AC68" t="s">
        <v>1786</v>
      </c>
      <c r="AD68">
        <v>50.04</v>
      </c>
      <c r="AE68" t="s">
        <v>2107</v>
      </c>
      <c r="AF68" t="s">
        <v>2426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203</v>
      </c>
      <c r="B69" t="s">
        <v>524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33900</v>
      </c>
      <c r="G69">
        <v>0</v>
      </c>
      <c r="H69">
        <v>9.43</v>
      </c>
      <c r="I69">
        <v>45175</v>
      </c>
      <c r="J69">
        <v>37775</v>
      </c>
      <c r="K69">
        <v>35146</v>
      </c>
      <c r="L69">
        <v>-33.26</v>
      </c>
      <c r="M69">
        <v>-11.43</v>
      </c>
      <c r="N69">
        <v>-3.67</v>
      </c>
      <c r="O69">
        <v>15.97</v>
      </c>
      <c r="P69" t="b">
        <v>1</v>
      </c>
      <c r="Q69">
        <v>0</v>
      </c>
      <c r="R69">
        <v>5825</v>
      </c>
      <c r="U69" t="s">
        <v>845</v>
      </c>
      <c r="V69" t="s">
        <v>1166</v>
      </c>
      <c r="W69">
        <v>0</v>
      </c>
      <c r="X69">
        <v>-25.2</v>
      </c>
      <c r="Y69" t="s">
        <v>1477</v>
      </c>
      <c r="Z69">
        <v>15.99642015663794</v>
      </c>
      <c r="AA69">
        <v>4939</v>
      </c>
      <c r="AB69">
        <v>16500</v>
      </c>
      <c r="AC69" t="s">
        <v>1788</v>
      </c>
      <c r="AD69">
        <v>57.61</v>
      </c>
      <c r="AE69" t="s">
        <v>2109</v>
      </c>
      <c r="AF69" t="s">
        <v>2428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230</v>
      </c>
      <c r="B70" t="s">
        <v>551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2590</v>
      </c>
      <c r="G70">
        <v>0</v>
      </c>
      <c r="H70">
        <v>58.68</v>
      </c>
      <c r="I70">
        <v>4152</v>
      </c>
      <c r="J70">
        <v>4073</v>
      </c>
      <c r="K70">
        <v>4045</v>
      </c>
      <c r="L70">
        <v>-60.33</v>
      </c>
      <c r="M70">
        <v>-57.27</v>
      </c>
      <c r="N70">
        <v>-56.18</v>
      </c>
      <c r="O70">
        <v>11.43</v>
      </c>
      <c r="P70" t="b">
        <v>0</v>
      </c>
      <c r="Q70">
        <v>0</v>
      </c>
      <c r="R70">
        <v>43</v>
      </c>
      <c r="U70" t="s">
        <v>872</v>
      </c>
      <c r="V70" t="s">
        <v>1193</v>
      </c>
      <c r="W70">
        <v>0</v>
      </c>
      <c r="Y70" t="s">
        <v>1321</v>
      </c>
      <c r="Z70">
        <v>41.09548885510477</v>
      </c>
      <c r="AA70">
        <v>963</v>
      </c>
      <c r="AB70">
        <v>53511</v>
      </c>
      <c r="AC70" t="s">
        <v>1815</v>
      </c>
      <c r="AD70">
        <v>66.56999999999999</v>
      </c>
      <c r="AE70" t="s">
        <v>2136</v>
      </c>
      <c r="AF70" t="s">
        <v>2455</v>
      </c>
      <c r="AG70">
        <v>328</v>
      </c>
      <c r="AH70">
        <v>-18</v>
      </c>
      <c r="AI70">
        <v>4119503</v>
      </c>
      <c r="AJ70">
        <v>0.79</v>
      </c>
      <c r="AK70" t="b">
        <v>1</v>
      </c>
    </row>
    <row r="71" spans="1:37">
      <c r="A71" s="1" t="s">
        <v>127</v>
      </c>
      <c r="B71" t="s">
        <v>448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17450</v>
      </c>
      <c r="G71">
        <v>0</v>
      </c>
      <c r="H71">
        <v>2.47</v>
      </c>
      <c r="I71">
        <v>33304</v>
      </c>
      <c r="J71">
        <v>32733</v>
      </c>
      <c r="K71">
        <v>32530</v>
      </c>
      <c r="L71">
        <v>-90.84999999999999</v>
      </c>
      <c r="M71">
        <v>-87.58</v>
      </c>
      <c r="N71">
        <v>-86.42</v>
      </c>
      <c r="O71">
        <v>11.39</v>
      </c>
      <c r="P71" t="b">
        <v>1</v>
      </c>
      <c r="Q71">
        <v>0</v>
      </c>
      <c r="R71">
        <v>6465</v>
      </c>
      <c r="U71" t="s">
        <v>769</v>
      </c>
      <c r="V71" t="s">
        <v>1090</v>
      </c>
      <c r="W71">
        <v>0</v>
      </c>
      <c r="X71">
        <v>249.2</v>
      </c>
      <c r="Y71" t="s">
        <v>1403</v>
      </c>
      <c r="Z71">
        <v>0</v>
      </c>
      <c r="AA71">
        <v>613</v>
      </c>
      <c r="AB71">
        <v>38952</v>
      </c>
      <c r="AC71" t="s">
        <v>1712</v>
      </c>
      <c r="AD71">
        <v>65.39</v>
      </c>
      <c r="AE71" t="s">
        <v>2033</v>
      </c>
      <c r="AF71" t="s">
        <v>2354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204</v>
      </c>
      <c r="B72" t="s">
        <v>525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41400</v>
      </c>
      <c r="G72">
        <v>0</v>
      </c>
      <c r="H72">
        <v>9.48</v>
      </c>
      <c r="I72">
        <v>101707</v>
      </c>
      <c r="J72">
        <v>67336</v>
      </c>
      <c r="K72">
        <v>55125</v>
      </c>
      <c r="L72">
        <v>-145.67</v>
      </c>
      <c r="M72">
        <v>-62.65</v>
      </c>
      <c r="N72">
        <v>-33.15</v>
      </c>
      <c r="O72">
        <v>30.6</v>
      </c>
      <c r="P72" t="b">
        <v>1</v>
      </c>
      <c r="Q72">
        <v>0</v>
      </c>
      <c r="R72">
        <v>6468</v>
      </c>
      <c r="U72" t="s">
        <v>846</v>
      </c>
      <c r="V72" t="s">
        <v>1167</v>
      </c>
      <c r="W72">
        <v>0</v>
      </c>
      <c r="X72">
        <v>-70.40000000000001</v>
      </c>
      <c r="Y72" t="s">
        <v>1478</v>
      </c>
      <c r="Z72">
        <v>65.52979113465651</v>
      </c>
      <c r="AA72">
        <v>828</v>
      </c>
      <c r="AB72">
        <v>2508</v>
      </c>
      <c r="AC72" t="s">
        <v>1789</v>
      </c>
      <c r="AD72">
        <v>60.72</v>
      </c>
      <c r="AE72" t="s">
        <v>2110</v>
      </c>
      <c r="AF72" t="s">
        <v>2429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346</v>
      </c>
      <c r="B73" t="s">
        <v>667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24850</v>
      </c>
      <c r="G73">
        <v>0</v>
      </c>
      <c r="H73">
        <v>104.93</v>
      </c>
      <c r="I73">
        <v>29380</v>
      </c>
      <c r="J73">
        <v>23887</v>
      </c>
      <c r="K73">
        <v>21936</v>
      </c>
      <c r="L73">
        <v>-18.23</v>
      </c>
      <c r="M73">
        <v>3.87</v>
      </c>
      <c r="N73">
        <v>11.73</v>
      </c>
      <c r="O73">
        <v>17.06</v>
      </c>
      <c r="P73" t="b">
        <v>0</v>
      </c>
      <c r="Q73">
        <v>0</v>
      </c>
      <c r="R73">
        <v>316</v>
      </c>
      <c r="U73" t="s">
        <v>988</v>
      </c>
      <c r="V73" t="s">
        <v>1309</v>
      </c>
      <c r="W73">
        <v>0</v>
      </c>
      <c r="X73">
        <v>804.7</v>
      </c>
      <c r="Y73" t="s">
        <v>1610</v>
      </c>
      <c r="Z73">
        <v>0</v>
      </c>
      <c r="AA73">
        <v>2485</v>
      </c>
      <c r="AB73">
        <v>35374</v>
      </c>
      <c r="AC73" t="s">
        <v>1931</v>
      </c>
      <c r="AD73">
        <v>61.76</v>
      </c>
      <c r="AE73" t="s">
        <v>2252</v>
      </c>
      <c r="AF73" t="s">
        <v>2564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316</v>
      </c>
      <c r="B74" t="s">
        <v>637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1</v>
      </c>
      <c r="F74">
        <v>43350</v>
      </c>
      <c r="G74">
        <v>1.39</v>
      </c>
      <c r="H74">
        <v>18.86</v>
      </c>
      <c r="I74">
        <v>49209</v>
      </c>
      <c r="J74">
        <v>42969</v>
      </c>
      <c r="K74">
        <v>40752</v>
      </c>
      <c r="L74">
        <v>-13.51</v>
      </c>
      <c r="M74">
        <v>0.88</v>
      </c>
      <c r="N74">
        <v>5.99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958</v>
      </c>
      <c r="V74" t="s">
        <v>1279</v>
      </c>
      <c r="W74">
        <v>13.56038074025514</v>
      </c>
      <c r="X74">
        <v>-20.8</v>
      </c>
      <c r="Y74" t="s">
        <v>1581</v>
      </c>
      <c r="Z74">
        <v>21.43029516357424</v>
      </c>
      <c r="AA74">
        <v>3365</v>
      </c>
      <c r="AB74">
        <v>11525</v>
      </c>
      <c r="AC74" t="s">
        <v>1901</v>
      </c>
      <c r="AD74">
        <v>53.57</v>
      </c>
      <c r="AE74" t="s">
        <v>2222</v>
      </c>
      <c r="AF74" t="s">
        <v>2538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232</v>
      </c>
      <c r="B75" t="s">
        <v>553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30400</v>
      </c>
      <c r="G75">
        <v>0</v>
      </c>
      <c r="H75">
        <v>0.38</v>
      </c>
      <c r="I75">
        <v>389223</v>
      </c>
      <c r="J75">
        <v>209791</v>
      </c>
      <c r="K75">
        <v>146048</v>
      </c>
      <c r="L75">
        <v>-1180.34</v>
      </c>
      <c r="M75">
        <v>-590.1</v>
      </c>
      <c r="N75">
        <v>-380.42</v>
      </c>
      <c r="O75">
        <v>86.66</v>
      </c>
      <c r="P75" t="b">
        <v>1</v>
      </c>
      <c r="Q75">
        <v>0</v>
      </c>
      <c r="R75">
        <v>87636</v>
      </c>
      <c r="U75" t="s">
        <v>874</v>
      </c>
      <c r="V75" t="s">
        <v>1195</v>
      </c>
      <c r="W75">
        <v>0</v>
      </c>
      <c r="X75">
        <v>-98.3</v>
      </c>
      <c r="Y75" t="s">
        <v>1504</v>
      </c>
      <c r="Z75">
        <v>-21.08370130481351</v>
      </c>
      <c r="AA75">
        <v>11891</v>
      </c>
      <c r="AB75">
        <v>273739</v>
      </c>
      <c r="AC75" t="s">
        <v>1817</v>
      </c>
      <c r="AD75">
        <v>91.70999999999999</v>
      </c>
      <c r="AE75" t="s">
        <v>2138</v>
      </c>
      <c r="AF75" t="s">
        <v>2457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342</v>
      </c>
      <c r="B76" t="s">
        <v>663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1</v>
      </c>
      <c r="F76">
        <v>43900</v>
      </c>
      <c r="G76">
        <v>0.18</v>
      </c>
      <c r="H76">
        <v>7.47</v>
      </c>
      <c r="I76">
        <v>53309</v>
      </c>
      <c r="J76">
        <v>41430</v>
      </c>
      <c r="K76">
        <v>37211</v>
      </c>
      <c r="L76">
        <v>-21.43</v>
      </c>
      <c r="M76">
        <v>5.63</v>
      </c>
      <c r="N76">
        <v>15.24</v>
      </c>
      <c r="O76">
        <v>19.06</v>
      </c>
      <c r="P76" t="b">
        <v>0</v>
      </c>
      <c r="Q76">
        <v>3</v>
      </c>
      <c r="R76">
        <v>5889</v>
      </c>
      <c r="S76">
        <v>8190</v>
      </c>
      <c r="T76">
        <v>39.1</v>
      </c>
      <c r="U76" t="s">
        <v>984</v>
      </c>
      <c r="V76" t="s">
        <v>1305</v>
      </c>
      <c r="W76">
        <v>42.35341094293013</v>
      </c>
      <c r="X76">
        <v>5.6</v>
      </c>
      <c r="Y76" t="s">
        <v>1606</v>
      </c>
      <c r="Z76">
        <v>4.538233108625245</v>
      </c>
      <c r="AA76">
        <v>56004</v>
      </c>
      <c r="AB76">
        <v>955702</v>
      </c>
      <c r="AC76" t="s">
        <v>1927</v>
      </c>
      <c r="AD76">
        <v>75.90000000000001</v>
      </c>
      <c r="AE76" t="s">
        <v>2248</v>
      </c>
      <c r="AF76" t="s">
        <v>2560</v>
      </c>
      <c r="AG76">
        <v>19127</v>
      </c>
      <c r="AH76">
        <v>18006</v>
      </c>
      <c r="AI76">
        <v>6838021</v>
      </c>
      <c r="AJ76">
        <v>0.48</v>
      </c>
      <c r="AK76" t="b">
        <v>1</v>
      </c>
    </row>
    <row r="77" spans="1:37">
      <c r="A77" s="1" t="s">
        <v>198</v>
      </c>
      <c r="B77" t="s">
        <v>519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33850</v>
      </c>
      <c r="G77">
        <v>0</v>
      </c>
      <c r="H77">
        <v>8.630000000000001</v>
      </c>
      <c r="I77">
        <v>67496</v>
      </c>
      <c r="J77">
        <v>56713</v>
      </c>
      <c r="K77">
        <v>52883</v>
      </c>
      <c r="L77">
        <v>-99.40000000000001</v>
      </c>
      <c r="M77">
        <v>-67.54000000000001</v>
      </c>
      <c r="N77">
        <v>-56.23</v>
      </c>
      <c r="O77">
        <v>15.8</v>
      </c>
      <c r="P77" t="b">
        <v>1</v>
      </c>
      <c r="Q77">
        <v>0</v>
      </c>
      <c r="R77">
        <v>5186</v>
      </c>
      <c r="U77" t="s">
        <v>840</v>
      </c>
      <c r="V77" t="s">
        <v>1161</v>
      </c>
      <c r="W77">
        <v>0</v>
      </c>
      <c r="X77">
        <v>-19.6</v>
      </c>
      <c r="Y77" t="s">
        <v>1472</v>
      </c>
      <c r="Z77">
        <v>10.62226195174354</v>
      </c>
      <c r="AA77">
        <v>1546</v>
      </c>
      <c r="AB77">
        <v>4804</v>
      </c>
      <c r="AC77" t="s">
        <v>1783</v>
      </c>
      <c r="AD77">
        <v>60.02</v>
      </c>
      <c r="AE77" t="s">
        <v>2104</v>
      </c>
      <c r="AF77" t="s">
        <v>2423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42</v>
      </c>
      <c r="B78" t="s">
        <v>363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25400</v>
      </c>
      <c r="G78">
        <v>0</v>
      </c>
      <c r="H78">
        <v>23.06</v>
      </c>
      <c r="I78">
        <v>264152</v>
      </c>
      <c r="J78">
        <v>152331</v>
      </c>
      <c r="K78">
        <v>112606</v>
      </c>
      <c r="L78">
        <v>-939.97</v>
      </c>
      <c r="M78">
        <v>-499.73</v>
      </c>
      <c r="N78">
        <v>-343.33</v>
      </c>
      <c r="O78">
        <v>55.52</v>
      </c>
      <c r="P78" t="b">
        <v>1</v>
      </c>
      <c r="Q78">
        <v>0</v>
      </c>
      <c r="R78">
        <v>1501</v>
      </c>
      <c r="U78" t="s">
        <v>684</v>
      </c>
      <c r="V78" t="s">
        <v>1005</v>
      </c>
      <c r="W78">
        <v>0</v>
      </c>
      <c r="X78">
        <v>120</v>
      </c>
      <c r="Y78" t="s">
        <v>1326</v>
      </c>
      <c r="Z78">
        <v>5.292215884364215</v>
      </c>
      <c r="AA78">
        <v>5325</v>
      </c>
      <c r="AB78">
        <v>21226</v>
      </c>
      <c r="AC78" t="s">
        <v>1627</v>
      </c>
      <c r="AD78">
        <v>73.48</v>
      </c>
      <c r="AE78" t="s">
        <v>1948</v>
      </c>
      <c r="AF78" t="s">
        <v>2269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355</v>
      </c>
      <c r="B79" t="s">
        <v>676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10600</v>
      </c>
      <c r="G79">
        <v>0</v>
      </c>
      <c r="H79">
        <v>42.85</v>
      </c>
      <c r="I79">
        <v>13320</v>
      </c>
      <c r="J79">
        <v>9081</v>
      </c>
      <c r="K79">
        <v>7575</v>
      </c>
      <c r="L79">
        <v>-25.66</v>
      </c>
      <c r="M79">
        <v>14.33</v>
      </c>
      <c r="N79">
        <v>28.54</v>
      </c>
      <c r="O79">
        <v>27.73</v>
      </c>
      <c r="P79" t="b">
        <v>1</v>
      </c>
      <c r="Q79">
        <v>0</v>
      </c>
      <c r="R79">
        <v>475</v>
      </c>
      <c r="U79" t="s">
        <v>997</v>
      </c>
      <c r="V79" t="s">
        <v>1318</v>
      </c>
      <c r="W79">
        <v>0</v>
      </c>
      <c r="X79">
        <v>93.40000000000001</v>
      </c>
      <c r="Y79" t="s">
        <v>1619</v>
      </c>
      <c r="Z79">
        <v>0</v>
      </c>
      <c r="AA79">
        <v>1119</v>
      </c>
      <c r="AB79">
        <v>15799</v>
      </c>
      <c r="AC79" t="s">
        <v>1940</v>
      </c>
      <c r="AD79">
        <v>54.09</v>
      </c>
      <c r="AE79" t="s">
        <v>2261</v>
      </c>
      <c r="AF79" t="s">
        <v>2572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283</v>
      </c>
      <c r="B80" t="s">
        <v>604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22700</v>
      </c>
      <c r="G80">
        <v>0.19</v>
      </c>
      <c r="H80">
        <v>11</v>
      </c>
      <c r="I80">
        <v>41926</v>
      </c>
      <c r="J80">
        <v>26052</v>
      </c>
      <c r="K80">
        <v>20412</v>
      </c>
      <c r="L80">
        <v>-84.69</v>
      </c>
      <c r="M80">
        <v>-14.76</v>
      </c>
      <c r="N80">
        <v>10.08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925</v>
      </c>
      <c r="V80" t="s">
        <v>1246</v>
      </c>
      <c r="W80">
        <v>58.86137278211472</v>
      </c>
      <c r="X80">
        <v>-50.7</v>
      </c>
      <c r="Y80" t="s">
        <v>1551</v>
      </c>
      <c r="Z80">
        <v>29.18652015197476</v>
      </c>
      <c r="AA80">
        <v>2401</v>
      </c>
      <c r="AB80">
        <v>25697</v>
      </c>
      <c r="AC80" t="s">
        <v>1868</v>
      </c>
      <c r="AD80">
        <v>55.64</v>
      </c>
      <c r="AE80" t="s">
        <v>2189</v>
      </c>
      <c r="AF80" t="s">
        <v>2508</v>
      </c>
      <c r="AG80">
        <v>905</v>
      </c>
      <c r="AH80">
        <v>329</v>
      </c>
      <c r="AI80">
        <v>668918</v>
      </c>
      <c r="AJ80">
        <v>0.34</v>
      </c>
      <c r="AK80" t="b">
        <v>1</v>
      </c>
    </row>
    <row r="81" spans="1:37">
      <c r="A81" s="1" t="s">
        <v>344</v>
      </c>
      <c r="B81" t="s">
        <v>665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101500</v>
      </c>
      <c r="G81">
        <v>0</v>
      </c>
      <c r="H81">
        <v>10.61</v>
      </c>
      <c r="I81">
        <v>116516</v>
      </c>
      <c r="J81">
        <v>101105</v>
      </c>
      <c r="K81">
        <v>95630</v>
      </c>
      <c r="L81">
        <v>-14.79</v>
      </c>
      <c r="M81">
        <v>0.39</v>
      </c>
      <c r="N81">
        <v>5.78</v>
      </c>
      <c r="O81">
        <v>14.7</v>
      </c>
      <c r="P81" t="b">
        <v>0</v>
      </c>
      <c r="Q81">
        <v>0</v>
      </c>
      <c r="R81">
        <v>14283</v>
      </c>
      <c r="U81" t="s">
        <v>986</v>
      </c>
      <c r="V81" t="s">
        <v>1307</v>
      </c>
      <c r="W81">
        <v>0</v>
      </c>
      <c r="X81">
        <v>-3.4</v>
      </c>
      <c r="Y81" t="s">
        <v>1608</v>
      </c>
      <c r="Z81">
        <v>32.88903439592337</v>
      </c>
      <c r="AA81">
        <v>2355</v>
      </c>
      <c r="AB81">
        <v>437</v>
      </c>
      <c r="AC81" t="s">
        <v>1929</v>
      </c>
      <c r="AD81">
        <v>74.68000000000001</v>
      </c>
      <c r="AE81" t="s">
        <v>2250</v>
      </c>
      <c r="AF81" t="s">
        <v>2562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2023-01-15T13:40:32Z</dcterms:created>
  <dcterms:modified xsi:type="dcterms:W3CDTF">2023-01-15T13:40:32Z</dcterms:modified>
</cp:coreProperties>
</file>